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dbs1bank-my.sharepoint.com/personal/harryyu_dbs_com/Documents/Microsoft Teams Chat Files/"/>
    </mc:Choice>
  </mc:AlternateContent>
  <xr:revisionPtr revIDLastSave="582" documentId="8_{EF8B1D40-2AE8-4589-9EB6-870EB1FD39EF}" xr6:coauthVersionLast="47" xr6:coauthVersionMax="47" xr10:uidLastSave="{369C22B2-6133-4962-81F1-6BD5FCE90BD8}"/>
  <bookViews>
    <workbookView xWindow="-110" yWindow="-110" windowWidth="19420" windowHeight="11500" firstSheet="5" activeTab="5" xr2:uid="{18612686-E840-456E-BC36-50F7456569C4}"/>
  </bookViews>
  <sheets>
    <sheet name="Assumptions" sheetId="3" r:id="rId1"/>
    <sheet name="DCF" sheetId="1" r:id="rId2"/>
    <sheet name="WACC" sheetId="2" r:id="rId3"/>
    <sheet name="P&amp;L" sheetId="4" r:id="rId4"/>
    <sheet name="Comps" sheetId="5" r:id="rId5"/>
    <sheet name="Multiples" sheetId="6" r:id="rId6"/>
  </sheets>
  <externalReferences>
    <externalReference r:id="rId7"/>
  </externalReferenc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8" i="4" l="1"/>
  <c r="K48" i="4"/>
  <c r="L7" i="4"/>
  <c r="L62" i="4"/>
  <c r="K62" i="4"/>
  <c r="K66" i="4"/>
  <c r="K65" i="4"/>
  <c r="K64" i="4"/>
  <c r="K47" i="4"/>
  <c r="I8" i="4" l="1"/>
  <c r="I13" i="4"/>
  <c r="I17" i="4"/>
  <c r="I18" i="4"/>
  <c r="I23" i="4"/>
  <c r="I25" i="4"/>
  <c r="I29" i="4"/>
  <c r="I33" i="4"/>
  <c r="I34" i="4"/>
  <c r="I36" i="4"/>
  <c r="I40" i="4"/>
  <c r="I7" i="4"/>
  <c r="B32" i="2"/>
  <c r="C25" i="6"/>
  <c r="C26" i="6" s="1"/>
  <c r="E44" i="6" s="1"/>
  <c r="E47" i="6" s="1"/>
  <c r="E11" i="6"/>
  <c r="D11" i="6"/>
  <c r="C10" i="6"/>
  <c r="C11" i="6"/>
  <c r="D10" i="6"/>
  <c r="C20" i="6"/>
  <c r="C21" i="6" s="1"/>
  <c r="E5" i="6"/>
  <c r="E4" i="6"/>
  <c r="C16" i="6"/>
  <c r="D8" i="6"/>
  <c r="D7" i="6"/>
  <c r="D5" i="6"/>
  <c r="D4" i="6"/>
  <c r="C8" i="6"/>
  <c r="C7" i="6"/>
  <c r="C5" i="6"/>
  <c r="C4" i="6"/>
  <c r="L25" i="5"/>
  <c r="K25" i="5"/>
  <c r="J25" i="5"/>
  <c r="I25" i="5"/>
  <c r="H25" i="5"/>
  <c r="G25" i="5"/>
  <c r="F25" i="5"/>
  <c r="E25" i="5"/>
  <c r="D25" i="5"/>
  <c r="L24" i="5"/>
  <c r="K24" i="5"/>
  <c r="J24" i="5"/>
  <c r="I24" i="5"/>
  <c r="H24" i="5"/>
  <c r="G24" i="5"/>
  <c r="F24" i="5"/>
  <c r="E24" i="5"/>
  <c r="D24" i="5"/>
  <c r="L23" i="5"/>
  <c r="K23" i="5"/>
  <c r="J23" i="5"/>
  <c r="I23" i="5"/>
  <c r="H23" i="5"/>
  <c r="G23" i="5"/>
  <c r="F23" i="5"/>
  <c r="E23" i="5"/>
  <c r="D23" i="5"/>
  <c r="L22" i="5"/>
  <c r="K22" i="5"/>
  <c r="J22" i="5"/>
  <c r="I22" i="5"/>
  <c r="H22" i="5"/>
  <c r="G22" i="5"/>
  <c r="F22" i="5"/>
  <c r="E22" i="5"/>
  <c r="D22" i="5"/>
  <c r="L12" i="5"/>
  <c r="K12" i="5"/>
  <c r="J12" i="5"/>
  <c r="I12" i="5"/>
  <c r="H12" i="5"/>
  <c r="G12" i="5"/>
  <c r="F12" i="5"/>
  <c r="E12" i="5"/>
  <c r="D12" i="5"/>
  <c r="L11" i="5"/>
  <c r="K11" i="5"/>
  <c r="J11" i="5"/>
  <c r="I11" i="5"/>
  <c r="H11" i="5"/>
  <c r="G11" i="5"/>
  <c r="F11" i="5"/>
  <c r="E11" i="5"/>
  <c r="D11" i="5"/>
  <c r="L10" i="5"/>
  <c r="K10" i="5"/>
  <c r="J10" i="5"/>
  <c r="I10" i="5"/>
  <c r="H10" i="5"/>
  <c r="G10" i="5"/>
  <c r="F10" i="5"/>
  <c r="E10" i="5"/>
  <c r="D10" i="5"/>
  <c r="L9" i="5"/>
  <c r="K9" i="5"/>
  <c r="J9" i="5"/>
  <c r="I9" i="5"/>
  <c r="H9" i="5"/>
  <c r="G9" i="5"/>
  <c r="F9" i="5"/>
  <c r="E9" i="5"/>
  <c r="D9" i="5"/>
  <c r="H54" i="4"/>
  <c r="H35" i="4"/>
  <c r="H10" i="4"/>
  <c r="F35" i="4"/>
  <c r="F54" i="4"/>
  <c r="F10" i="4"/>
  <c r="F11" i="4" s="1"/>
  <c r="D54" i="4"/>
  <c r="D35" i="4"/>
  <c r="D10" i="4"/>
  <c r="I35" i="4" l="1"/>
  <c r="C44" i="6"/>
  <c r="C47" i="6" s="1"/>
  <c r="E43" i="6"/>
  <c r="E46" i="6" s="1"/>
  <c r="K7" i="4"/>
  <c r="H11" i="4"/>
  <c r="H15" i="4" s="1"/>
  <c r="F15" i="4"/>
  <c r="F20" i="4" s="1"/>
  <c r="F27" i="4" s="1"/>
  <c r="F60" i="4" s="1"/>
  <c r="I10" i="4"/>
  <c r="D11" i="4"/>
  <c r="D15" i="4" s="1"/>
  <c r="D20" i="4" s="1"/>
  <c r="D27" i="4" s="1"/>
  <c r="F63" i="4"/>
  <c r="F67" i="4" s="1"/>
  <c r="F68" i="4" s="1"/>
  <c r="C43" i="6"/>
  <c r="C46" i="6" s="1"/>
  <c r="D43" i="6"/>
  <c r="D46" i="6" s="1"/>
  <c r="D44" i="6"/>
  <c r="D47" i="6" s="1"/>
  <c r="D30" i="6"/>
  <c r="D34" i="6"/>
  <c r="D39" i="6" s="1"/>
  <c r="E30" i="6"/>
  <c r="C22" i="6"/>
  <c r="C34" i="6"/>
  <c r="C39" i="6" s="1"/>
  <c r="C17" i="6"/>
  <c r="C30" i="6"/>
  <c r="F149" i="1"/>
  <c r="E149" i="1"/>
  <c r="G150" i="1"/>
  <c r="G149" i="1"/>
  <c r="F142" i="1"/>
  <c r="F141" i="1"/>
  <c r="F140" i="1"/>
  <c r="F139" i="1"/>
  <c r="F138" i="1"/>
  <c r="E142" i="1"/>
  <c r="E141" i="1"/>
  <c r="E140" i="1"/>
  <c r="E139" i="1"/>
  <c r="E138" i="1"/>
  <c r="D142" i="1"/>
  <c r="D141" i="1"/>
  <c r="D140" i="1"/>
  <c r="D139" i="1"/>
  <c r="D138" i="1"/>
  <c r="C142" i="1"/>
  <c r="C141" i="1"/>
  <c r="C140" i="1"/>
  <c r="C139" i="1"/>
  <c r="C138" i="1"/>
  <c r="B142" i="1"/>
  <c r="B141" i="1"/>
  <c r="B140" i="1"/>
  <c r="B139" i="1"/>
  <c r="B138" i="1"/>
  <c r="B149" i="1"/>
  <c r="F47" i="1"/>
  <c r="E47" i="1"/>
  <c r="D47" i="1"/>
  <c r="C47" i="1"/>
  <c r="B47" i="1"/>
  <c r="F36" i="1"/>
  <c r="E36" i="1"/>
  <c r="E58" i="1" s="1"/>
  <c r="D36" i="1"/>
  <c r="C36" i="1"/>
  <c r="C58" i="1" s="1"/>
  <c r="B36" i="1"/>
  <c r="B58" i="1" s="1"/>
  <c r="F25" i="1"/>
  <c r="E25" i="1"/>
  <c r="D25" i="1"/>
  <c r="C25" i="1"/>
  <c r="B25" i="1"/>
  <c r="F150" i="1"/>
  <c r="E150" i="1"/>
  <c r="D150" i="1"/>
  <c r="C150" i="1"/>
  <c r="B150" i="1"/>
  <c r="D149" i="1"/>
  <c r="C149" i="1"/>
  <c r="D67" i="1"/>
  <c r="C67" i="1"/>
  <c r="D68" i="1"/>
  <c r="E68" i="1" s="1"/>
  <c r="C68" i="1"/>
  <c r="B68" i="1"/>
  <c r="B6" i="2"/>
  <c r="D76" i="1"/>
  <c r="D70" i="1"/>
  <c r="C76" i="1"/>
  <c r="C70" i="1"/>
  <c r="B76" i="1"/>
  <c r="B70" i="1"/>
  <c r="B5" i="1"/>
  <c r="B26" i="2"/>
  <c r="B22" i="2"/>
  <c r="B21" i="2"/>
  <c r="B20" i="2"/>
  <c r="B19" i="2"/>
  <c r="B9" i="2"/>
  <c r="B25" i="2" s="1"/>
  <c r="B27" i="2" s="1"/>
  <c r="B8" i="2"/>
  <c r="B7" i="2"/>
  <c r="B12" i="2" s="1"/>
  <c r="B4" i="2"/>
  <c r="B104" i="1"/>
  <c r="B61" i="1"/>
  <c r="F60" i="1"/>
  <c r="E60" i="1"/>
  <c r="D60" i="1"/>
  <c r="D72" i="1" s="1"/>
  <c r="D73" i="1" s="1"/>
  <c r="C60" i="1"/>
  <c r="C72" i="1" s="1"/>
  <c r="C73" i="1" s="1"/>
  <c r="B60" i="1"/>
  <c r="B72" i="1" s="1"/>
  <c r="B73" i="1" s="1"/>
  <c r="F59" i="1"/>
  <c r="E59" i="1"/>
  <c r="D59" i="1"/>
  <c r="C59" i="1"/>
  <c r="B59" i="1"/>
  <c r="F58" i="1"/>
  <c r="D58" i="1"/>
  <c r="F57" i="1"/>
  <c r="E57" i="1"/>
  <c r="D57" i="1"/>
  <c r="C57" i="1"/>
  <c r="B57" i="1"/>
  <c r="F56" i="1"/>
  <c r="E56" i="1"/>
  <c r="D56" i="1"/>
  <c r="C56" i="1"/>
  <c r="B56" i="1"/>
  <c r="F55" i="1"/>
  <c r="E55" i="1"/>
  <c r="D55" i="1"/>
  <c r="C55" i="1"/>
  <c r="B55" i="1"/>
  <c r="E66" i="1" s="1"/>
  <c r="F38" i="4" l="1"/>
  <c r="F42" i="4" s="1"/>
  <c r="F47" i="4" s="1"/>
  <c r="F59" i="4"/>
  <c r="H20" i="4"/>
  <c r="K20" i="4" s="1"/>
  <c r="K63" i="4" s="1"/>
  <c r="I15" i="4"/>
  <c r="D38" i="4"/>
  <c r="D42" i="4" s="1"/>
  <c r="D47" i="4" s="1"/>
  <c r="D48" i="4" s="1"/>
  <c r="D59" i="4"/>
  <c r="D60" i="4"/>
  <c r="I20" i="4"/>
  <c r="D35" i="6"/>
  <c r="D40" i="6" s="1"/>
  <c r="C35" i="6"/>
  <c r="C40" i="6" s="1"/>
  <c r="D31" i="6"/>
  <c r="C31" i="6"/>
  <c r="E31" i="6"/>
  <c r="E84" i="1"/>
  <c r="F66" i="1"/>
  <c r="E67" i="1"/>
  <c r="B31" i="2"/>
  <c r="B29" i="2" s="1"/>
  <c r="E82" i="1"/>
  <c r="E83" i="1" s="1"/>
  <c r="E75" i="1"/>
  <c r="E69" i="1"/>
  <c r="B13" i="2"/>
  <c r="B15" i="2" s="1"/>
  <c r="B95" i="1"/>
  <c r="K67" i="4" l="1"/>
  <c r="K68" i="4" s="1"/>
  <c r="L47" i="4"/>
  <c r="F48" i="4"/>
  <c r="H27" i="4"/>
  <c r="H63" i="4"/>
  <c r="H67" i="4" s="1"/>
  <c r="H68" i="4" s="1"/>
  <c r="B30" i="2"/>
  <c r="F84" i="1"/>
  <c r="G66" i="1"/>
  <c r="F67" i="1"/>
  <c r="F82" i="1"/>
  <c r="F83" i="1" s="1"/>
  <c r="E72" i="1"/>
  <c r="E73" i="1" s="1"/>
  <c r="E80" i="1" s="1"/>
  <c r="E70" i="1"/>
  <c r="F69" i="1"/>
  <c r="F75" i="1"/>
  <c r="E76" i="1"/>
  <c r="E81" i="1"/>
  <c r="L63" i="4" l="1"/>
  <c r="H38" i="4"/>
  <c r="H60" i="4"/>
  <c r="H59" i="4"/>
  <c r="I27" i="4"/>
  <c r="G67" i="1"/>
  <c r="H66" i="1"/>
  <c r="G84" i="1"/>
  <c r="E86" i="1"/>
  <c r="G82" i="1"/>
  <c r="G83" i="1" s="1"/>
  <c r="G69" i="1"/>
  <c r="G75" i="1"/>
  <c r="F81" i="1"/>
  <c r="F76" i="1"/>
  <c r="F72" i="1"/>
  <c r="F73" i="1" s="1"/>
  <c r="F80" i="1" s="1"/>
  <c r="F70" i="1"/>
  <c r="H42" i="4" l="1"/>
  <c r="I38" i="4"/>
  <c r="B40" i="1"/>
  <c r="B62" i="1" s="1"/>
  <c r="B51" i="1"/>
  <c r="B29" i="1"/>
  <c r="I66" i="1"/>
  <c r="H67" i="1"/>
  <c r="H84" i="1"/>
  <c r="H82" i="1"/>
  <c r="H83" i="1" s="1"/>
  <c r="G81" i="1"/>
  <c r="G76" i="1"/>
  <c r="G72" i="1"/>
  <c r="G73" i="1" s="1"/>
  <c r="G80" i="1" s="1"/>
  <c r="G70" i="1"/>
  <c r="H75" i="1"/>
  <c r="H69" i="1"/>
  <c r="F86" i="1"/>
  <c r="H47" i="4" l="1"/>
  <c r="H48" i="4" s="1"/>
  <c r="I42" i="4"/>
  <c r="I67" i="1"/>
  <c r="I84" i="1"/>
  <c r="B96" i="1"/>
  <c r="H89" i="1"/>
  <c r="E89" i="1"/>
  <c r="E90" i="1" s="1"/>
  <c r="I89" i="1"/>
  <c r="F89" i="1"/>
  <c r="F90" i="1" s="1"/>
  <c r="G89" i="1"/>
  <c r="G86" i="1"/>
  <c r="I82" i="1"/>
  <c r="I83" i="1" s="1"/>
  <c r="I69" i="1"/>
  <c r="I75" i="1"/>
  <c r="H76" i="1"/>
  <c r="H81" i="1"/>
  <c r="H72" i="1"/>
  <c r="H73" i="1" s="1"/>
  <c r="H80" i="1" s="1"/>
  <c r="H70" i="1"/>
  <c r="G90" i="1" l="1"/>
  <c r="B108" i="1"/>
  <c r="B110" i="1" s="1"/>
  <c r="B111" i="1" s="1"/>
  <c r="H86" i="1"/>
  <c r="I72" i="1"/>
  <c r="I73" i="1" s="1"/>
  <c r="I80" i="1" s="1"/>
  <c r="I70" i="1"/>
  <c r="I81" i="1"/>
  <c r="I76" i="1"/>
  <c r="H90" i="1" l="1"/>
  <c r="E131" i="1" s="1"/>
  <c r="I86" i="1"/>
  <c r="D120" i="1" s="1"/>
  <c r="E132" i="1" l="1"/>
  <c r="F132" i="1"/>
  <c r="D133" i="1"/>
  <c r="B121" i="1"/>
  <c r="E133" i="1"/>
  <c r="F121" i="1"/>
  <c r="C133" i="1"/>
  <c r="B130" i="1"/>
  <c r="D132" i="1"/>
  <c r="F133" i="1"/>
  <c r="F124" i="1"/>
  <c r="B132" i="1"/>
  <c r="C132" i="1"/>
  <c r="C130" i="1"/>
  <c r="D129" i="1"/>
  <c r="B129" i="1"/>
  <c r="C131" i="1"/>
  <c r="D130" i="1"/>
  <c r="D131" i="1"/>
  <c r="E122" i="1"/>
  <c r="E120" i="1"/>
  <c r="F129" i="1"/>
  <c r="F131" i="1"/>
  <c r="F130" i="1"/>
  <c r="C120" i="1"/>
  <c r="C129" i="1"/>
  <c r="E130" i="1"/>
  <c r="E124" i="1"/>
  <c r="D121" i="1"/>
  <c r="C121" i="1"/>
  <c r="D123" i="1"/>
  <c r="B122" i="1"/>
  <c r="B124" i="1"/>
  <c r="F123" i="1"/>
  <c r="B120" i="1"/>
  <c r="D124" i="1"/>
  <c r="C122" i="1"/>
  <c r="C123" i="1"/>
  <c r="D122" i="1"/>
  <c r="C124" i="1"/>
  <c r="F120" i="1"/>
  <c r="B123" i="1"/>
  <c r="E121" i="1"/>
  <c r="B133" i="1"/>
  <c r="B131" i="1"/>
  <c r="F122" i="1"/>
  <c r="E129" i="1"/>
  <c r="E123" i="1"/>
  <c r="B112" i="1"/>
  <c r="B113" i="1" s="1"/>
  <c r="B93" i="1"/>
  <c r="B94" i="1" s="1"/>
  <c r="B97" i="1" s="1"/>
  <c r="B98" i="1" s="1"/>
  <c r="B102" i="1" s="1"/>
  <c r="I90" i="1"/>
  <c r="B101" i="1" s="1"/>
  <c r="B103" i="1" l="1"/>
  <c r="B116" i="1" s="1"/>
  <c r="B105" i="1" l="1"/>
  <c r="B106" i="1" s="1"/>
  <c r="B1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LUI, Yu On [Student]</author>
  </authors>
  <commentList>
    <comment ref="A19" authorId="0" shapeId="0" xr:uid="{0E81128E-D76D-4D4B-B4E2-32ED512B47B9}">
      <text>
        <r>
          <rPr>
            <b/>
            <sz val="10"/>
            <color rgb="FF000000"/>
            <rFont val="Tahoma"/>
            <family val="2"/>
          </rPr>
          <t>Source: FS.pdf — Reported Net Operating Profit FY2025. Most recent and most representative year.</t>
        </r>
      </text>
    </comment>
    <comment ref="A20" authorId="0" shapeId="0" xr:uid="{9E93195D-AA22-DF4B-88CD-B319A261181A}">
      <text>
        <r>
          <rPr>
            <b/>
            <sz val="10"/>
            <color rgb="FF000000"/>
            <rFont val="Tahoma"/>
            <family val="2"/>
          </rPr>
          <t>FY2025: no material one-off operating items identified. FY2025 EBIT used as clean base.</t>
        </r>
      </text>
    </comment>
    <comment ref="A64" authorId="0" shapeId="0" xr:uid="{76854DD3-B977-DB40-89E3-A81BF64008D3}">
      <text>
        <r>
          <rPr>
            <b/>
            <sz val="10"/>
            <color rgb="FF000000"/>
            <rFont val="Tahoma"/>
            <family val="2"/>
          </rPr>
          <t>Bull: DSO improves as volumes grow and Li &amp; Fung gains pricing power</t>
        </r>
      </text>
    </comment>
  </commentList>
</comments>
</file>

<file path=xl/sharedStrings.xml><?xml version="1.0" encoding="utf-8"?>
<sst xmlns="http://schemas.openxmlformats.org/spreadsheetml/2006/main" count="372" uniqueCount="274">
  <si>
    <t>LI &amp; FUNG LIMITED — KEY ASSUMPTIONS</t>
  </si>
  <si>
    <t>(USD in thousands)</t>
  </si>
  <si>
    <t>INCOME STATEMENT DRIVERS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</si>
  <si>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</si>
  <si>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</si>
  <si>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</si>
  <si>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</si>
  <si>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</si>
  <si>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</si>
  <si>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</si>
  <si>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</si>
  <si>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Revenue Growth %</t>
  </si>
  <si>
    <t>N/A</t>
  </si>
  <si>
    <t>COGS % of Revenue</t>
  </si>
  <si>
    <t>S&amp;M % of Revenue</t>
  </si>
  <si>
    <t>Personnel % of Revenue</t>
  </si>
  <si>
    <t>Other OpEx % of Revenue</t>
  </si>
  <si>
    <t>Depreciation % of Revenue</t>
  </si>
  <si>
    <t>Amortization % of Revenue</t>
  </si>
  <si>
    <t>Interest Expense</t>
  </si>
  <si>
    <t>Interest Income</t>
  </si>
  <si>
    <t>Other Income (Expense), net</t>
  </si>
  <si>
    <t>Effective Tax Rate</t>
  </si>
  <si>
    <t>Minority Interest</t>
  </si>
  <si>
    <t>BALANCE SHEET &amp; WORKING CAPITAL DRIVERS</t>
  </si>
  <si>
    <t>Days Sales Outstanding (DSO)</t>
  </si>
  <si>
    <t>Days Inventory Outstanding (DIO)</t>
  </si>
  <si>
    <t>Days Payable Outstanding (DPO)</t>
  </si>
  <si>
    <t>CapEx (Maintenance)</t>
  </si>
  <si>
    <t>Dividends</t>
  </si>
  <si>
    <t>Net Debt Issuance / (Repayment)</t>
  </si>
  <si>
    <t>Other Non-Current Assets (net chg)</t>
  </si>
  <si>
    <t>LI &amp; FUNG LIMITED — DCF VALUATION MODEL</t>
  </si>
  <si>
    <t>Currency: USD (thousands)  |  FYE: 31 December  |  Date: April 2026</t>
  </si>
  <si>
    <t>Case Selector (1=Bear, 2=Base, 3=Bull)</t>
  </si>
  <si>
    <t>Selected Case:</t>
  </si>
  <si>
    <t>MARKET DATA &amp; KEY INPUTS</t>
  </si>
  <si>
    <t>2020 Privatization Equity Value (US$ '000)</t>
  </si>
  <si>
    <t>Total Shares Outstanding ('000)</t>
  </si>
  <si>
    <t>Privatization Price per Share (HK$)</t>
  </si>
  <si>
    <t>FY2025 Net Debt (Cash) (US$ '000)</t>
  </si>
  <si>
    <t>FY2025 Total Debt (US$ '000)</t>
  </si>
  <si>
    <t>FY2025 Cash &amp; Equivalents (US$ '000)</t>
  </si>
  <si>
    <t>S&amp;P Credit Rating</t>
  </si>
  <si>
    <t>BB</t>
  </si>
  <si>
    <t>Equity Risk Premium</t>
  </si>
  <si>
    <t>Risk-Free Rate (10Y UST)</t>
  </si>
  <si>
    <t>Unlevered Beta</t>
  </si>
  <si>
    <t>HKD / USD FX Rate</t>
  </si>
  <si>
    <t>DCF SCENARIO ASSUMPTIONS</t>
  </si>
  <si>
    <t>BEAR CASE ASSUMPTIONS</t>
  </si>
  <si>
    <t>Assumption</t>
  </si>
  <si>
    <t>Revenue Growth (%)</t>
  </si>
  <si>
    <t>EBIT Margin (%)</t>
  </si>
  <si>
    <t>D&amp;A % of Revenue</t>
  </si>
  <si>
    <t>CapEx % of Revenue</t>
  </si>
  <si>
    <t>NWC Change % of ΔRev (+= cash use)</t>
  </si>
  <si>
    <t>Tax Rate (%)</t>
  </si>
  <si>
    <t>Terminal Growth Rate</t>
  </si>
  <si>
    <t>WACC</t>
  </si>
  <si>
    <t>BASE CASE ASSUMPTIONS</t>
  </si>
  <si>
    <t>WACC (from WACC sheet)</t>
  </si>
  <si>
    <t>BULL CASE ASSUMPTIONS</t>
  </si>
  <si>
    <t>FY2031E</t>
  </si>
  <si>
    <t>SELECTED CASE ASSUMPTIONS</t>
  </si>
  <si>
    <t>HISTORICAL &amp; PROJECTED FINANCIALS (US$ '000)</t>
  </si>
  <si>
    <t>Income Statement</t>
  </si>
  <si>
    <t>Revenue</t>
  </si>
  <si>
    <t xml:space="preserve">  % Growth</t>
  </si>
  <si>
    <t xml:space="preserve">  └ Normalized EBIT (see bridge below ⇓)</t>
  </si>
  <si>
    <t>EBIT</t>
  </si>
  <si>
    <t xml:space="preserve">  EBIT Margin</t>
  </si>
  <si>
    <t>(-) Taxes on EBIT</t>
  </si>
  <si>
    <t>NOPAT</t>
  </si>
  <si>
    <t>(+) D&amp;A</t>
  </si>
  <si>
    <t xml:space="preserve">  D&amp;A % of Revenue</t>
  </si>
  <si>
    <t>FREE CASH FLOW BUILD (US$ '000)</t>
  </si>
  <si>
    <t>Cash Flow Item</t>
  </si>
  <si>
    <t>(-) CapEx</t>
  </si>
  <si>
    <t xml:space="preserve">  CapEx % of Revenue</t>
  </si>
  <si>
    <t>(-) Δ NWC — driver-based (DSO/DIO/DPO)</t>
  </si>
  <si>
    <t>Unlevered Free Cash Flow</t>
  </si>
  <si>
    <t>Discount Period (mid-year)</t>
  </si>
  <si>
    <t>Discount Factor</t>
  </si>
  <si>
    <t>PV of FCF</t>
  </si>
  <si>
    <t>TERMINAL VALUE (US$ '000)</t>
  </si>
  <si>
    <t xml:space="preserve">  Terminal Year FCF (FY2030E)</t>
  </si>
  <si>
    <t xml:space="preserve">  Terminal FCF × (1 + g)</t>
  </si>
  <si>
    <t xml:space="preserve">  Terminal Growth Rate (g)</t>
  </si>
  <si>
    <t xml:space="preserve">  WACC</t>
  </si>
  <si>
    <t xml:space="preserve">  Terminal Value (Gordon Growth)</t>
  </si>
  <si>
    <t xml:space="preserve">  PV of Terminal Value</t>
  </si>
  <si>
    <t>VALUATION SUMMARY (US$ '000)</t>
  </si>
  <si>
    <t xml:space="preserve">  Sum of PV of Projected FCFs (FY2026–FY2030)</t>
  </si>
  <si>
    <t xml:space="preserve">  PV of Terminal Value (Gordon Growth)</t>
  </si>
  <si>
    <t>Enterprise Value</t>
  </si>
  <si>
    <t xml:space="preserve">  (+) Net Cash / (-) Net Debt</t>
  </si>
  <si>
    <t>Equity Value</t>
  </si>
  <si>
    <t xml:space="preserve">  Equity Value per Share — PGM (HK$)</t>
  </si>
  <si>
    <t>EXIT EV/EBITDA CROSS-CHECK (US$ '000)</t>
  </si>
  <si>
    <t xml:space="preserve">  FY2030E EBITDA</t>
  </si>
  <si>
    <t xml:space="preserve">  Exit EV/EBITDA Multiple</t>
  </si>
  <si>
    <t xml:space="preserve">  Gross Terminal EV (EBITDA × Multiple)</t>
  </si>
  <si>
    <t xml:space="preserve">  PV of Exit Multiple TV</t>
  </si>
  <si>
    <t xml:space="preserve">  Cross-Check EV (FCFs + PV Exit TV + Net Cash)</t>
  </si>
  <si>
    <t xml:space="preserve">  Equity Value per Share — Exit Multiple (HK$)</t>
  </si>
  <si>
    <t>IMPLIED MODEL METRICS</t>
  </si>
  <si>
    <t xml:space="preserve">  Terminal Value % of EV</t>
  </si>
  <si>
    <t xml:space="preserve">  Implied EV / FY2025A EBITDA</t>
  </si>
  <si>
    <t>SENSITIVITY ANALYSIS</t>
  </si>
  <si>
    <t>Table 1: WACC vs Terminal Growth Rate — Implied Equity Value per Share (HK$)</t>
  </si>
  <si>
    <t>WACC \ Terminal g</t>
  </si>
  <si>
    <t>Table 2: WACC vs Exit EV/EBITDA Multiple — Implied Equity Value per Share (HK$)</t>
  </si>
  <si>
    <t>WACC \ EV/EBITDA</t>
  </si>
  <si>
    <t>Table 3: Beta vs Risk-Free Rate — Implied WACC</t>
  </si>
  <si>
    <t>Beta \ Rf</t>
  </si>
  <si>
    <t>Table 4: NWC Driver Calibration (DSO / DIO / DPO — Days)</t>
  </si>
  <si>
    <t>Driver</t>
  </si>
  <si>
    <t>Bear Proj.</t>
  </si>
  <si>
    <t>Base Proj.</t>
  </si>
  <si>
    <t>Bull Proj.</t>
  </si>
  <si>
    <t>Implied NWC % of Revenue</t>
  </si>
  <si>
    <t>Cash Conversion Cycle (DSO + DIO - DPO)</t>
  </si>
  <si>
    <t>Note: Li &amp; Fung operates with negative WC (CCC &lt; 0) — suppliers finance the business.</t>
  </si>
  <si>
    <t>ΔNWC in FCF = ΔRevenue × NWC% assumption calibrated to these drivers.</t>
  </si>
  <si>
    <t>Base NWC % of 1.0% reflects: DSO stable, DIO stable, DPO stable. Bear 1.5% = DPO shortening.</t>
  </si>
  <si>
    <t>WACC CALCULATION</t>
  </si>
  <si>
    <t>COST OF EQUITY (CAPM)</t>
  </si>
  <si>
    <t>Equity Risk Premium (ERP)</t>
  </si>
  <si>
    <t>Total Debt (US$ '000)</t>
  </si>
  <si>
    <t>Cash &amp; Equivalents (US$ '000)</t>
  </si>
  <si>
    <t>Estimated Equity Value (US$ '000)</t>
  </si>
  <si>
    <t>Tax Rate</t>
  </si>
  <si>
    <t>Debt-to-Equity Ratio (D/E)</t>
  </si>
  <si>
    <t>Levered Beta</t>
  </si>
  <si>
    <t>Cost of Equity (Ke)</t>
  </si>
  <si>
    <t>COST OF DEBT</t>
  </si>
  <si>
    <t>Interest Expense (FY2025, US$ '000)</t>
  </si>
  <si>
    <t>Average Total Debt (FY2024-2025, US$ '000)</t>
  </si>
  <si>
    <t>Pre-Tax Cost of Debt (Kd)</t>
  </si>
  <si>
    <t>After-Tax Cost of Debt</t>
  </si>
  <si>
    <t>Equity Value (US$ '000)</t>
  </si>
  <si>
    <t>Net Debt (Cash) (US$ '000)</t>
  </si>
  <si>
    <t>Enterprise Value (ref. only)</t>
  </si>
  <si>
    <t>Equity Weight (Equity / EV)</t>
  </si>
  <si>
    <t>Debt Weight (Gross Debt / Total Capital)</t>
  </si>
  <si>
    <t>Equity + Gross Debt</t>
  </si>
  <si>
    <t>WACC (Calculated)</t>
  </si>
  <si>
    <t>Note: WACC (~10.2%) reflects restated beta (0.90) appropriate for</t>
  </si>
  <si>
    <t>supply chain/logistics comps. DCF uses this computed WACC directly —</t>
  </si>
  <si>
    <t>no manual overrides. Bear/Base/Bull scenarios vary via assumptions only.</t>
  </si>
  <si>
    <t>Li&amp;Fung</t>
  </si>
  <si>
    <t>At Privatisation and before</t>
  </si>
  <si>
    <t>Harry added :</t>
  </si>
  <si>
    <t>Continuing Business</t>
  </si>
  <si>
    <t>USD'000</t>
  </si>
  <si>
    <t>yoy growth</t>
  </si>
  <si>
    <t>CAGR growth</t>
  </si>
  <si>
    <t>Turnover</t>
  </si>
  <si>
    <t>COS</t>
  </si>
  <si>
    <t>Gross Profit</t>
  </si>
  <si>
    <t>GPM %</t>
  </si>
  <si>
    <t>Other income</t>
  </si>
  <si>
    <t>Total Margin</t>
  </si>
  <si>
    <t>Selling &amp; Distribution Exp.</t>
  </si>
  <si>
    <t>Merchandising &amp; admin Exp.</t>
  </si>
  <si>
    <t>Core Operating profit</t>
  </si>
  <si>
    <t>Gain on remeasurement of contingent consideration payable</t>
  </si>
  <si>
    <t>Amortisation of other intangible assets</t>
  </si>
  <si>
    <t>Non-recurring reorganisation costs</t>
  </si>
  <si>
    <t>Other non-core operating exp.</t>
  </si>
  <si>
    <t>Operating Profit</t>
  </si>
  <si>
    <t>Finance costs</t>
  </si>
  <si>
    <t>- early settlement of LT notes</t>
  </si>
  <si>
    <t>- Non-cash interest exp</t>
  </si>
  <si>
    <t>- cash int exp.</t>
  </si>
  <si>
    <t>Shaer of net (losses)/ profits of asso</t>
  </si>
  <si>
    <t>Profit before tax</t>
  </si>
  <si>
    <t>Taxation</t>
  </si>
  <si>
    <t>Profit for the year from Continuing Operations</t>
  </si>
  <si>
    <t>Discontinued Operations</t>
  </si>
  <si>
    <t>Loss for the year</t>
  </si>
  <si>
    <t>Net Profit/ (Loss) for the year</t>
  </si>
  <si>
    <t>NPM (%)</t>
  </si>
  <si>
    <t>Profit/(loss) attributable to:</t>
  </si>
  <si>
    <t>- Shareholders of the Co</t>
  </si>
  <si>
    <t>- Holders of perpetual capital securities</t>
  </si>
  <si>
    <t>- non-controlling interests</t>
  </si>
  <si>
    <t>EBITDA</t>
  </si>
  <si>
    <t>Adjusted EBITDA (USD m)</t>
  </si>
  <si>
    <t>- Core Operating Profit</t>
  </si>
  <si>
    <t>- Depreciation of PPE</t>
  </si>
  <si>
    <t>- Amoritzation of Rights-of-use assets</t>
  </si>
  <si>
    <t>- Amortization of software dev.</t>
  </si>
  <si>
    <t>Adjusted EBITDA Margin (%)</t>
  </si>
  <si>
    <t>Avg Historical P/E Ratio</t>
  </si>
  <si>
    <t>AV/EBITDA Ratio</t>
  </si>
  <si>
    <t>Privatisation Price:</t>
  </si>
  <si>
    <t>P/E Ratio</t>
  </si>
  <si>
    <t>AV/ Adjusted EBITDA</t>
  </si>
  <si>
    <t>TTM PE</t>
  </si>
  <si>
    <t>2026F PE</t>
  </si>
  <si>
    <t>2027F PE</t>
  </si>
  <si>
    <t>TTM EV/Sales</t>
  </si>
  <si>
    <t>2026F EV/Sales</t>
  </si>
  <si>
    <t>2027F EV/Sales</t>
  </si>
  <si>
    <t>TTM EV/EBITDA</t>
  </si>
  <si>
    <t>2026F EV/EBITDA</t>
  </si>
  <si>
    <t>2027F EV/EBITDA</t>
  </si>
  <si>
    <t>OEM</t>
  </si>
  <si>
    <t>PDSL IN Equity</t>
  </si>
  <si>
    <t>PDS Limited</t>
  </si>
  <si>
    <t xml:space="preserve">A global fashion infrastructure enterprise offering a consumer-driven platform for design-led sourcing, manufacturing, and supply chain solutions </t>
  </si>
  <si>
    <t>1346 HK Equity</t>
  </si>
  <si>
    <t>Lever Style Corporation</t>
  </si>
  <si>
    <t>A B Corp certified apparel supply chain platform providing technical design and flexible manufacturing for premium and activewear brands globally</t>
  </si>
  <si>
    <t>2232 HK Equity</t>
  </si>
  <si>
    <t>Crystal International Group Limited</t>
  </si>
  <si>
    <t>A global leader in apparel manufacturing with a vertically integrated multi-country platform specializing in denim, knits, sportswear, and intimates</t>
  </si>
  <si>
    <t>105630 KS Equity</t>
  </si>
  <si>
    <t>Hansae Co., Ltd.</t>
  </si>
  <si>
    <t>A South Korean-based global fashion company specializing in the original design and equipment manufacturing (ODM/OEM) of garments for iconic international brands</t>
  </si>
  <si>
    <t>2313 HK Equity</t>
  </si>
  <si>
    <t>Shenzhou International Group Holdings Limited</t>
  </si>
  <si>
    <t>The largest vertically integrated knitwear manufacturer in China, providing premium sportswear, casual wear, and lingerie to major global brands</t>
  </si>
  <si>
    <t>Max</t>
  </si>
  <si>
    <t>Avg</t>
  </si>
  <si>
    <t>Median</t>
  </si>
  <si>
    <t>Min</t>
  </si>
  <si>
    <t>Logistics</t>
  </si>
  <si>
    <t>636 HK Equity</t>
  </si>
  <si>
    <t>KLN Logistics Group Limited</t>
  </si>
  <si>
    <t>An Asia-based global 3PL (formerly Kerry Logistics) providing integrated logistics and international freight forwarding as the international arm of S.F. Holding</t>
  </si>
  <si>
    <t>DSV DC Equity</t>
  </si>
  <si>
    <t>DSV A/S</t>
  </si>
  <si>
    <t xml:space="preserve">A Denmark-headquartered transport leader and one of the world's largest freight forwarders, offering global road, air, sea, and contract logistics services </t>
  </si>
  <si>
    <t>KNIN SW Equity</t>
  </si>
  <si>
    <t>Kuehne+Nagel International AG</t>
  </si>
  <si>
    <t>A Swiss-based global logistics partner and the world's number one sea and air freight forwarder, specializing in innovative, IT-based integrated supply chain solutions</t>
  </si>
  <si>
    <t>DHL GY Equity</t>
  </si>
  <si>
    <t>DHL Group</t>
  </si>
  <si>
    <t xml:space="preserve">The world’s leading logistics company, operating the global DHL brand for express and supply chain services alongside Deutsche Post, Europe’s largest postal provider </t>
  </si>
  <si>
    <t>GXO US Equity</t>
  </si>
  <si>
    <t>GXO Logistics, Inc.</t>
  </si>
  <si>
    <t xml:space="preserve">The world’s largest pure-play contract logistics provider, delivering tech-enabled warehousing, e-commerce fulfillment, and reverse logistics for blue-chip corporations </t>
  </si>
  <si>
    <t>Li &amp; Fung Valuation - mkt multiples</t>
  </si>
  <si>
    <t>PDS Only</t>
  </si>
  <si>
    <t>Avg 2026 P/E</t>
  </si>
  <si>
    <t>Avg 2027 P/E</t>
  </si>
  <si>
    <t>Avg 2026 EV/EBITDA</t>
  </si>
  <si>
    <t>Avg 2027 EV/EBITDA</t>
  </si>
  <si>
    <t>2026 EV/ Sales</t>
  </si>
  <si>
    <t>2027 EV/ Sales</t>
  </si>
  <si>
    <t>Li &amp; Fung</t>
  </si>
  <si>
    <t>2025 Net Profit (USDm)</t>
  </si>
  <si>
    <t>-assume yoy growth</t>
  </si>
  <si>
    <t>2026 Net Profit (USDm)</t>
  </si>
  <si>
    <t>2027 Net Profit (USDm)</t>
  </si>
  <si>
    <t>2025 Adj. EBITDA (USDm)</t>
  </si>
  <si>
    <t>2026 Adj. EBITDA (USDm)</t>
  </si>
  <si>
    <t>2027 Adj. EBITDA (USDm)</t>
  </si>
  <si>
    <t>2025 Sales</t>
  </si>
  <si>
    <t>2026 Sales</t>
  </si>
  <si>
    <t>2027 Sales</t>
  </si>
  <si>
    <t>Valuation （USDm)</t>
  </si>
  <si>
    <t>by 2026 P/E</t>
  </si>
  <si>
    <t>by 2027 P/E</t>
  </si>
  <si>
    <t>Enterprise Value (USDm)</t>
  </si>
  <si>
    <t>by 2026 EV/EBITDA</t>
  </si>
  <si>
    <t>by 2027 EV/ EBITDA</t>
  </si>
  <si>
    <t>2025 Net Cash (USDm)</t>
  </si>
  <si>
    <t>Equity Value (USDm)</t>
  </si>
  <si>
    <t>by EV/ Sales 2026</t>
  </si>
  <si>
    <t>by EV/ Sales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</si>
</sst>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&quot;$&quot;#,##0.00"/>
    <numFmt numFmtId="165" formatCode="#,##0;\(#,##0\);\-"/>
    <numFmt numFmtId="166" formatCode="0.0%"/>
    <numFmt numFmtId="167" formatCode="0.0"/>
    <numFmt numFmtId="168" formatCode="0.0000"/>
    <numFmt numFmtId="169" formatCode="0.0&quot;x&quot;"/>
    <numFmt numFmtId="170" formatCode="0.00&quot;x&quot;"/>
    <numFmt numFmtId="171" formatCode="#,##0;\(#,##0\)"/>
    <numFmt numFmtId="172" formatCode="&quot;HK$&quot;0.00"/>
    <numFmt numFmtId="173" formatCode="_(* #,##0.0_);_(* \(#,##0.0\);_(* &quot;-&quot;??_);_(@_)"/>
    <numFmt numFmtId="174" formatCode="_(* #,##0_);_(* \(#,##0\);_(* &quot;-&quot;??_);_(@_)"/>
  </numFmts>
  <fonts count="39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9"/>
      <color rgb="FF666666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b/>
      <sz val="10"/>
      <color rgb="FF000000"/>
      <name val="Tahoma"/>
      <family val="2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8000"/>
      <name val="Aptos Narrow"/>
      <family val="2"/>
      <scheme val="minor"/>
    </font>
    <font>
      <i/>
      <sz val="12"/>
      <color rgb="FF666666"/>
      <name val="Aptos Narrow"/>
      <family val="2"/>
      <scheme val="minor"/>
    </font>
    <font>
      <sz val="12"/>
      <color rgb="FF666666"/>
      <name val="Aptos Narrow"/>
      <family val="2"/>
      <scheme val="minor"/>
    </font>
    <font>
      <b/>
      <sz val="9"/>
      <color rgb="FF003366"/>
      <name val="Aptos Narrow"/>
      <family val="2"/>
      <scheme val="minor"/>
    </font>
    <font>
      <sz val="9"/>
      <color rgb="FF666666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i/>
      <sz val="12"/>
      <color rgb="FF888888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i/>
      <sz val="11"/>
      <color rgb="FFFFFFFF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2"/>
      <color rgb="FFFF0000"/>
      <name val="Aptos Narrow"/>
      <family val="2"/>
      <scheme val="minor"/>
    </font>
    <font>
      <i/>
      <sz val="12"/>
      <color theme="7"/>
      <name val="Aptos Narrow"/>
      <family val="2"/>
      <scheme val="minor"/>
    </font>
    <font>
      <sz val="12"/>
      <color theme="7"/>
      <name val="Aptos Narrow"/>
      <family val="2"/>
      <scheme val="minor"/>
    </font>
    <font>
      <b/>
      <i/>
      <sz val="12"/>
      <color theme="7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4472C4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rgb="FF000000"/>
      </left>
      <right/>
      <top style="double">
        <color auto="1"/>
      </top>
      <bottom style="double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6" fillId="0" borderId="0" applyFont="0" applyFill="0" applyBorder="0" applyAlignment="0" applyProtection="0"/>
    <xf numFmtId="0" fontId="32" fillId="0" borderId="0"/>
    <xf numFmtId="9" fontId="26" fillId="0" borderId="0" applyFont="0" applyFill="0" applyBorder="0" applyAlignment="0" applyProtection="0"/>
  </cellStyleXfs>
  <cellXfs count="209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5" fillId="0" borderId="0" xfId="0" applyFont="1"/>
    <xf numFmtId="0" fontId="10" fillId="2" borderId="0" xfId="0" applyFont="1" applyFill="1"/>
    <xf numFmtId="3" fontId="6" fillId="3" borderId="0" xfId="0" applyNumberFormat="1" applyFont="1" applyFill="1"/>
    <xf numFmtId="166" fontId="6" fillId="3" borderId="0" xfId="0" applyNumberFormat="1" applyFont="1" applyFill="1"/>
    <xf numFmtId="0" fontId="1" fillId="4" borderId="0" xfId="0" applyFont="1" applyFill="1"/>
    <xf numFmtId="166" fontId="0" fillId="0" borderId="0" xfId="0" applyNumberFormat="1"/>
    <xf numFmtId="3" fontId="6" fillId="0" borderId="0" xfId="0" applyNumberFormat="1" applyFont="1"/>
    <xf numFmtId="0" fontId="1" fillId="0" borderId="0" xfId="0" applyFont="1"/>
    <xf numFmtId="0" fontId="4" fillId="0" borderId="4" xfId="0" applyFont="1" applyBorder="1"/>
    <xf numFmtId="0" fontId="4" fillId="0" borderId="5" xfId="0" applyFont="1" applyBorder="1"/>
    <xf numFmtId="3" fontId="6" fillId="3" borderId="7" xfId="0" applyNumberFormat="1" applyFont="1" applyFill="1" applyBorder="1"/>
    <xf numFmtId="164" fontId="6" fillId="3" borderId="7" xfId="0" applyNumberFormat="1" applyFont="1" applyFill="1" applyBorder="1"/>
    <xf numFmtId="165" fontId="6" fillId="3" borderId="7" xfId="0" applyNumberFormat="1" applyFont="1" applyFill="1" applyBorder="1"/>
    <xf numFmtId="0" fontId="6" fillId="3" borderId="7" xfId="0" applyFont="1" applyFill="1" applyBorder="1"/>
    <xf numFmtId="166" fontId="6" fillId="3" borderId="7" xfId="0" applyNumberFormat="1" applyFont="1" applyFill="1" applyBorder="1"/>
    <xf numFmtId="0" fontId="12" fillId="4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166" fontId="0" fillId="0" borderId="2" xfId="0" applyNumberFormat="1" applyBorder="1"/>
    <xf numFmtId="0" fontId="12" fillId="4" borderId="4" xfId="0" applyFont="1" applyFill="1" applyBorder="1"/>
    <xf numFmtId="0" fontId="11" fillId="0" borderId="4" xfId="0" applyFont="1" applyBorder="1"/>
    <xf numFmtId="0" fontId="0" fillId="0" borderId="4" xfId="0" applyBorder="1"/>
    <xf numFmtId="0" fontId="12" fillId="5" borderId="4" xfId="0" applyFont="1" applyFill="1" applyBorder="1"/>
    <xf numFmtId="0" fontId="12" fillId="0" borderId="4" xfId="0" applyFont="1" applyBorder="1"/>
    <xf numFmtId="0" fontId="12" fillId="0" borderId="5" xfId="0" applyFont="1" applyBorder="1"/>
    <xf numFmtId="0" fontId="12" fillId="4" borderId="7" xfId="0" applyFont="1" applyFill="1" applyBorder="1" applyAlignment="1">
      <alignment horizontal="center"/>
    </xf>
    <xf numFmtId="0" fontId="0" fillId="0" borderId="7" xfId="0" applyBorder="1"/>
    <xf numFmtId="0" fontId="12" fillId="5" borderId="7" xfId="0" applyFont="1" applyFill="1" applyBorder="1" applyAlignment="1">
      <alignment horizontal="center"/>
    </xf>
    <xf numFmtId="166" fontId="0" fillId="0" borderId="7" xfId="0" applyNumberFormat="1" applyBorder="1"/>
    <xf numFmtId="3" fontId="0" fillId="0" borderId="0" xfId="0" applyNumberFormat="1"/>
    <xf numFmtId="166" fontId="1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166" fontId="11" fillId="0" borderId="2" xfId="0" applyNumberFormat="1" applyFont="1" applyBorder="1"/>
    <xf numFmtId="0" fontId="13" fillId="0" borderId="4" xfId="0" applyFont="1" applyBorder="1"/>
    <xf numFmtId="0" fontId="13" fillId="0" borderId="5" xfId="0" applyFont="1" applyBorder="1"/>
    <xf numFmtId="3" fontId="0" fillId="0" borderId="7" xfId="0" applyNumberFormat="1" applyBorder="1"/>
    <xf numFmtId="166" fontId="11" fillId="0" borderId="7" xfId="0" applyNumberFormat="1" applyFont="1" applyBorder="1"/>
    <xf numFmtId="165" fontId="0" fillId="0" borderId="7" xfId="0" applyNumberFormat="1" applyBorder="1"/>
    <xf numFmtId="165" fontId="1" fillId="0" borderId="7" xfId="0" applyNumberFormat="1" applyFont="1" applyBorder="1"/>
    <xf numFmtId="166" fontId="11" fillId="0" borderId="8" xfId="0" applyNumberFormat="1" applyFont="1" applyBorder="1"/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5" fillId="0" borderId="4" xfId="0" applyFont="1" applyBorder="1"/>
    <xf numFmtId="167" fontId="0" fillId="0" borderId="7" xfId="0" applyNumberFormat="1" applyBorder="1" applyAlignment="1">
      <alignment horizontal="center"/>
    </xf>
    <xf numFmtId="168" fontId="0" fillId="0" borderId="7" xfId="0" applyNumberFormat="1" applyBorder="1"/>
    <xf numFmtId="3" fontId="1" fillId="0" borderId="7" xfId="0" applyNumberFormat="1" applyFont="1" applyBorder="1"/>
    <xf numFmtId="0" fontId="0" fillId="5" borderId="7" xfId="0" applyFill="1" applyBorder="1"/>
    <xf numFmtId="169" fontId="11" fillId="0" borderId="8" xfId="0" applyNumberFormat="1" applyFont="1" applyBorder="1"/>
    <xf numFmtId="0" fontId="0" fillId="0" borderId="1" xfId="0" applyBorder="1"/>
    <xf numFmtId="0" fontId="5" fillId="0" borderId="3" xfId="0" applyFont="1" applyBorder="1"/>
    <xf numFmtId="0" fontId="0" fillId="0" borderId="6" xfId="0" applyBorder="1"/>
    <xf numFmtId="0" fontId="12" fillId="4" borderId="9" xfId="0" applyFont="1" applyFill="1" applyBorder="1"/>
    <xf numFmtId="166" fontId="12" fillId="4" borderId="10" xfId="0" applyNumberFormat="1" applyFont="1" applyFill="1" applyBorder="1" applyAlignment="1">
      <alignment horizontal="center"/>
    </xf>
    <xf numFmtId="166" fontId="12" fillId="4" borderId="11" xfId="0" applyNumberFormat="1" applyFont="1" applyFill="1" applyBorder="1" applyAlignment="1">
      <alignment horizontal="center"/>
    </xf>
    <xf numFmtId="166" fontId="12" fillId="0" borderId="12" xfId="0" applyNumberFormat="1" applyFont="1" applyBorder="1"/>
    <xf numFmtId="166" fontId="12" fillId="0" borderId="15" xfId="0" applyNumberFormat="1" applyFont="1" applyBorder="1"/>
    <xf numFmtId="0" fontId="5" fillId="0" borderId="18" xfId="0" applyFont="1" applyBorder="1"/>
    <xf numFmtId="0" fontId="5" fillId="0" borderId="5" xfId="0" applyFont="1" applyBorder="1"/>
    <xf numFmtId="10" fontId="15" fillId="0" borderId="7" xfId="0" applyNumberFormat="1" applyFont="1" applyBorder="1"/>
    <xf numFmtId="2" fontId="15" fillId="0" borderId="7" xfId="0" applyNumberFormat="1" applyFont="1" applyBorder="1"/>
    <xf numFmtId="3" fontId="15" fillId="0" borderId="7" xfId="0" applyNumberFormat="1" applyFont="1" applyBorder="1"/>
    <xf numFmtId="170" fontId="0" fillId="0" borderId="7" xfId="0" applyNumberFormat="1" applyBorder="1"/>
    <xf numFmtId="2" fontId="0" fillId="0" borderId="7" xfId="0" applyNumberFormat="1" applyBorder="1"/>
    <xf numFmtId="10" fontId="1" fillId="5" borderId="8" xfId="0" applyNumberFormat="1" applyFont="1" applyFill="1" applyBorder="1"/>
    <xf numFmtId="10" fontId="0" fillId="0" borderId="7" xfId="0" applyNumberFormat="1" applyBorder="1"/>
    <xf numFmtId="0" fontId="5" fillId="4" borderId="3" xfId="0" applyFont="1" applyFill="1" applyBorder="1"/>
    <xf numFmtId="0" fontId="14" fillId="0" borderId="5" xfId="0" applyFont="1" applyBorder="1"/>
    <xf numFmtId="165" fontId="15" fillId="0" borderId="7" xfId="0" applyNumberFormat="1" applyFont="1" applyBorder="1"/>
    <xf numFmtId="0" fontId="16" fillId="0" borderId="0" xfId="0" applyFont="1"/>
    <xf numFmtId="0" fontId="1" fillId="4" borderId="0" xfId="0" applyFont="1" applyFill="1" applyAlignment="1">
      <alignment horizontal="center"/>
    </xf>
    <xf numFmtId="166" fontId="6" fillId="0" borderId="0" xfId="0" applyNumberFormat="1" applyFont="1"/>
    <xf numFmtId="171" fontId="6" fillId="3" borderId="0" xfId="0" applyNumberFormat="1" applyFont="1" applyFill="1"/>
    <xf numFmtId="171" fontId="6" fillId="0" borderId="0" xfId="0" applyNumberFormat="1" applyFont="1"/>
    <xf numFmtId="167" fontId="6" fillId="3" borderId="0" xfId="0" applyNumberFormat="1" applyFont="1" applyFill="1"/>
    <xf numFmtId="0" fontId="9" fillId="2" borderId="0" xfId="0" applyFont="1" applyFill="1"/>
    <xf numFmtId="0" fontId="1" fillId="0" borderId="0" xfId="0" applyFont="1" applyAlignment="1">
      <alignment horizontal="center"/>
    </xf>
    <xf numFmtId="166" fontId="7" fillId="3" borderId="0" xfId="0" applyNumberFormat="1" applyFont="1" applyFill="1"/>
    <xf numFmtId="0" fontId="16" fillId="0" borderId="4" xfId="0" applyFont="1" applyBorder="1"/>
    <xf numFmtId="0" fontId="1" fillId="7" borderId="0" xfId="0" applyFont="1" applyFill="1" applyAlignment="1">
      <alignment horizontal="center"/>
    </xf>
    <xf numFmtId="0" fontId="18" fillId="7" borderId="4" xfId="0" applyFont="1" applyFill="1" applyBorder="1"/>
    <xf numFmtId="0" fontId="3" fillId="0" borderId="4" xfId="0" applyFont="1" applyBorder="1"/>
    <xf numFmtId="166" fontId="19" fillId="0" borderId="0" xfId="0" applyNumberFormat="1" applyFont="1"/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167" fontId="17" fillId="0" borderId="0" xfId="0" applyNumberFormat="1" applyFont="1"/>
    <xf numFmtId="0" fontId="10" fillId="8" borderId="0" xfId="0" applyFont="1" applyFill="1"/>
    <xf numFmtId="166" fontId="6" fillId="3" borderId="8" xfId="0" applyNumberFormat="1" applyFont="1" applyFill="1" applyBorder="1"/>
    <xf numFmtId="166" fontId="0" fillId="0" borderId="8" xfId="0" applyNumberFormat="1" applyBorder="1"/>
    <xf numFmtId="169" fontId="7" fillId="5" borderId="19" xfId="0" applyNumberFormat="1" applyFont="1" applyFill="1" applyBorder="1"/>
    <xf numFmtId="169" fontId="12" fillId="4" borderId="10" xfId="0" applyNumberFormat="1" applyFont="1" applyFill="1" applyBorder="1" applyAlignment="1">
      <alignment horizontal="center"/>
    </xf>
    <xf numFmtId="169" fontId="12" fillId="4" borderId="11" xfId="0" applyNumberFormat="1" applyFont="1" applyFill="1" applyBorder="1" applyAlignment="1">
      <alignment horizontal="center"/>
    </xf>
    <xf numFmtId="3" fontId="12" fillId="4" borderId="0" xfId="0" applyNumberFormat="1" applyFont="1" applyFill="1" applyAlignment="1">
      <alignment horizontal="center"/>
    </xf>
    <xf numFmtId="3" fontId="12" fillId="4" borderId="7" xfId="0" applyNumberFormat="1" applyFont="1" applyFill="1" applyBorder="1" applyAlignment="1">
      <alignment horizontal="center"/>
    </xf>
    <xf numFmtId="3" fontId="1" fillId="5" borderId="21" xfId="0" applyNumberFormat="1" applyFont="1" applyFill="1" applyBorder="1"/>
    <xf numFmtId="3" fontId="1" fillId="5" borderId="20" xfId="0" applyNumberFormat="1" applyFont="1" applyFill="1" applyBorder="1"/>
    <xf numFmtId="3" fontId="0" fillId="0" borderId="2" xfId="0" applyNumberFormat="1" applyBorder="1"/>
    <xf numFmtId="3" fontId="1" fillId="0" borderId="2" xfId="0" applyNumberFormat="1" applyFont="1" applyBorder="1"/>
    <xf numFmtId="3" fontId="1" fillId="0" borderId="8" xfId="0" applyNumberFormat="1" applyFont="1" applyBorder="1"/>
    <xf numFmtId="0" fontId="10" fillId="8" borderId="4" xfId="0" applyFont="1" applyFill="1" applyBorder="1"/>
    <xf numFmtId="0" fontId="7" fillId="9" borderId="0" xfId="0" applyFont="1" applyFill="1"/>
    <xf numFmtId="3" fontId="1" fillId="13" borderId="6" xfId="0" applyNumberFormat="1" applyFont="1" applyFill="1" applyBorder="1"/>
    <xf numFmtId="172" fontId="1" fillId="13" borderId="7" xfId="0" applyNumberFormat="1" applyFont="1" applyFill="1" applyBorder="1"/>
    <xf numFmtId="0" fontId="14" fillId="4" borderId="3" xfId="0" applyFont="1" applyFill="1" applyBorder="1"/>
    <xf numFmtId="10" fontId="12" fillId="4" borderId="10" xfId="0" applyNumberFormat="1" applyFont="1" applyFill="1" applyBorder="1" applyAlignment="1">
      <alignment horizontal="center"/>
    </xf>
    <xf numFmtId="10" fontId="12" fillId="4" borderId="11" xfId="0" applyNumberFormat="1" applyFont="1" applyFill="1" applyBorder="1" applyAlignment="1">
      <alignment horizontal="center"/>
    </xf>
    <xf numFmtId="0" fontId="9" fillId="2" borderId="7" xfId="0" applyFont="1" applyFill="1" applyBorder="1"/>
    <xf numFmtId="0" fontId="9" fillId="15" borderId="0" xfId="0" applyFont="1" applyFill="1"/>
    <xf numFmtId="0" fontId="9" fillId="15" borderId="7" xfId="0" applyFont="1" applyFill="1" applyBorder="1"/>
    <xf numFmtId="0" fontId="9" fillId="16" borderId="0" xfId="0" applyFont="1" applyFill="1"/>
    <xf numFmtId="0" fontId="9" fillId="16" borderId="7" xfId="0" applyFont="1" applyFill="1" applyBorder="1"/>
    <xf numFmtId="0" fontId="9" fillId="2" borderId="4" xfId="0" applyFont="1" applyFill="1" applyBorder="1"/>
    <xf numFmtId="0" fontId="9" fillId="15" borderId="4" xfId="0" applyFont="1" applyFill="1" applyBorder="1"/>
    <xf numFmtId="0" fontId="9" fillId="16" borderId="4" xfId="0" applyFont="1" applyFill="1" applyBorder="1"/>
    <xf numFmtId="166" fontId="17" fillId="6" borderId="0" xfId="0" applyNumberFormat="1" applyFont="1" applyFill="1"/>
    <xf numFmtId="0" fontId="21" fillId="3" borderId="0" xfId="0" applyFont="1" applyFill="1"/>
    <xf numFmtId="3" fontId="1" fillId="13" borderId="7" xfId="0" applyNumberFormat="1" applyFont="1" applyFill="1" applyBorder="1"/>
    <xf numFmtId="0" fontId="22" fillId="7" borderId="4" xfId="0" applyFont="1" applyFill="1" applyBorder="1"/>
    <xf numFmtId="0" fontId="7" fillId="0" borderId="0" xfId="0" applyFont="1" applyAlignment="1">
      <alignment horizontal="center"/>
    </xf>
    <xf numFmtId="0" fontId="10" fillId="8" borderId="22" xfId="0" applyFont="1" applyFill="1" applyBorder="1"/>
    <xf numFmtId="0" fontId="12" fillId="0" borderId="12" xfId="0" applyFont="1" applyBorder="1"/>
    <xf numFmtId="0" fontId="12" fillId="0" borderId="15" xfId="0" applyFont="1" applyBorder="1"/>
    <xf numFmtId="0" fontId="24" fillId="2" borderId="0" xfId="0" applyFont="1" applyFill="1"/>
    <xf numFmtId="0" fontId="25" fillId="8" borderId="4" xfId="0" applyFont="1" applyFill="1" applyBorder="1"/>
    <xf numFmtId="172" fontId="23" fillId="13" borderId="0" xfId="0" applyNumberFormat="1" applyFont="1" applyFill="1"/>
    <xf numFmtId="10" fontId="11" fillId="0" borderId="13" xfId="0" applyNumberFormat="1" applyFont="1" applyBorder="1"/>
    <xf numFmtId="10" fontId="11" fillId="0" borderId="14" xfId="0" applyNumberFormat="1" applyFont="1" applyBorder="1"/>
    <xf numFmtId="10" fontId="11" fillId="0" borderId="16" xfId="0" applyNumberFormat="1" applyFont="1" applyBorder="1"/>
    <xf numFmtId="10" fontId="11" fillId="0" borderId="17" xfId="0" applyNumberFormat="1" applyFont="1" applyBorder="1"/>
    <xf numFmtId="10" fontId="0" fillId="0" borderId="0" xfId="0" applyNumberFormat="1"/>
    <xf numFmtId="10" fontId="12" fillId="9" borderId="13" xfId="0" applyNumberFormat="1" applyFont="1" applyFill="1" applyBorder="1"/>
    <xf numFmtId="0" fontId="1" fillId="12" borderId="0" xfId="0" applyFont="1" applyFill="1" applyAlignment="1">
      <alignment horizontal="center"/>
    </xf>
    <xf numFmtId="172" fontId="11" fillId="0" borderId="13" xfId="0" applyNumberFormat="1" applyFont="1" applyBorder="1"/>
    <xf numFmtId="172" fontId="11" fillId="0" borderId="14" xfId="0" applyNumberFormat="1" applyFont="1" applyBorder="1"/>
    <xf numFmtId="172" fontId="12" fillId="9" borderId="13" xfId="0" applyNumberFormat="1" applyFont="1" applyFill="1" applyBorder="1"/>
    <xf numFmtId="172" fontId="11" fillId="0" borderId="16" xfId="0" applyNumberFormat="1" applyFont="1" applyBorder="1"/>
    <xf numFmtId="172" fontId="11" fillId="0" borderId="17" xfId="0" applyNumberFormat="1" applyFont="1" applyBorder="1"/>
    <xf numFmtId="0" fontId="27" fillId="0" borderId="0" xfId="0" applyFont="1"/>
    <xf numFmtId="0" fontId="28" fillId="0" borderId="0" xfId="0" applyFont="1"/>
    <xf numFmtId="0" fontId="0" fillId="0" borderId="0" xfId="0" quotePrefix="1"/>
    <xf numFmtId="43" fontId="0" fillId="0" borderId="0" xfId="1" applyFont="1"/>
    <xf numFmtId="173" fontId="0" fillId="0" borderId="0" xfId="1" applyNumberFormat="1" applyFont="1"/>
    <xf numFmtId="174" fontId="0" fillId="0" borderId="0" xfId="1" applyNumberFormat="1" applyFont="1"/>
    <xf numFmtId="174" fontId="0" fillId="0" borderId="23" xfId="1" applyNumberFormat="1" applyFont="1" applyBorder="1"/>
    <xf numFmtId="174" fontId="1" fillId="0" borderId="23" xfId="1" applyNumberFormat="1" applyFont="1" applyBorder="1"/>
    <xf numFmtId="174" fontId="1" fillId="0" borderId="0" xfId="1" applyNumberFormat="1" applyFont="1"/>
    <xf numFmtId="0" fontId="29" fillId="0" borderId="0" xfId="0" applyFont="1"/>
    <xf numFmtId="174" fontId="0" fillId="0" borderId="0" xfId="0" applyNumberFormat="1"/>
    <xf numFmtId="0" fontId="30" fillId="0" borderId="0" xfId="0" quotePrefix="1" applyFont="1"/>
    <xf numFmtId="0" fontId="31" fillId="0" borderId="0" xfId="0" applyFont="1"/>
    <xf numFmtId="174" fontId="31" fillId="0" borderId="0" xfId="0" applyNumberFormat="1" applyFont="1"/>
    <xf numFmtId="174" fontId="0" fillId="0" borderId="23" xfId="0" applyNumberFormat="1" applyBorder="1"/>
    <xf numFmtId="2" fontId="0" fillId="0" borderId="0" xfId="0" applyNumberFormat="1" applyAlignment="1">
      <alignment horizontal="center"/>
    </xf>
    <xf numFmtId="0" fontId="28" fillId="0" borderId="0" xfId="0" quotePrefix="1" applyFont="1"/>
    <xf numFmtId="167" fontId="0" fillId="0" borderId="0" xfId="0" applyNumberFormat="1"/>
    <xf numFmtId="43" fontId="0" fillId="0" borderId="0" xfId="0" applyNumberFormat="1"/>
    <xf numFmtId="9" fontId="28" fillId="9" borderId="0" xfId="3" applyFont="1" applyFill="1"/>
    <xf numFmtId="0" fontId="34" fillId="0" borderId="0" xfId="0" applyFont="1"/>
    <xf numFmtId="166" fontId="34" fillId="0" borderId="0" xfId="3" applyNumberFormat="1" applyFont="1"/>
    <xf numFmtId="10" fontId="35" fillId="0" borderId="0" xfId="3" applyNumberFormat="1" applyFont="1"/>
    <xf numFmtId="0" fontId="36" fillId="0" borderId="0" xfId="0" applyFont="1"/>
    <xf numFmtId="0" fontId="35" fillId="0" borderId="0" xfId="0" applyFont="1"/>
    <xf numFmtId="0" fontId="37" fillId="0" borderId="0" xfId="0" applyFont="1"/>
    <xf numFmtId="0" fontId="32" fillId="0" borderId="0" xfId="2" applyAlignment="1">
      <alignment vertical="top" wrapText="1"/>
    </xf>
    <xf numFmtId="0" fontId="32" fillId="0" borderId="0" xfId="2" applyAlignment="1">
      <alignment vertical="top"/>
    </xf>
    <xf numFmtId="0" fontId="32" fillId="9" borderId="0" xfId="2" applyFill="1" applyAlignment="1">
      <alignment vertical="top"/>
    </xf>
    <xf numFmtId="0" fontId="32" fillId="9" borderId="0" xfId="2" applyFill="1" applyAlignment="1">
      <alignment vertical="top" wrapText="1"/>
    </xf>
    <xf numFmtId="2" fontId="32" fillId="9" borderId="0" xfId="2" applyNumberFormat="1" applyFill="1" applyAlignment="1">
      <alignment vertical="top" wrapText="1"/>
    </xf>
    <xf numFmtId="2" fontId="32" fillId="0" borderId="0" xfId="2" applyNumberFormat="1" applyAlignment="1">
      <alignment vertical="top" wrapText="1"/>
    </xf>
    <xf numFmtId="2" fontId="33" fillId="9" borderId="0" xfId="2" applyNumberFormat="1" applyFont="1" applyFill="1" applyAlignment="1">
      <alignment vertical="top" wrapText="1"/>
    </xf>
    <xf numFmtId="167" fontId="32" fillId="9" borderId="0" xfId="2" applyNumberFormat="1" applyFill="1" applyAlignment="1">
      <alignment vertical="top"/>
    </xf>
    <xf numFmtId="167" fontId="32" fillId="0" borderId="0" xfId="2" applyNumberFormat="1" applyAlignment="1">
      <alignment vertical="top"/>
    </xf>
    <xf numFmtId="167" fontId="33" fillId="9" borderId="0" xfId="2" applyNumberFormat="1" applyFont="1" applyFill="1" applyAlignment="1">
      <alignment vertical="top"/>
    </xf>
    <xf numFmtId="174" fontId="1" fillId="9" borderId="0" xfId="1" applyNumberFormat="1" applyFont="1" applyFill="1"/>
    <xf numFmtId="174" fontId="27" fillId="9" borderId="0" xfId="1" applyNumberFormat="1" applyFont="1" applyFill="1"/>
    <xf numFmtId="167" fontId="1" fillId="0" borderId="0" xfId="0" applyNumberFormat="1" applyFont="1"/>
    <xf numFmtId="0" fontId="38" fillId="0" borderId="0" xfId="0" applyFont="1"/>
    <xf numFmtId="167" fontId="38" fillId="0" borderId="0" xfId="0" applyNumberFormat="1" applyFont="1"/>
    <xf numFmtId="9" fontId="0" fillId="0" borderId="0" xfId="3" applyFont="1"/>
    <xf numFmtId="0" fontId="0" fillId="9" borderId="0" xfId="0" applyFill="1"/>
    <xf numFmtId="0" fontId="10" fillId="8" borderId="3" xfId="0" applyFont="1" applyFill="1" applyBorder="1" applyAlignment="1"/>
    <xf numFmtId="0" fontId="10" fillId="2" borderId="6" xfId="0" applyFont="1" applyFill="1" applyBorder="1" applyAlignment="1"/>
    <xf numFmtId="0" fontId="10" fillId="2" borderId="0" xfId="0" applyFont="1" applyFill="1" applyAlignment="1"/>
    <xf numFmtId="0" fontId="10" fillId="14" borderId="3" xfId="0" applyFont="1" applyFill="1" applyBorder="1" applyAlignment="1"/>
    <xf numFmtId="0" fontId="10" fillId="14" borderId="1" xfId="0" applyFont="1" applyFill="1" applyBorder="1" applyAlignment="1"/>
    <xf numFmtId="0" fontId="10" fillId="14" borderId="6" xfId="0" applyFont="1" applyFill="1" applyBorder="1" applyAlignment="1"/>
    <xf numFmtId="0" fontId="5" fillId="12" borderId="4" xfId="0" applyFont="1" applyFill="1" applyBorder="1" applyAlignment="1"/>
    <xf numFmtId="0" fontId="5" fillId="4" borderId="0" xfId="0" applyFont="1" applyFill="1" applyAlignment="1"/>
    <xf numFmtId="0" fontId="5" fillId="4" borderId="7" xfId="0" applyFont="1" applyFill="1" applyBorder="1" applyAlignment="1"/>
    <xf numFmtId="0" fontId="12" fillId="12" borderId="4" xfId="0" applyFont="1" applyFill="1" applyBorder="1" applyAlignment="1"/>
    <xf numFmtId="0" fontId="12" fillId="4" borderId="0" xfId="0" applyFont="1" applyFill="1" applyAlignment="1"/>
    <xf numFmtId="0" fontId="12" fillId="4" borderId="7" xfId="0" applyFont="1" applyFill="1" applyBorder="1" applyAlignment="1"/>
    <xf numFmtId="0" fontId="1" fillId="12" borderId="4" xfId="0" applyFont="1" applyFill="1" applyBorder="1" applyAlignment="1"/>
    <xf numFmtId="0" fontId="1" fillId="4" borderId="0" xfId="0" applyFont="1" applyFill="1" applyAlignment="1"/>
    <xf numFmtId="0" fontId="1" fillId="4" borderId="7" xfId="0" applyFont="1" applyFill="1" applyBorder="1" applyAlignment="1"/>
    <xf numFmtId="0" fontId="20" fillId="16" borderId="4" xfId="0" applyFont="1" applyFill="1" applyBorder="1" applyAlignment="1"/>
    <xf numFmtId="0" fontId="20" fillId="16" borderId="0" xfId="0" applyFont="1" applyFill="1" applyAlignment="1"/>
    <xf numFmtId="0" fontId="20" fillId="16" borderId="7" xfId="0" applyFont="1" applyFill="1" applyBorder="1" applyAlignment="1"/>
    <xf numFmtId="0" fontId="5" fillId="5" borderId="0" xfId="0" applyFont="1" applyFill="1" applyAlignment="1"/>
    <xf numFmtId="0" fontId="10" fillId="2" borderId="1" xfId="0" applyFont="1" applyFill="1" applyBorder="1" applyAlignment="1"/>
    <xf numFmtId="0" fontId="10" fillId="2" borderId="3" xfId="0" applyFont="1" applyFill="1" applyBorder="1" applyAlignment="1"/>
    <xf numFmtId="0" fontId="2" fillId="2" borderId="0" xfId="0" applyFont="1" applyFill="1" applyAlignment="1"/>
    <xf numFmtId="0" fontId="1" fillId="4" borderId="3" xfId="0" applyFont="1" applyFill="1" applyBorder="1" applyAlignment="1"/>
    <xf numFmtId="0" fontId="1" fillId="4" borderId="6" xfId="0" applyFont="1" applyFill="1" applyBorder="1" applyAlignment="1"/>
    <xf numFmtId="0" fontId="5" fillId="4" borderId="3" xfId="0" applyFont="1" applyFill="1" applyBorder="1" applyAlignment="1"/>
    <xf numFmtId="0" fontId="5" fillId="4" borderId="6" xfId="0" applyFont="1" applyFill="1" applyBorder="1" applyAlignment="1"/>
  </cellXfs>
  <cellStyles count="4">
    <cellStyle name="Comma" xfId="1" builtinId="3"/>
    <cellStyle name="Normal" xfId="0" builtinId="0"/>
    <cellStyle name="Normal 2" xfId="2" xr:uid="{F46AB872-31F9-4037-8A68-BB038190E296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88</xdr:row>
      <xdr:rowOff>19051</xdr:rowOff>
    </xdr:from>
    <xdr:to>
      <xdr:col>4</xdr:col>
      <xdr:colOff>21002</xdr:colOff>
      <xdr:row>98</xdr:row>
      <xdr:rowOff>146052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72A756-BFEF-706C-707A-B198C20B3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100" y="16681451"/>
          <a:ext cx="5480965" cy="2159000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68</xdr:row>
      <xdr:rowOff>114300</xdr:rowOff>
    </xdr:from>
    <xdr:to>
      <xdr:col>5</xdr:col>
      <xdr:colOff>755982</xdr:colOff>
      <xdr:row>72</xdr:row>
      <xdr:rowOff>92433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3E730D-42DB-35AA-BF6D-6C1F916AB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13525500"/>
          <a:ext cx="6972300" cy="790933"/>
        </a:xfrm>
        <a:prstGeom prst="rect">
          <a:avLst/>
        </a:prstGeom>
      </xdr:spPr>
    </xdr:pic>
    <xdr:clientData/>
  </xdr:twoCellAnchor>
  <xdr:twoCellAnchor editAs="oneCell">
    <xdr:from>
      <xdr:col>12</xdr:col>
      <xdr:colOff>527694</xdr:colOff>
      <xdr:row>41</xdr:row>
      <xdr:rowOff>182011</xdr:rowOff>
    </xdr:from>
    <xdr:to>
      <xdr:col>24</xdr:col>
      <xdr:colOff>175472</xdr:colOff>
      <xdr:row>70</xdr:row>
      <xdr:rowOff>152295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B63357-40FF-7F7A-E8ED-B85D00217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87047" y="8451952"/>
          <a:ext cx="7536720" cy="5819755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32</xdr:col>
      <xdr:colOff>267085</xdr:colOff>
      <xdr:row>66</xdr:row>
      <xdr:rowOff>185014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8DE883-779A-E07B-AD1B-06642D619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67545" y="8104909"/>
          <a:ext cx="7506086" cy="55882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72</xdr:row>
      <xdr:rowOff>0</xdr:rowOff>
    </xdr:from>
    <xdr:to>
      <xdr:col>17</xdr:col>
      <xdr:colOff>41768</xdr:colOff>
      <xdr:row>95</xdr:row>
      <xdr:rowOff>174304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9064C73-077F-7046-1E2B-80F813C33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70455" y="14547273"/>
          <a:ext cx="6199909" cy="49541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bs1bank-my.sharepoint.com/personal/harryyu_dbs_com/Documents/Microsoft%20Teams%20Chat%20Files/Multiples.xlsx" TargetMode="External"/><Relationship Id="rId1" Type="http://schemas.openxmlformats.org/officeDocument/2006/relationships/externalLinkPath" Target="Multip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E3">
            <v>37.82</v>
          </cell>
          <cell r="F3">
            <v>19.3</v>
          </cell>
        </row>
        <row r="5">
          <cell r="E5">
            <v>9.07</v>
          </cell>
          <cell r="F5">
            <v>8.07</v>
          </cell>
          <cell r="K5">
            <v>5.0199999999999996</v>
          </cell>
          <cell r="L5">
            <v>4.55</v>
          </cell>
        </row>
        <row r="6">
          <cell r="E6">
            <v>6.43</v>
          </cell>
          <cell r="F6">
            <v>5.41</v>
          </cell>
          <cell r="K6">
            <v>5.4</v>
          </cell>
          <cell r="L6">
            <v>4.66</v>
          </cell>
        </row>
        <row r="7">
          <cell r="E7">
            <v>10.02</v>
          </cell>
          <cell r="F7">
            <v>9.15</v>
          </cell>
          <cell r="K7">
            <v>5.96</v>
          </cell>
          <cell r="L7">
            <v>5.42</v>
          </cell>
        </row>
        <row r="16">
          <cell r="E16">
            <v>8.57</v>
          </cell>
          <cell r="F16">
            <v>8.17</v>
          </cell>
          <cell r="K16">
            <v>4.3899999999999997</v>
          </cell>
          <cell r="L16">
            <v>4.24</v>
          </cell>
        </row>
        <row r="17">
          <cell r="E17">
            <v>25.43</v>
          </cell>
          <cell r="F17">
            <v>19</v>
          </cell>
          <cell r="K17">
            <v>14</v>
          </cell>
          <cell r="L17">
            <v>11.86</v>
          </cell>
        </row>
        <row r="18">
          <cell r="E18">
            <v>22.64</v>
          </cell>
          <cell r="F18">
            <v>20.48</v>
          </cell>
          <cell r="K18">
            <v>11.05</v>
          </cell>
          <cell r="L18">
            <v>10.28</v>
          </cell>
        </row>
        <row r="19">
          <cell r="E19">
            <v>14.65</v>
          </cell>
          <cell r="F19">
            <v>13.33</v>
          </cell>
          <cell r="K19">
            <v>6.93</v>
          </cell>
          <cell r="L19">
            <v>6.58</v>
          </cell>
        </row>
        <row r="20">
          <cell r="E20">
            <v>19.11</v>
          </cell>
          <cell r="F20">
            <v>16.399999999999999</v>
          </cell>
          <cell r="K20">
            <v>9.11</v>
          </cell>
          <cell r="L20">
            <v>8.34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6F518E-F02C-1A4C-9E17-43D7E650FA8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7254ffd-d339-4e84-bc32-02dbc0ebde8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D0BA3-D646-AA4E-9BA0-55781BEC57A7}">
  <dimension ref="A1:I27"/>
  <sheetViews>
    <sheetView workbookViewId="0"/>
  </sheetViews>
  <sheetFormatPr defaultColWidth="11.125" defaultRowHeight="15.95"/>
  <cols>
    <col min="1" max="1" width="36.625" customWidth="1"/>
    <col min="2" max="9" width="15.875" customWidth="1"/>
  </cols>
  <sheetData>
    <row r="1" spans="1:9" ht="17.100000000000001">
      <c r="A1" s="125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72" t="s">
        <v>1</v>
      </c>
    </row>
    <row r="4" spans="1:9">
      <c r="A4" s="5" t="s">
        <v>2</v>
      </c>
      <c r="B4" s="2"/>
      <c r="C4" s="2"/>
      <c r="D4" s="2"/>
      <c r="E4" s="2"/>
      <c r="F4" s="2"/>
      <c r="G4" s="2"/>
      <c r="H4" s="2"/>
      <c r="I4" s="2"/>
    </row>
    <row r="5" spans="1:9">
      <c r="B5" s="73" t="s">
        <v>3</v>
      </c>
      <c r="C5" s="73" t="s">
        <v>4</v>
      </c>
      <c r="D5" s="73" t="s">
        <v>5</v>
      </c>
      <c r="E5" s="73" t="s">
        <v>6</v>
      </c>
      <c r="F5" s="73" t="s">
        <v>7</v>
      </c>
      <c r="G5" s="73" t="s">
        <v>8</v>
      </c>
      <c r="H5" s="73" t="s">
        <v>9</v>
      </c>
      <c r="I5" s="73" t="s">
        <v>10</v>
      </c>
    </row>
    <row r="6" spans="1:9">
      <c r="A6" s="11" t="s">
        <v>11</v>
      </c>
      <c r="B6" s="9" t="s">
        <v>12</v>
      </c>
      <c r="C6" s="9">
        <v>7.3795705000000003E-2</v>
      </c>
      <c r="D6" s="9">
        <v>-8.1958209000000004E-2</v>
      </c>
      <c r="E6" s="74">
        <v>0.04</v>
      </c>
      <c r="F6" s="74">
        <v>0.05</v>
      </c>
      <c r="G6" s="74">
        <v>4.4999999999999998E-2</v>
      </c>
      <c r="H6" s="74">
        <v>0.04</v>
      </c>
      <c r="I6" s="74">
        <v>3.5000000000000003E-2</v>
      </c>
    </row>
    <row r="7" spans="1:9">
      <c r="A7" t="s">
        <v>13</v>
      </c>
      <c r="B7" s="9">
        <v>0.93215431071489996</v>
      </c>
      <c r="C7" s="9">
        <v>0.93290561500000002</v>
      </c>
      <c r="D7" s="9">
        <v>0.92958577499999995</v>
      </c>
      <c r="E7" s="74">
        <v>0.92900000000000005</v>
      </c>
      <c r="F7" s="74">
        <v>0.92700000000000005</v>
      </c>
      <c r="G7" s="74">
        <v>0.92500000000000004</v>
      </c>
      <c r="H7" s="74">
        <v>0.92300000000000004</v>
      </c>
      <c r="I7" s="74">
        <v>0.92200000000000004</v>
      </c>
    </row>
    <row r="8" spans="1:9">
      <c r="A8" t="s">
        <v>14</v>
      </c>
      <c r="B8" s="9">
        <v>1.2918419E-2</v>
      </c>
      <c r="C8" s="9">
        <v>7.9451039999999997E-3</v>
      </c>
      <c r="D8" s="9">
        <v>1.1120315E-2</v>
      </c>
      <c r="E8" s="74">
        <v>1.0999999999999999E-2</v>
      </c>
      <c r="F8" s="74">
        <v>1.0999999999999999E-2</v>
      </c>
      <c r="G8" s="74">
        <v>0.01</v>
      </c>
      <c r="H8" s="74">
        <v>0.01</v>
      </c>
      <c r="I8" s="74">
        <v>0.01</v>
      </c>
    </row>
    <row r="9" spans="1:9">
      <c r="A9" t="s">
        <v>15</v>
      </c>
      <c r="B9" s="9">
        <v>3.3552863000000002E-2</v>
      </c>
      <c r="C9" s="9">
        <v>3.2586958999999999E-2</v>
      </c>
      <c r="D9" s="9">
        <v>3.2036845000000001E-2</v>
      </c>
      <c r="E9" s="74">
        <v>3.2000000000000001E-2</v>
      </c>
      <c r="F9" s="74">
        <v>3.1E-2</v>
      </c>
      <c r="G9" s="74">
        <v>0.03</v>
      </c>
      <c r="H9" s="74">
        <v>0.03</v>
      </c>
      <c r="I9" s="74">
        <v>2.9000000000000001E-2</v>
      </c>
    </row>
    <row r="10" spans="1:9">
      <c r="A10" t="s">
        <v>16</v>
      </c>
      <c r="B10" s="9">
        <v>6.425404E-3</v>
      </c>
      <c r="C10" s="9">
        <v>9.0382440000000008E-3</v>
      </c>
      <c r="D10" s="9">
        <v>6.8070780000000003E-3</v>
      </c>
      <c r="E10" s="74">
        <v>7.0000000000000001E-3</v>
      </c>
      <c r="F10" s="74">
        <v>7.0000000000000001E-3</v>
      </c>
      <c r="G10" s="74">
        <v>6.0000000000000001E-3</v>
      </c>
      <c r="H10" s="74">
        <v>6.0000000000000001E-3</v>
      </c>
      <c r="I10" s="74">
        <v>6.0000000000000001E-3</v>
      </c>
    </row>
    <row r="11" spans="1:9">
      <c r="A11" t="s">
        <v>17</v>
      </c>
      <c r="B11" s="9">
        <v>3.6085879999999998E-3</v>
      </c>
      <c r="C11" s="9">
        <v>3.236788E-3</v>
      </c>
      <c r="D11" s="9">
        <v>3.7194419999999999E-3</v>
      </c>
      <c r="E11" s="74">
        <v>4.0000000000000001E-3</v>
      </c>
      <c r="F11" s="74">
        <v>4.0000000000000001E-3</v>
      </c>
      <c r="G11" s="74">
        <v>4.0000000000000001E-3</v>
      </c>
      <c r="H11" s="74">
        <v>4.0000000000000001E-3</v>
      </c>
      <c r="I11" s="74">
        <v>4.0000000000000001E-3</v>
      </c>
    </row>
    <row r="12" spans="1:9">
      <c r="A12" t="s">
        <v>18</v>
      </c>
      <c r="B12" s="9">
        <v>2.2741440000000001E-3</v>
      </c>
      <c r="C12" s="9">
        <v>1.6755920000000001E-3</v>
      </c>
      <c r="D12" s="9">
        <v>2.2999850000000001E-3</v>
      </c>
      <c r="E12" s="74">
        <v>2E-3</v>
      </c>
      <c r="F12" s="74">
        <v>2E-3</v>
      </c>
      <c r="G12" s="74">
        <v>2E-3</v>
      </c>
      <c r="H12" s="74">
        <v>2E-3</v>
      </c>
      <c r="I12" s="74">
        <v>2E-3</v>
      </c>
    </row>
    <row r="13" spans="1:9">
      <c r="A13" t="s">
        <v>19</v>
      </c>
      <c r="B13" s="6">
        <v>39764</v>
      </c>
      <c r="C13" s="6">
        <v>33282</v>
      </c>
      <c r="D13" s="6">
        <v>38587</v>
      </c>
      <c r="E13" s="10">
        <v>35000</v>
      </c>
      <c r="F13" s="10">
        <v>33000</v>
      </c>
      <c r="G13" s="10">
        <v>31000</v>
      </c>
      <c r="H13" s="10">
        <v>30000</v>
      </c>
      <c r="I13" s="10">
        <v>29000</v>
      </c>
    </row>
    <row r="14" spans="1:9">
      <c r="A14" t="s">
        <v>20</v>
      </c>
      <c r="B14" s="6">
        <v>8242</v>
      </c>
      <c r="C14" s="6">
        <v>15403</v>
      </c>
      <c r="D14" s="6">
        <v>13836</v>
      </c>
      <c r="E14" s="10">
        <v>12000</v>
      </c>
      <c r="F14" s="10">
        <v>11000</v>
      </c>
      <c r="G14" s="10">
        <v>10000</v>
      </c>
      <c r="H14" s="10">
        <v>10000</v>
      </c>
      <c r="I14" s="10">
        <v>10000</v>
      </c>
    </row>
    <row r="15" spans="1:9">
      <c r="A15" t="s">
        <v>21</v>
      </c>
      <c r="B15" s="75">
        <v>60185</v>
      </c>
      <c r="C15" s="75">
        <v>27271</v>
      </c>
      <c r="D15" s="75">
        <v>22257</v>
      </c>
      <c r="E15" s="76">
        <v>15000</v>
      </c>
      <c r="F15" s="76">
        <v>12000</v>
      </c>
      <c r="G15" s="76">
        <v>10000</v>
      </c>
      <c r="H15" s="76">
        <v>10000</v>
      </c>
      <c r="I15" s="76">
        <v>10000</v>
      </c>
    </row>
    <row r="16" spans="1:9">
      <c r="A16" t="s">
        <v>22</v>
      </c>
      <c r="B16" s="7">
        <v>0.34399999999999997</v>
      </c>
      <c r="C16" s="7">
        <v>0.24199999999999999</v>
      </c>
      <c r="D16" s="7">
        <v>0.17299999999999999</v>
      </c>
      <c r="E16" s="7">
        <v>0.2</v>
      </c>
      <c r="F16" s="7">
        <v>0.2</v>
      </c>
      <c r="G16" s="7">
        <v>0.2</v>
      </c>
      <c r="H16" s="7">
        <v>0.2</v>
      </c>
      <c r="I16" s="7">
        <v>0.2</v>
      </c>
    </row>
    <row r="17" spans="1:9">
      <c r="A17" t="s">
        <v>23</v>
      </c>
      <c r="B17" s="75">
        <v>-37</v>
      </c>
      <c r="C17" s="75">
        <v>180</v>
      </c>
      <c r="D17" s="75">
        <v>32562</v>
      </c>
      <c r="E17" s="75">
        <v>1000</v>
      </c>
      <c r="F17" s="75">
        <v>1000</v>
      </c>
      <c r="G17" s="75">
        <v>1000</v>
      </c>
      <c r="H17" s="75">
        <v>1000</v>
      </c>
      <c r="I17" s="75">
        <v>1000</v>
      </c>
    </row>
    <row r="19" spans="1:9">
      <c r="A19" s="5" t="s">
        <v>24</v>
      </c>
      <c r="B19" s="2"/>
      <c r="C19" s="2"/>
      <c r="D19" s="2"/>
      <c r="E19" s="2"/>
      <c r="F19" s="2"/>
      <c r="G19" s="2"/>
      <c r="H19" s="2"/>
      <c r="I19" s="2"/>
    </row>
    <row r="20" spans="1:9">
      <c r="A20" t="s">
        <v>25</v>
      </c>
      <c r="B20" s="77">
        <v>39.9</v>
      </c>
      <c r="C20" s="77">
        <v>39.4</v>
      </c>
      <c r="D20" s="77">
        <v>32.9</v>
      </c>
      <c r="E20" s="77">
        <v>35</v>
      </c>
      <c r="F20" s="77">
        <v>35</v>
      </c>
      <c r="G20" s="77">
        <v>34</v>
      </c>
      <c r="H20" s="77">
        <v>34</v>
      </c>
      <c r="I20" s="77">
        <v>33</v>
      </c>
    </row>
    <row r="21" spans="1:9">
      <c r="A21" t="s">
        <v>26</v>
      </c>
      <c r="B21" s="77">
        <v>6.3</v>
      </c>
      <c r="C21" s="77">
        <v>5.8</v>
      </c>
      <c r="D21" s="77">
        <v>7.9</v>
      </c>
      <c r="E21" s="77">
        <v>7</v>
      </c>
      <c r="F21" s="77">
        <v>7</v>
      </c>
      <c r="G21" s="77">
        <v>7</v>
      </c>
      <c r="H21" s="77">
        <v>7</v>
      </c>
      <c r="I21" s="77">
        <v>7</v>
      </c>
    </row>
    <row r="22" spans="1:9">
      <c r="A22" t="s">
        <v>27</v>
      </c>
      <c r="B22" s="77">
        <v>55.1</v>
      </c>
      <c r="C22" s="77">
        <v>51.5</v>
      </c>
      <c r="D22" s="77">
        <v>48.4</v>
      </c>
      <c r="E22" s="77">
        <v>48</v>
      </c>
      <c r="F22" s="77">
        <v>48</v>
      </c>
      <c r="G22" s="77">
        <v>47</v>
      </c>
      <c r="H22" s="77">
        <v>47</v>
      </c>
      <c r="I22" s="77">
        <v>47</v>
      </c>
    </row>
    <row r="24" spans="1:9">
      <c r="A24" t="s">
        <v>28</v>
      </c>
      <c r="B24" s="6">
        <v>5000</v>
      </c>
      <c r="C24" s="6">
        <v>5000</v>
      </c>
      <c r="D24" s="6">
        <v>5000</v>
      </c>
      <c r="E24" s="6">
        <v>5000</v>
      </c>
      <c r="F24" s="6">
        <v>5000</v>
      </c>
      <c r="G24" s="6">
        <v>5000</v>
      </c>
      <c r="H24" s="6">
        <v>5000</v>
      </c>
      <c r="I24" s="6">
        <v>5000</v>
      </c>
    </row>
    <row r="25" spans="1:9">
      <c r="A25" t="s">
        <v>29</v>
      </c>
      <c r="B25" s="6">
        <v>0</v>
      </c>
      <c r="C25" s="6">
        <v>0</v>
      </c>
      <c r="D25" s="6">
        <v>35017</v>
      </c>
      <c r="E25" s="6">
        <v>20000</v>
      </c>
      <c r="F25" s="6">
        <v>25000</v>
      </c>
      <c r="G25" s="6">
        <v>30000</v>
      </c>
      <c r="H25" s="6">
        <v>30000</v>
      </c>
      <c r="I25" s="6">
        <v>35000</v>
      </c>
    </row>
    <row r="26" spans="1:9">
      <c r="A26" t="s">
        <v>30</v>
      </c>
      <c r="B26" s="75">
        <v>0</v>
      </c>
      <c r="C26" s="75">
        <v>145208</v>
      </c>
      <c r="D26" s="75">
        <v>-133178</v>
      </c>
      <c r="E26" s="75">
        <v>0</v>
      </c>
      <c r="F26" s="75">
        <v>0</v>
      </c>
      <c r="G26" s="75">
        <v>-50000</v>
      </c>
      <c r="H26" s="75">
        <v>-50000</v>
      </c>
      <c r="I26" s="75">
        <v>-50000</v>
      </c>
    </row>
    <row r="27" spans="1:9">
      <c r="A27" t="s">
        <v>31</v>
      </c>
      <c r="B27" s="75">
        <v>0</v>
      </c>
      <c r="C27" s="75">
        <v>0</v>
      </c>
      <c r="D27" s="75">
        <v>0</v>
      </c>
      <c r="E27" s="75">
        <v>0</v>
      </c>
      <c r="F27" s="75">
        <v>0</v>
      </c>
      <c r="G27" s="75">
        <v>0</v>
      </c>
      <c r="H27" s="75">
        <v>0</v>
      </c>
      <c r="I27" s="75">
        <v>0</v>
      </c>
    </row>
  </sheetData>
  <pageMargins left="0.7" right="0.7" top="0.75" bottom="0.75" header="0.3" footer="0.3"/>
  <pageSetup paperSize="9" scale="5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06B0-0A6A-8D45-9B29-EB2D5E61ED2E}">
  <dimension ref="A1:I153"/>
  <sheetViews>
    <sheetView topLeftCell="A23" workbookViewId="0">
      <selection activeCell="F43" sqref="B43:F43"/>
    </sheetView>
  </sheetViews>
  <sheetFormatPr defaultColWidth="11.125" defaultRowHeight="15.95"/>
  <cols>
    <col min="1" max="1" width="33.375" customWidth="1"/>
    <col min="2" max="9" width="14.125" customWidth="1"/>
  </cols>
  <sheetData>
    <row r="1" spans="1:9" ht="18.600000000000001">
      <c r="A1" s="1" t="s">
        <v>32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33</v>
      </c>
    </row>
    <row r="4" spans="1:9">
      <c r="A4" s="4" t="s">
        <v>34</v>
      </c>
      <c r="B4" s="103">
        <v>2</v>
      </c>
    </row>
    <row r="5" spans="1:9">
      <c r="A5" s="4" t="s">
        <v>35</v>
      </c>
      <c r="B5" s="4" t="str">
        <f>IF(B4=1,"Bear",IF(B4=2,"Base","Bull"))</f>
        <v>Base</v>
      </c>
    </row>
    <row r="6" spans="1:9" ht="16.5" thickBot="1"/>
    <row r="7" spans="1:9">
      <c r="A7" s="183" t="s">
        <v>36</v>
      </c>
      <c r="B7" s="184"/>
      <c r="C7" s="185"/>
      <c r="D7" s="185"/>
      <c r="E7" s="185"/>
      <c r="F7" s="185"/>
      <c r="G7" s="185"/>
      <c r="H7" s="185"/>
      <c r="I7" s="185"/>
    </row>
    <row r="8" spans="1:9">
      <c r="A8" s="12" t="s">
        <v>37</v>
      </c>
      <c r="B8" s="14">
        <v>1370000</v>
      </c>
    </row>
    <row r="9" spans="1:9">
      <c r="A9" s="12" t="s">
        <v>38</v>
      </c>
      <c r="B9" s="14">
        <v>8540000</v>
      </c>
    </row>
    <row r="10" spans="1:9">
      <c r="A10" s="12" t="s">
        <v>39</v>
      </c>
      <c r="B10" s="15">
        <v>1.25</v>
      </c>
    </row>
    <row r="11" spans="1:9">
      <c r="A11" s="12" t="s">
        <v>40</v>
      </c>
      <c r="B11" s="16">
        <v>-135626</v>
      </c>
    </row>
    <row r="12" spans="1:9">
      <c r="A12" s="12" t="s">
        <v>41</v>
      </c>
      <c r="B12" s="14">
        <v>325000</v>
      </c>
    </row>
    <row r="13" spans="1:9">
      <c r="A13" s="12" t="s">
        <v>42</v>
      </c>
      <c r="B13" s="14">
        <v>460626</v>
      </c>
    </row>
    <row r="14" spans="1:9">
      <c r="A14" s="12" t="s">
        <v>43</v>
      </c>
      <c r="B14" s="17" t="s">
        <v>44</v>
      </c>
    </row>
    <row r="15" spans="1:9">
      <c r="A15" s="12" t="s">
        <v>45</v>
      </c>
      <c r="B15" s="18">
        <v>5.5E-2</v>
      </c>
    </row>
    <row r="16" spans="1:9">
      <c r="A16" s="12" t="s">
        <v>46</v>
      </c>
      <c r="B16" s="18">
        <v>4.3200000000000002E-2</v>
      </c>
    </row>
    <row r="17" spans="1:9" ht="16.5" thickBot="1">
      <c r="A17" s="13" t="s">
        <v>47</v>
      </c>
      <c r="B17" s="90">
        <v>0.9</v>
      </c>
    </row>
    <row r="18" spans="1:9" ht="16.5" thickBot="1">
      <c r="A18" s="120" t="s">
        <v>48</v>
      </c>
      <c r="B18" s="121">
        <v>7.8</v>
      </c>
      <c r="C18" s="79"/>
      <c r="D18" s="79"/>
      <c r="E18" s="79"/>
    </row>
    <row r="19" spans="1:9">
      <c r="A19" s="186" t="s">
        <v>49</v>
      </c>
      <c r="B19" s="187"/>
      <c r="C19" s="187"/>
      <c r="D19" s="187"/>
      <c r="E19" s="187"/>
      <c r="F19" s="188"/>
      <c r="G19" s="185"/>
      <c r="H19" s="185"/>
      <c r="I19" s="185"/>
    </row>
    <row r="20" spans="1:9">
      <c r="A20" s="189" t="s">
        <v>50</v>
      </c>
      <c r="B20" s="190"/>
      <c r="C20" s="190"/>
      <c r="D20" s="190"/>
      <c r="E20" s="190"/>
      <c r="F20" s="191"/>
      <c r="G20" s="190"/>
      <c r="H20" s="190"/>
      <c r="I20" s="190"/>
    </row>
    <row r="21" spans="1:9">
      <c r="A21" s="22" t="s">
        <v>51</v>
      </c>
      <c r="B21" s="19" t="s">
        <v>6</v>
      </c>
      <c r="C21" s="19" t="s">
        <v>7</v>
      </c>
      <c r="D21" s="19" t="s">
        <v>8</v>
      </c>
      <c r="E21" s="19" t="s">
        <v>9</v>
      </c>
      <c r="F21" s="28" t="s">
        <v>10</v>
      </c>
    </row>
    <row r="22" spans="1:9">
      <c r="A22" s="26" t="s">
        <v>52</v>
      </c>
      <c r="B22" s="80">
        <v>0.02</v>
      </c>
      <c r="C22" s="80">
        <v>0.02</v>
      </c>
      <c r="D22" s="80">
        <v>1.4999999999999999E-2</v>
      </c>
      <c r="E22" s="80">
        <v>1.4999999999999999E-2</v>
      </c>
      <c r="F22" s="18">
        <v>0.01</v>
      </c>
    </row>
    <row r="23" spans="1:9">
      <c r="A23" s="23" t="s">
        <v>53</v>
      </c>
      <c r="B23" s="7">
        <v>1.4999999999999999E-2</v>
      </c>
      <c r="C23" s="7">
        <v>1.6E-2</v>
      </c>
      <c r="D23" s="7">
        <v>1.7000000000000001E-2</v>
      </c>
      <c r="E23" s="7">
        <v>1.7999999999999999E-2</v>
      </c>
      <c r="F23" s="18">
        <v>1.7999999999999999E-2</v>
      </c>
    </row>
    <row r="24" spans="1:9">
      <c r="A24" s="23" t="s">
        <v>54</v>
      </c>
      <c r="B24" s="7">
        <v>6.0000000000000001E-3</v>
      </c>
      <c r="C24" s="7">
        <v>6.0000000000000001E-3</v>
      </c>
      <c r="D24" s="7">
        <v>6.0000000000000001E-3</v>
      </c>
      <c r="E24" s="7">
        <v>6.0000000000000001E-3</v>
      </c>
      <c r="F24" s="18">
        <v>6.0000000000000001E-3</v>
      </c>
    </row>
    <row r="25" spans="1:9">
      <c r="A25" s="23" t="s">
        <v>55</v>
      </c>
      <c r="B25" s="7">
        <f>B24</f>
        <v>6.0000000000000001E-3</v>
      </c>
      <c r="C25" s="7">
        <f>C24</f>
        <v>6.0000000000000001E-3</v>
      </c>
      <c r="D25" s="7">
        <f>D24</f>
        <v>6.0000000000000001E-3</v>
      </c>
      <c r="E25" s="7">
        <f>E24</f>
        <v>6.0000000000000001E-3</v>
      </c>
      <c r="F25" s="18">
        <f>F24</f>
        <v>6.0000000000000001E-3</v>
      </c>
    </row>
    <row r="26" spans="1:9">
      <c r="A26" s="23" t="s">
        <v>56</v>
      </c>
      <c r="B26" s="7">
        <v>1.4999999999999999E-2</v>
      </c>
      <c r="C26" s="7">
        <v>1.4999999999999999E-2</v>
      </c>
      <c r="D26" s="7">
        <v>1.4999999999999999E-2</v>
      </c>
      <c r="E26" s="7">
        <v>1.4999999999999999E-2</v>
      </c>
      <c r="F26" s="18">
        <v>1.4999999999999999E-2</v>
      </c>
    </row>
    <row r="27" spans="1:9">
      <c r="A27" s="23" t="s">
        <v>57</v>
      </c>
      <c r="B27" s="7">
        <v>0.2</v>
      </c>
      <c r="C27" s="7">
        <v>0.2</v>
      </c>
      <c r="D27" s="7">
        <v>0.2</v>
      </c>
      <c r="E27" s="7">
        <v>0.2</v>
      </c>
      <c r="F27" s="18">
        <v>0.2</v>
      </c>
    </row>
    <row r="28" spans="1:9">
      <c r="A28" s="23" t="s">
        <v>58</v>
      </c>
      <c r="B28" s="7">
        <v>1.4999999999999999E-2</v>
      </c>
      <c r="C28" s="9"/>
      <c r="D28" s="9"/>
      <c r="E28" s="9"/>
      <c r="F28" s="31"/>
    </row>
    <row r="29" spans="1:9">
      <c r="A29" s="23" t="s">
        <v>59</v>
      </c>
      <c r="B29" s="7">
        <f>WACC!B32</f>
        <v>9.7633793774101141E-2</v>
      </c>
      <c r="C29" s="9"/>
      <c r="D29" s="9"/>
      <c r="E29" s="9"/>
      <c r="F29" s="31"/>
    </row>
    <row r="30" spans="1:9">
      <c r="A30" s="114"/>
      <c r="B30" s="78"/>
      <c r="C30" s="78"/>
      <c r="D30" s="78"/>
      <c r="E30" s="78"/>
      <c r="F30" s="109"/>
    </row>
    <row r="31" spans="1:9">
      <c r="A31" s="192" t="s">
        <v>60</v>
      </c>
      <c r="B31" s="193"/>
      <c r="C31" s="193"/>
      <c r="D31" s="193"/>
      <c r="E31" s="193"/>
      <c r="F31" s="194"/>
      <c r="G31" s="193"/>
      <c r="H31" s="193"/>
      <c r="I31" s="193"/>
    </row>
    <row r="32" spans="1:9">
      <c r="A32" s="22" t="s">
        <v>51</v>
      </c>
      <c r="B32" s="19" t="s">
        <v>6</v>
      </c>
      <c r="C32" s="19" t="s">
        <v>7</v>
      </c>
      <c r="D32" s="19" t="s">
        <v>8</v>
      </c>
      <c r="E32" s="19" t="s">
        <v>9</v>
      </c>
      <c r="F32" s="28" t="s">
        <v>10</v>
      </c>
    </row>
    <row r="33" spans="1:9">
      <c r="A33" s="23" t="s">
        <v>52</v>
      </c>
      <c r="B33" s="7">
        <v>0.03</v>
      </c>
      <c r="C33" s="7">
        <v>0.04</v>
      </c>
      <c r="D33" s="7">
        <v>3.5000000000000003E-2</v>
      </c>
      <c r="E33" s="7">
        <v>0.03</v>
      </c>
      <c r="F33" s="18">
        <v>2.5000000000000001E-2</v>
      </c>
    </row>
    <row r="34" spans="1:9">
      <c r="A34" s="23" t="s">
        <v>53</v>
      </c>
      <c r="B34" s="7">
        <v>1.7999999999999999E-2</v>
      </c>
      <c r="C34" s="7">
        <v>0.02</v>
      </c>
      <c r="D34" s="7">
        <v>2.1999999999999999E-2</v>
      </c>
      <c r="E34" s="7">
        <v>2.4E-2</v>
      </c>
      <c r="F34" s="18">
        <v>2.5000000000000001E-2</v>
      </c>
    </row>
    <row r="35" spans="1:9">
      <c r="A35" s="23" t="s">
        <v>54</v>
      </c>
      <c r="B35" s="7">
        <v>6.0000000000000001E-3</v>
      </c>
      <c r="C35" s="7">
        <v>6.0000000000000001E-3</v>
      </c>
      <c r="D35" s="7">
        <v>6.0000000000000001E-3</v>
      </c>
      <c r="E35" s="7">
        <v>6.0000000000000001E-3</v>
      </c>
      <c r="F35" s="18">
        <v>6.0000000000000001E-3</v>
      </c>
    </row>
    <row r="36" spans="1:9">
      <c r="A36" s="23" t="s">
        <v>55</v>
      </c>
      <c r="B36" s="7">
        <f>B35*1.2</f>
        <v>7.1999999999999998E-3</v>
      </c>
      <c r="C36" s="7">
        <f>C35*1.2</f>
        <v>7.1999999999999998E-3</v>
      </c>
      <c r="D36" s="7">
        <f>D35*1.2</f>
        <v>7.1999999999999998E-3</v>
      </c>
      <c r="E36" s="7">
        <f>E35*1.2</f>
        <v>7.1999999999999998E-3</v>
      </c>
      <c r="F36" s="18">
        <f>F35*1.2</f>
        <v>7.1999999999999998E-3</v>
      </c>
    </row>
    <row r="37" spans="1:9">
      <c r="A37" s="23" t="s">
        <v>56</v>
      </c>
      <c r="B37" s="7">
        <v>0.01</v>
      </c>
      <c r="C37" s="7">
        <v>0.01</v>
      </c>
      <c r="D37" s="7">
        <v>0.01</v>
      </c>
      <c r="E37" s="7">
        <v>0.01</v>
      </c>
      <c r="F37" s="18">
        <v>0.01</v>
      </c>
    </row>
    <row r="38" spans="1:9">
      <c r="A38" s="23" t="s">
        <v>57</v>
      </c>
      <c r="B38" s="7">
        <v>0.2</v>
      </c>
      <c r="C38" s="7">
        <v>0.2</v>
      </c>
      <c r="D38" s="7">
        <v>0.2</v>
      </c>
      <c r="E38" s="7">
        <v>0.2</v>
      </c>
      <c r="F38" s="18">
        <v>0.2</v>
      </c>
    </row>
    <row r="39" spans="1:9">
      <c r="A39" s="23" t="s">
        <v>58</v>
      </c>
      <c r="B39" s="7">
        <v>0.02</v>
      </c>
      <c r="C39" s="9"/>
      <c r="D39" s="9"/>
      <c r="E39" s="9"/>
      <c r="F39" s="31"/>
    </row>
    <row r="40" spans="1:9">
      <c r="A40" s="23" t="s">
        <v>61</v>
      </c>
      <c r="B40" s="7">
        <f>WACC!B32</f>
        <v>9.7633793774101141E-2</v>
      </c>
      <c r="C40" s="9"/>
      <c r="D40" s="9"/>
      <c r="E40" s="9"/>
      <c r="F40" s="31"/>
    </row>
    <row r="41" spans="1:9">
      <c r="A41" s="115"/>
      <c r="B41" s="110"/>
      <c r="C41" s="110"/>
      <c r="D41" s="110"/>
      <c r="E41" s="110"/>
      <c r="F41" s="111"/>
    </row>
    <row r="42" spans="1:9">
      <c r="A42" s="195" t="s">
        <v>62</v>
      </c>
      <c r="B42" s="196"/>
      <c r="C42" s="196"/>
      <c r="D42" s="196"/>
      <c r="E42" s="196"/>
      <c r="F42" s="197"/>
      <c r="G42" s="196"/>
      <c r="H42" s="196"/>
      <c r="I42" s="196"/>
    </row>
    <row r="43" spans="1:9">
      <c r="A43" s="22" t="s">
        <v>51</v>
      </c>
      <c r="B43" s="19" t="s">
        <v>6</v>
      </c>
      <c r="C43" s="19" t="s">
        <v>7</v>
      </c>
      <c r="D43" s="19" t="s">
        <v>8</v>
      </c>
      <c r="E43" s="19" t="s">
        <v>9</v>
      </c>
      <c r="F43" s="28" t="s">
        <v>10</v>
      </c>
      <c r="G43" s="28" t="s">
        <v>63</v>
      </c>
    </row>
    <row r="44" spans="1:9">
      <c r="A44" s="23" t="s">
        <v>52</v>
      </c>
      <c r="B44" s="7">
        <v>0.05</v>
      </c>
      <c r="C44" s="7">
        <v>0.06</v>
      </c>
      <c r="D44" s="7">
        <v>5.5E-2</v>
      </c>
      <c r="E44" s="7">
        <v>4.4999999999999998E-2</v>
      </c>
      <c r="F44" s="18">
        <v>3.5000000000000003E-2</v>
      </c>
    </row>
    <row r="45" spans="1:9">
      <c r="A45" s="23" t="s">
        <v>53</v>
      </c>
      <c r="B45" s="7">
        <v>0.02</v>
      </c>
      <c r="C45" s="7">
        <v>2.3E-2</v>
      </c>
      <c r="D45" s="7">
        <v>2.5999999999999999E-2</v>
      </c>
      <c r="E45" s="7">
        <v>2.8000000000000001E-2</v>
      </c>
      <c r="F45" s="18">
        <v>0.03</v>
      </c>
    </row>
    <row r="46" spans="1:9">
      <c r="A46" s="23" t="s">
        <v>54</v>
      </c>
      <c r="B46" s="7">
        <v>6.0000000000000001E-3</v>
      </c>
      <c r="C46" s="7">
        <v>6.0000000000000001E-3</v>
      </c>
      <c r="D46" s="7">
        <v>6.0000000000000001E-3</v>
      </c>
      <c r="E46" s="7">
        <v>6.0000000000000001E-3</v>
      </c>
      <c r="F46" s="18">
        <v>6.0000000000000001E-3</v>
      </c>
    </row>
    <row r="47" spans="1:9">
      <c r="A47" s="23" t="s">
        <v>55</v>
      </c>
      <c r="B47" s="7">
        <f>B46*1.5</f>
        <v>9.0000000000000011E-3</v>
      </c>
      <c r="C47" s="7">
        <f>C46*1.5</f>
        <v>9.0000000000000011E-3</v>
      </c>
      <c r="D47" s="7">
        <f>D46*1.5</f>
        <v>9.0000000000000011E-3</v>
      </c>
      <c r="E47" s="7">
        <f>E46*1.5</f>
        <v>9.0000000000000011E-3</v>
      </c>
      <c r="F47" s="18">
        <f>F46*1.5</f>
        <v>9.0000000000000011E-3</v>
      </c>
    </row>
    <row r="48" spans="1:9">
      <c r="A48" s="23" t="s">
        <v>56</v>
      </c>
      <c r="B48" s="7">
        <v>5.0000000000000001E-3</v>
      </c>
      <c r="C48" s="7">
        <v>5.0000000000000001E-3</v>
      </c>
      <c r="D48" s="7">
        <v>5.0000000000000001E-3</v>
      </c>
      <c r="E48" s="7">
        <v>5.0000000000000001E-3</v>
      </c>
      <c r="F48" s="18">
        <v>5.0000000000000001E-3</v>
      </c>
    </row>
    <row r="49" spans="1:9">
      <c r="A49" s="23" t="s">
        <v>57</v>
      </c>
      <c r="B49" s="7">
        <v>0.2</v>
      </c>
      <c r="C49" s="7">
        <v>0.2</v>
      </c>
      <c r="D49" s="7">
        <v>0.2</v>
      </c>
      <c r="E49" s="7">
        <v>0.2</v>
      </c>
      <c r="F49" s="18">
        <v>0.2</v>
      </c>
    </row>
    <row r="50" spans="1:9">
      <c r="A50" s="23" t="s">
        <v>58</v>
      </c>
      <c r="B50" s="7">
        <v>2.2499999999999999E-2</v>
      </c>
      <c r="C50" s="9"/>
      <c r="D50" s="9"/>
      <c r="E50" s="9"/>
      <c r="F50" s="31"/>
    </row>
    <row r="51" spans="1:9">
      <c r="A51" s="23" t="s">
        <v>61</v>
      </c>
      <c r="B51" s="7">
        <f>WACC!B32</f>
        <v>9.7633793774101141E-2</v>
      </c>
      <c r="C51" s="9"/>
      <c r="D51" s="9"/>
      <c r="E51" s="9"/>
      <c r="F51" s="31"/>
    </row>
    <row r="52" spans="1:9">
      <c r="A52" s="116"/>
      <c r="B52" s="112"/>
      <c r="C52" s="112"/>
      <c r="D52" s="112"/>
      <c r="E52" s="112"/>
      <c r="F52" s="113"/>
    </row>
    <row r="53" spans="1:9">
      <c r="A53" s="198" t="s">
        <v>64</v>
      </c>
      <c r="B53" s="199"/>
      <c r="C53" s="199"/>
      <c r="D53" s="199"/>
      <c r="E53" s="199"/>
      <c r="F53" s="200"/>
      <c r="G53" s="201"/>
      <c r="H53" s="201"/>
      <c r="I53" s="201"/>
    </row>
    <row r="54" spans="1:9">
      <c r="A54" s="25" t="s">
        <v>51</v>
      </c>
      <c r="B54" s="20" t="s">
        <v>6</v>
      </c>
      <c r="C54" s="20" t="s">
        <v>7</v>
      </c>
      <c r="D54" s="20" t="s">
        <v>8</v>
      </c>
      <c r="E54" s="20" t="s">
        <v>9</v>
      </c>
      <c r="F54" s="30" t="s">
        <v>10</v>
      </c>
    </row>
    <row r="55" spans="1:9">
      <c r="A55" s="26" t="s">
        <v>52</v>
      </c>
      <c r="B55" s="9">
        <f t="shared" ref="B55:F60" si="0">CHOOSE($B$4,B22,B33,B44)</f>
        <v>0.03</v>
      </c>
      <c r="C55" s="9">
        <f t="shared" si="0"/>
        <v>0.04</v>
      </c>
      <c r="D55" s="9">
        <f t="shared" si="0"/>
        <v>3.5000000000000003E-2</v>
      </c>
      <c r="E55" s="9">
        <f t="shared" si="0"/>
        <v>0.03</v>
      </c>
      <c r="F55" s="31">
        <f t="shared" si="0"/>
        <v>2.5000000000000001E-2</v>
      </c>
    </row>
    <row r="56" spans="1:9">
      <c r="A56" s="26" t="s">
        <v>53</v>
      </c>
      <c r="B56" s="9">
        <f t="shared" si="0"/>
        <v>1.7999999999999999E-2</v>
      </c>
      <c r="C56" s="9">
        <f t="shared" si="0"/>
        <v>0.02</v>
      </c>
      <c r="D56" s="9">
        <f t="shared" si="0"/>
        <v>2.1999999999999999E-2</v>
      </c>
      <c r="E56" s="9">
        <f t="shared" si="0"/>
        <v>2.4E-2</v>
      </c>
      <c r="F56" s="31">
        <f t="shared" si="0"/>
        <v>2.5000000000000001E-2</v>
      </c>
    </row>
    <row r="57" spans="1:9">
      <c r="A57" s="26" t="s">
        <v>54</v>
      </c>
      <c r="B57" s="9">
        <f t="shared" si="0"/>
        <v>6.0000000000000001E-3</v>
      </c>
      <c r="C57" s="9">
        <f t="shared" si="0"/>
        <v>6.0000000000000001E-3</v>
      </c>
      <c r="D57" s="9">
        <f t="shared" si="0"/>
        <v>6.0000000000000001E-3</v>
      </c>
      <c r="E57" s="9">
        <f t="shared" si="0"/>
        <v>6.0000000000000001E-3</v>
      </c>
      <c r="F57" s="31">
        <f t="shared" si="0"/>
        <v>6.0000000000000001E-3</v>
      </c>
    </row>
    <row r="58" spans="1:9">
      <c r="A58" s="26" t="s">
        <v>55</v>
      </c>
      <c r="B58" s="9">
        <f t="shared" si="0"/>
        <v>7.1999999999999998E-3</v>
      </c>
      <c r="C58" s="9">
        <f t="shared" si="0"/>
        <v>7.1999999999999998E-3</v>
      </c>
      <c r="D58" s="9">
        <f t="shared" si="0"/>
        <v>7.1999999999999998E-3</v>
      </c>
      <c r="E58" s="9">
        <f t="shared" si="0"/>
        <v>7.1999999999999998E-3</v>
      </c>
      <c r="F58" s="31">
        <f t="shared" si="0"/>
        <v>7.1999999999999998E-3</v>
      </c>
    </row>
    <row r="59" spans="1:9">
      <c r="A59" s="26" t="s">
        <v>56</v>
      </c>
      <c r="B59" s="9">
        <f t="shared" si="0"/>
        <v>0.01</v>
      </c>
      <c r="C59" s="9">
        <f t="shared" si="0"/>
        <v>0.01</v>
      </c>
      <c r="D59" s="9">
        <f t="shared" si="0"/>
        <v>0.01</v>
      </c>
      <c r="E59" s="9">
        <f t="shared" si="0"/>
        <v>0.01</v>
      </c>
      <c r="F59" s="31">
        <f t="shared" si="0"/>
        <v>0.01</v>
      </c>
    </row>
    <row r="60" spans="1:9">
      <c r="A60" s="26" t="s">
        <v>57</v>
      </c>
      <c r="B60" s="9">
        <f t="shared" si="0"/>
        <v>0.2</v>
      </c>
      <c r="C60" s="9">
        <f t="shared" si="0"/>
        <v>0.2</v>
      </c>
      <c r="D60" s="9">
        <f t="shared" si="0"/>
        <v>0.2</v>
      </c>
      <c r="E60" s="9">
        <f t="shared" si="0"/>
        <v>0.2</v>
      </c>
      <c r="F60" s="31">
        <f t="shared" si="0"/>
        <v>0.2</v>
      </c>
    </row>
    <row r="61" spans="1:9">
      <c r="A61" s="26" t="s">
        <v>58</v>
      </c>
      <c r="B61" s="9">
        <f>CHOOSE($B$4,B28,B39,B50)</f>
        <v>0.02</v>
      </c>
      <c r="C61" s="9"/>
      <c r="D61" s="9"/>
      <c r="E61" s="9"/>
      <c r="F61" s="31"/>
    </row>
    <row r="62" spans="1:9" ht="16.5" thickBot="1">
      <c r="A62" s="27" t="s">
        <v>59</v>
      </c>
      <c r="B62" s="21">
        <f>CHOOSE($B$4,B29,B40,B51)</f>
        <v>9.7633793774101141E-2</v>
      </c>
      <c r="C62" s="21"/>
      <c r="D62" s="21"/>
      <c r="E62" s="21"/>
      <c r="F62" s="91"/>
    </row>
    <row r="63" spans="1:9" ht="16.5" thickBot="1">
      <c r="A63" s="83"/>
      <c r="B63" s="82"/>
      <c r="C63" s="82"/>
      <c r="D63" s="82"/>
      <c r="E63" s="82"/>
    </row>
    <row r="64" spans="1:9">
      <c r="A64" s="183" t="s">
        <v>65</v>
      </c>
      <c r="B64" s="202"/>
      <c r="C64" s="202"/>
      <c r="D64" s="202"/>
      <c r="E64" s="202"/>
      <c r="F64" s="202"/>
      <c r="G64" s="202"/>
      <c r="H64" s="202"/>
      <c r="I64" s="184"/>
    </row>
    <row r="65" spans="1:9">
      <c r="A65" s="22" t="s">
        <v>66</v>
      </c>
      <c r="B65" s="19" t="s">
        <v>3</v>
      </c>
      <c r="C65" s="19" t="s">
        <v>4</v>
      </c>
      <c r="D65" s="19" t="s">
        <v>5</v>
      </c>
      <c r="E65" s="19" t="s">
        <v>6</v>
      </c>
      <c r="F65" s="19" t="s">
        <v>7</v>
      </c>
      <c r="G65" s="19" t="s">
        <v>8</v>
      </c>
      <c r="H65" s="19" t="s">
        <v>9</v>
      </c>
      <c r="I65" s="28" t="s">
        <v>10</v>
      </c>
    </row>
    <row r="66" spans="1:9">
      <c r="A66" s="26" t="s">
        <v>67</v>
      </c>
      <c r="B66" s="10">
        <v>6138135</v>
      </c>
      <c r="C66" s="10">
        <v>6591103</v>
      </c>
      <c r="D66" s="10">
        <v>6050908</v>
      </c>
      <c r="E66" s="32">
        <f>D66*(1+B55)</f>
        <v>6232435.2400000002</v>
      </c>
      <c r="F66" s="32">
        <f>E66*(1+C55)</f>
        <v>6481732.6496000001</v>
      </c>
      <c r="G66" s="32">
        <f>F66*(1+D55)</f>
        <v>6708593.2923359992</v>
      </c>
      <c r="H66" s="32">
        <f>G66*(1+E55)</f>
        <v>6909851.0911060795</v>
      </c>
      <c r="I66" s="39">
        <f>H66*(1+F55)</f>
        <v>7082597.3683837308</v>
      </c>
    </row>
    <row r="67" spans="1:9">
      <c r="A67" s="84" t="s">
        <v>68</v>
      </c>
      <c r="B67" s="117"/>
      <c r="C67" s="85">
        <f t="shared" ref="C67:I67" si="1">C66/B66-1</f>
        <v>7.3795705047217108E-2</v>
      </c>
      <c r="D67" s="85">
        <f t="shared" si="1"/>
        <v>-8.1958209422611006E-2</v>
      </c>
      <c r="E67" s="85">
        <f t="shared" si="1"/>
        <v>3.0000000000000027E-2</v>
      </c>
      <c r="F67" s="33">
        <f t="shared" si="1"/>
        <v>4.0000000000000036E-2</v>
      </c>
      <c r="G67" s="33">
        <f t="shared" si="1"/>
        <v>3.499999999999992E-2</v>
      </c>
      <c r="H67" s="33">
        <f t="shared" si="1"/>
        <v>3.0000000000000027E-2</v>
      </c>
      <c r="I67" s="40">
        <f t="shared" si="1"/>
        <v>2.4999999999999911E-2</v>
      </c>
    </row>
    <row r="68" spans="1:9">
      <c r="A68" s="81" t="s">
        <v>69</v>
      </c>
      <c r="B68" s="32">
        <f>B69+15000</f>
        <v>70650</v>
      </c>
      <c r="C68" s="32">
        <f>C69+5000</f>
        <v>88125</v>
      </c>
      <c r="D68" s="32">
        <f>D69+0</f>
        <v>87318</v>
      </c>
      <c r="E68" s="32">
        <f>AVERAGE(B68,C68,D68)</f>
        <v>82031</v>
      </c>
      <c r="F68" s="32"/>
      <c r="G68" s="32"/>
      <c r="H68" s="32"/>
      <c r="I68" s="39"/>
    </row>
    <row r="69" spans="1:9">
      <c r="A69" s="26" t="s">
        <v>70</v>
      </c>
      <c r="B69" s="10">
        <v>55650</v>
      </c>
      <c r="C69" s="10">
        <v>83125</v>
      </c>
      <c r="D69" s="10">
        <v>87318</v>
      </c>
      <c r="E69" s="32">
        <f>E66*B56</f>
        <v>112183.83431999999</v>
      </c>
      <c r="F69" s="32">
        <f>F66*C56</f>
        <v>129634.652992</v>
      </c>
      <c r="G69" s="32">
        <f>G66*D56</f>
        <v>147589.05243139196</v>
      </c>
      <c r="H69" s="32">
        <f>H66*E56</f>
        <v>165836.4261865459</v>
      </c>
      <c r="I69" s="39">
        <f>I66*F56</f>
        <v>177064.93420959328</v>
      </c>
    </row>
    <row r="70" spans="1:9">
      <c r="A70" s="37" t="s">
        <v>71</v>
      </c>
      <c r="B70" s="33">
        <f t="shared" ref="B70:I70" si="2">B69/B66</f>
        <v>9.0662717584412862E-3</v>
      </c>
      <c r="C70" s="33">
        <f t="shared" si="2"/>
        <v>1.2611697920666692E-2</v>
      </c>
      <c r="D70" s="33">
        <f t="shared" si="2"/>
        <v>1.4430561495894501E-2</v>
      </c>
      <c r="E70" s="33">
        <f t="shared" si="2"/>
        <v>1.7999999999999999E-2</v>
      </c>
      <c r="F70" s="33">
        <f t="shared" si="2"/>
        <v>0.02</v>
      </c>
      <c r="G70" s="33">
        <f t="shared" si="2"/>
        <v>2.1999999999999995E-2</v>
      </c>
      <c r="H70" s="33">
        <f t="shared" si="2"/>
        <v>2.3999999999999997E-2</v>
      </c>
      <c r="I70" s="40">
        <f t="shared" si="2"/>
        <v>2.5000000000000001E-2</v>
      </c>
    </row>
    <row r="71" spans="1:9">
      <c r="A71" s="24"/>
      <c r="B71" s="32"/>
      <c r="C71" s="32"/>
      <c r="D71" s="32"/>
      <c r="E71" s="32"/>
      <c r="F71" s="32"/>
      <c r="G71" s="32"/>
      <c r="H71" s="32"/>
      <c r="I71" s="39"/>
    </row>
    <row r="72" spans="1:9">
      <c r="A72" s="23" t="s">
        <v>72</v>
      </c>
      <c r="B72" s="32">
        <f>-B69*B60</f>
        <v>-11130</v>
      </c>
      <c r="C72" s="32">
        <f>-C69*C60</f>
        <v>-16625</v>
      </c>
      <c r="D72" s="32">
        <f>-D69*D60</f>
        <v>-17463.600000000002</v>
      </c>
      <c r="E72" s="32">
        <f>-E69*B60</f>
        <v>-22436.766864000001</v>
      </c>
      <c r="F72" s="32">
        <f>-F69*C60</f>
        <v>-25926.930598400002</v>
      </c>
      <c r="G72" s="32">
        <f>-G69*D60</f>
        <v>-29517.810486278395</v>
      </c>
      <c r="H72" s="32">
        <f>-H69*E60</f>
        <v>-33167.285237309181</v>
      </c>
      <c r="I72" s="39">
        <f>-I69*F60</f>
        <v>-35412.986841918661</v>
      </c>
    </row>
    <row r="73" spans="1:9">
      <c r="A73" s="26" t="s">
        <v>73</v>
      </c>
      <c r="B73" s="35">
        <f t="shared" ref="B73:I73" si="3">B69+B72</f>
        <v>44520</v>
      </c>
      <c r="C73" s="35">
        <f t="shared" si="3"/>
        <v>66500</v>
      </c>
      <c r="D73" s="35">
        <f t="shared" si="3"/>
        <v>69854.399999999994</v>
      </c>
      <c r="E73" s="35">
        <f t="shared" si="3"/>
        <v>89747.06745599999</v>
      </c>
      <c r="F73" s="35">
        <f t="shared" si="3"/>
        <v>103707.72239360001</v>
      </c>
      <c r="G73" s="35">
        <f t="shared" si="3"/>
        <v>118071.24194511356</v>
      </c>
      <c r="H73" s="35">
        <f t="shared" si="3"/>
        <v>132669.14094923672</v>
      </c>
      <c r="I73" s="42">
        <f t="shared" si="3"/>
        <v>141651.94736767461</v>
      </c>
    </row>
    <row r="74" spans="1:9">
      <c r="A74" s="24"/>
      <c r="I74" s="29"/>
    </row>
    <row r="75" spans="1:9">
      <c r="A75" s="23" t="s">
        <v>74</v>
      </c>
      <c r="B75" s="10">
        <v>36109</v>
      </c>
      <c r="C75" s="10">
        <v>32378</v>
      </c>
      <c r="D75" s="10">
        <v>36423</v>
      </c>
      <c r="E75" s="32">
        <f>E66*B57</f>
        <v>37394.611440000001</v>
      </c>
      <c r="F75" s="32">
        <f>F66*C57</f>
        <v>38890.395897599999</v>
      </c>
      <c r="G75" s="32">
        <f>G66*D57</f>
        <v>40251.559754015994</v>
      </c>
      <c r="H75" s="32">
        <f>H66*E57</f>
        <v>41459.106546636474</v>
      </c>
      <c r="I75" s="39">
        <f>I66*F57</f>
        <v>42495.584210302382</v>
      </c>
    </row>
    <row r="76" spans="1:9" ht="16.5" thickBot="1">
      <c r="A76" s="38" t="s">
        <v>75</v>
      </c>
      <c r="B76" s="36">
        <f t="shared" ref="B76:I76" si="4">B75/B66</f>
        <v>5.8827314811420736E-3</v>
      </c>
      <c r="C76" s="36">
        <f t="shared" si="4"/>
        <v>4.9123796123349914E-3</v>
      </c>
      <c r="D76" s="36">
        <f t="shared" si="4"/>
        <v>6.0194271669640328E-3</v>
      </c>
      <c r="E76" s="36">
        <f t="shared" si="4"/>
        <v>6.0000000000000001E-3</v>
      </c>
      <c r="F76" s="36">
        <f t="shared" si="4"/>
        <v>6.0000000000000001E-3</v>
      </c>
      <c r="G76" s="36">
        <f t="shared" si="4"/>
        <v>6.0000000000000001E-3</v>
      </c>
      <c r="H76" s="36">
        <f t="shared" si="4"/>
        <v>5.9999999999999993E-3</v>
      </c>
      <c r="I76" s="43">
        <f t="shared" si="4"/>
        <v>6.0000000000000001E-3</v>
      </c>
    </row>
    <row r="77" spans="1:9" ht="16.5" thickBot="1">
      <c r="B77" s="32"/>
      <c r="C77" s="32"/>
      <c r="D77" s="32"/>
      <c r="E77" s="32"/>
      <c r="F77" s="32"/>
      <c r="G77" s="32"/>
      <c r="H77" s="32"/>
      <c r="I77" s="32"/>
    </row>
    <row r="78" spans="1:9">
      <c r="A78" s="203" t="s">
        <v>76</v>
      </c>
      <c r="B78" s="202"/>
      <c r="C78" s="202"/>
      <c r="D78" s="202"/>
      <c r="E78" s="202"/>
      <c r="F78" s="202"/>
      <c r="G78" s="202"/>
      <c r="H78" s="202"/>
      <c r="I78" s="184"/>
    </row>
    <row r="79" spans="1:9">
      <c r="A79" s="22" t="s">
        <v>77</v>
      </c>
      <c r="B79" s="95" t="s">
        <v>3</v>
      </c>
      <c r="C79" s="95" t="s">
        <v>4</v>
      </c>
      <c r="D79" s="95" t="s">
        <v>5</v>
      </c>
      <c r="E79" s="95" t="s">
        <v>6</v>
      </c>
      <c r="F79" s="95" t="s">
        <v>7</v>
      </c>
      <c r="G79" s="95" t="s">
        <v>8</v>
      </c>
      <c r="H79" s="95" t="s">
        <v>9</v>
      </c>
      <c r="I79" s="96" t="s">
        <v>10</v>
      </c>
    </row>
    <row r="80" spans="1:9">
      <c r="A80" s="23" t="s">
        <v>73</v>
      </c>
      <c r="E80" s="34">
        <f>E73</f>
        <v>89747.06745599999</v>
      </c>
      <c r="F80" s="34">
        <f>F73</f>
        <v>103707.72239360001</v>
      </c>
      <c r="G80" s="34">
        <f>G73</f>
        <v>118071.24194511356</v>
      </c>
      <c r="H80" s="34">
        <f>H73</f>
        <v>132669.14094923672</v>
      </c>
      <c r="I80" s="41">
        <f>I73</f>
        <v>141651.94736767461</v>
      </c>
    </row>
    <row r="81" spans="1:9">
      <c r="A81" s="23" t="s">
        <v>74</v>
      </c>
      <c r="B81" s="32"/>
      <c r="C81" s="32"/>
      <c r="D81" s="32"/>
      <c r="E81" s="32">
        <f>E75</f>
        <v>37394.611440000001</v>
      </c>
      <c r="F81" s="32">
        <f>F75</f>
        <v>38890.395897599999</v>
      </c>
      <c r="G81" s="32">
        <f>G75</f>
        <v>40251.559754015994</v>
      </c>
      <c r="H81" s="32">
        <f>H75</f>
        <v>41459.106546636474</v>
      </c>
      <c r="I81" s="39">
        <f>I75</f>
        <v>42495.584210302382</v>
      </c>
    </row>
    <row r="82" spans="1:9">
      <c r="A82" s="23" t="s">
        <v>78</v>
      </c>
      <c r="E82" s="34">
        <f>-E66*B58</f>
        <v>-44873.533728000002</v>
      </c>
      <c r="F82" s="34">
        <f>-F66*C58</f>
        <v>-46668.475077119998</v>
      </c>
      <c r="G82" s="34">
        <f>-G66*D58</f>
        <v>-48301.87170481919</v>
      </c>
      <c r="H82" s="34">
        <f>-H66*E58</f>
        <v>-49750.927855963768</v>
      </c>
      <c r="I82" s="41">
        <f>-I66*F58</f>
        <v>-50994.701052362863</v>
      </c>
    </row>
    <row r="83" spans="1:9">
      <c r="A83" s="37" t="s">
        <v>79</v>
      </c>
      <c r="B83" s="118"/>
      <c r="C83" s="118"/>
      <c r="D83" s="118"/>
      <c r="E83" s="33">
        <f>-E82/E66</f>
        <v>7.1999999999999998E-3</v>
      </c>
      <c r="F83" s="33">
        <f>-F82/F66</f>
        <v>7.1999999999999998E-3</v>
      </c>
      <c r="G83" s="33">
        <f>-G82/G66</f>
        <v>7.1999999999999998E-3</v>
      </c>
      <c r="H83" s="33">
        <f>-H82/H66</f>
        <v>7.1999999999999989E-3</v>
      </c>
      <c r="I83" s="40">
        <f>-I82/I66</f>
        <v>7.2000000000000007E-3</v>
      </c>
    </row>
    <row r="84" spans="1:9">
      <c r="A84" s="23" t="s">
        <v>80</v>
      </c>
      <c r="E84" s="34">
        <f>-(E66-D66)*B59</f>
        <v>-1815.2724000000023</v>
      </c>
      <c r="F84" s="34">
        <f>-(F66-E66)*C59</f>
        <v>-2492.974095999999</v>
      </c>
      <c r="G84" s="34">
        <f>-(G66-F66)*D59</f>
        <v>-2268.6064273599909</v>
      </c>
      <c r="H84" s="34">
        <f>-(H66-G66)*E59</f>
        <v>-2012.5779877008033</v>
      </c>
      <c r="I84" s="41">
        <f>-(I66-H66)*F59</f>
        <v>-1727.4627727765126</v>
      </c>
    </row>
    <row r="85" spans="1:9" ht="16.5" thickBot="1">
      <c r="A85" s="24"/>
      <c r="I85" s="29"/>
    </row>
    <row r="86" spans="1:9" ht="16.5" thickBot="1">
      <c r="A86" s="46" t="s">
        <v>81</v>
      </c>
      <c r="B86" s="32"/>
      <c r="C86" s="32"/>
      <c r="D86" s="32"/>
      <c r="E86" s="97">
        <f>E80+E81+E82+E84</f>
        <v>80452.872767999987</v>
      </c>
      <c r="F86" s="97">
        <f>F80+F81+F82+F84</f>
        <v>93436.669118080012</v>
      </c>
      <c r="G86" s="97">
        <f>G80+G81+G82+G84</f>
        <v>107752.32356695039</v>
      </c>
      <c r="H86" s="97">
        <f>H80+H81+H82+H84</f>
        <v>122364.74165220863</v>
      </c>
      <c r="I86" s="98">
        <f>I80+I81+I82+I84</f>
        <v>131425.36775283763</v>
      </c>
    </row>
    <row r="87" spans="1:9" ht="16.5" thickTop="1">
      <c r="A87" s="24"/>
      <c r="I87" s="29"/>
    </row>
    <row r="88" spans="1:9">
      <c r="A88" s="23" t="s">
        <v>82</v>
      </c>
      <c r="E88" s="44">
        <v>0.5</v>
      </c>
      <c r="F88" s="44">
        <v>1.5</v>
      </c>
      <c r="G88" s="44">
        <v>2.5</v>
      </c>
      <c r="H88" s="44">
        <v>3.5</v>
      </c>
      <c r="I88" s="47">
        <v>4.5</v>
      </c>
    </row>
    <row r="89" spans="1:9">
      <c r="A89" s="23" t="s">
        <v>83</v>
      </c>
      <c r="E89" s="45">
        <f>1/(1+$B$62)^E88</f>
        <v>0.95448974172329137</v>
      </c>
      <c r="F89" s="45">
        <f>1/(1+$B$62)^F88</f>
        <v>0.86958851589415465</v>
      </c>
      <c r="G89" s="45">
        <f>1/(1+$B$62)^G88</f>
        <v>0.79223919746873295</v>
      </c>
      <c r="H89" s="45">
        <f>1/(1+$B$62)^H88</f>
        <v>0.7217700493210033</v>
      </c>
      <c r="I89" s="48">
        <f>1/(1+$B$62)^I88</f>
        <v>0.65756908489421684</v>
      </c>
    </row>
    <row r="90" spans="1:9" ht="16.5" thickBot="1">
      <c r="A90" s="27" t="s">
        <v>84</v>
      </c>
      <c r="B90" s="99"/>
      <c r="C90" s="99"/>
      <c r="D90" s="99"/>
      <c r="E90" s="100">
        <f>E86*E89</f>
        <v>76791.441749225123</v>
      </c>
      <c r="F90" s="100">
        <f>F86*F89</f>
        <v>81251.454428484387</v>
      </c>
      <c r="G90" s="100">
        <f>G86*G89</f>
        <v>85365.61434807202</v>
      </c>
      <c r="H90" s="100">
        <f>H86*H89</f>
        <v>88319.205617466447</v>
      </c>
      <c r="I90" s="101">
        <f>I86*I89</f>
        <v>86421.25880511936</v>
      </c>
    </row>
    <row r="91" spans="1:9" ht="16.5" thickBot="1"/>
    <row r="92" spans="1:9">
      <c r="A92" s="183" t="s">
        <v>85</v>
      </c>
      <c r="B92" s="184"/>
      <c r="C92" s="185"/>
      <c r="D92" s="185"/>
      <c r="E92" s="185"/>
      <c r="F92" s="185"/>
      <c r="G92" s="185"/>
      <c r="H92" s="185"/>
      <c r="I92" s="185"/>
    </row>
    <row r="93" spans="1:9">
      <c r="A93" s="23" t="s">
        <v>86</v>
      </c>
      <c r="B93" s="39">
        <f>I86</f>
        <v>131425.36775283763</v>
      </c>
    </row>
    <row r="94" spans="1:9">
      <c r="A94" s="23" t="s">
        <v>87</v>
      </c>
      <c r="B94" s="39">
        <f>B93*(1+B61)</f>
        <v>134053.87510789439</v>
      </c>
    </row>
    <row r="95" spans="1:9">
      <c r="A95" s="23" t="s">
        <v>88</v>
      </c>
      <c r="B95" s="31">
        <f>B61</f>
        <v>0.02</v>
      </c>
    </row>
    <row r="96" spans="1:9">
      <c r="A96" s="23" t="s">
        <v>89</v>
      </c>
      <c r="B96" s="31">
        <f>B62</f>
        <v>9.7633793774101141E-2</v>
      </c>
    </row>
    <row r="97" spans="1:2">
      <c r="A97" s="26" t="s">
        <v>90</v>
      </c>
      <c r="B97" s="49">
        <f>B94/(B96-B95)</f>
        <v>1726746.4153299585</v>
      </c>
    </row>
    <row r="98" spans="1:2">
      <c r="A98" s="26" t="s">
        <v>91</v>
      </c>
      <c r="B98" s="49">
        <f>B97/(1+B96)^I88</f>
        <v>1135455.0601728901</v>
      </c>
    </row>
    <row r="99" spans="1:2">
      <c r="A99" s="24"/>
      <c r="B99" s="29"/>
    </row>
    <row r="100" spans="1:2">
      <c r="A100" s="102" t="s">
        <v>92</v>
      </c>
      <c r="B100" s="50"/>
    </row>
    <row r="101" spans="1:2">
      <c r="A101" s="26" t="s">
        <v>93</v>
      </c>
      <c r="B101" s="39">
        <f>SUM(E90:I90)</f>
        <v>418148.97494836739</v>
      </c>
    </row>
    <row r="102" spans="1:2" ht="16.5" thickBot="1">
      <c r="A102" s="26" t="s">
        <v>94</v>
      </c>
      <c r="B102" s="39">
        <f>B98</f>
        <v>1135455.0601728901</v>
      </c>
    </row>
    <row r="103" spans="1:2">
      <c r="A103" s="53" t="s">
        <v>95</v>
      </c>
      <c r="B103" s="104">
        <f>B101+B102</f>
        <v>1553604.0351212574</v>
      </c>
    </row>
    <row r="104" spans="1:2">
      <c r="A104" s="26" t="s">
        <v>96</v>
      </c>
      <c r="B104" s="39">
        <f>-B11</f>
        <v>135626</v>
      </c>
    </row>
    <row r="105" spans="1:2">
      <c r="A105" s="46" t="s">
        <v>97</v>
      </c>
      <c r="B105" s="119">
        <f>B103+B104</f>
        <v>1689230.0351212574</v>
      </c>
    </row>
    <row r="106" spans="1:2" ht="16.5" thickBot="1">
      <c r="A106" s="4" t="s">
        <v>98</v>
      </c>
      <c r="B106" s="127">
        <f>B105/B9*$B$18</f>
        <v>1.5428564723589939</v>
      </c>
    </row>
    <row r="107" spans="1:2" ht="17.100000000000001" thickTop="1" thickBot="1">
      <c r="A107" s="122" t="s">
        <v>99</v>
      </c>
    </row>
    <row r="108" spans="1:2" ht="16.5" thickTop="1">
      <c r="A108" s="23" t="s">
        <v>100</v>
      </c>
      <c r="B108" s="39">
        <f>I69+I75</f>
        <v>219560.51841989567</v>
      </c>
    </row>
    <row r="109" spans="1:2" ht="16.5" thickBot="1">
      <c r="A109" s="60" t="s">
        <v>101</v>
      </c>
      <c r="B109" s="92">
        <v>7</v>
      </c>
    </row>
    <row r="110" spans="1:2" ht="16.5" thickTop="1">
      <c r="A110" s="23" t="s">
        <v>102</v>
      </c>
      <c r="B110" s="39">
        <f>B108*B109</f>
        <v>1536923.6289392696</v>
      </c>
    </row>
    <row r="111" spans="1:2">
      <c r="A111" s="24" t="s">
        <v>103</v>
      </c>
      <c r="B111" s="39">
        <f>B110/(1+B62)^I88</f>
        <v>1010633.4642338944</v>
      </c>
    </row>
    <row r="112" spans="1:2">
      <c r="A112" s="23" t="s">
        <v>104</v>
      </c>
      <c r="B112" s="49">
        <f>SUM(E90:H90)+B111+B104</f>
        <v>1477987.1803771425</v>
      </c>
    </row>
    <row r="113" spans="1:6">
      <c r="A113" s="26" t="s">
        <v>105</v>
      </c>
      <c r="B113" s="105">
        <f>B112/B9*$B$18</f>
        <v>1.3499180335997321</v>
      </c>
    </row>
    <row r="114" spans="1:6">
      <c r="A114" s="126" t="s">
        <v>106</v>
      </c>
      <c r="B114" s="39"/>
    </row>
    <row r="115" spans="1:6">
      <c r="A115" s="37" t="s">
        <v>107</v>
      </c>
      <c r="B115" s="40">
        <f>B102/B103</f>
        <v>0.73085228572045313</v>
      </c>
    </row>
    <row r="116" spans="1:6" ht="16.5" thickBot="1">
      <c r="A116" t="s">
        <v>108</v>
      </c>
      <c r="B116" s="51">
        <f>B103/(D69+D75)</f>
        <v>12.555289153322322</v>
      </c>
    </row>
    <row r="117" spans="1:6" ht="16.5" thickBot="1">
      <c r="A117" s="89" t="s">
        <v>109</v>
      </c>
    </row>
    <row r="118" spans="1:6">
      <c r="A118" s="69" t="s">
        <v>110</v>
      </c>
      <c r="B118" s="52"/>
      <c r="C118" s="52"/>
      <c r="D118" s="52"/>
      <c r="E118" s="52"/>
      <c r="F118" s="54"/>
    </row>
    <row r="119" spans="1:6">
      <c r="A119" s="55" t="s">
        <v>111</v>
      </c>
      <c r="B119" s="107">
        <v>0.01</v>
      </c>
      <c r="C119" s="107">
        <v>1.4999999999999999E-2</v>
      </c>
      <c r="D119" s="107">
        <v>0.02</v>
      </c>
      <c r="E119" s="107">
        <v>2.2499999999999999E-2</v>
      </c>
      <c r="F119" s="108">
        <v>2.5000000000000001E-2</v>
      </c>
    </row>
    <row r="120" spans="1:6">
      <c r="A120" s="58">
        <v>0.09</v>
      </c>
      <c r="B120" s="135">
        <f>(E86/(1+$A120)^E88+F86/(1+$A120)^F88+G86/(1+$A120)^G88+H86/(1+$A120)^H88+I86/(1+$A120)^I88+I86*(1+B$119)/($A120-B$119)/(1+$A120)^I88-B11)/B9*$B$18</f>
        <v>1.5410207172318799</v>
      </c>
      <c r="C120" s="135">
        <f>(E86/(1+$A120)^E88+F86/(1+$A120)^F88+G86/(1+$A120)^G88+H86/(1+$A120)^H88+I86/(1+$A120)^I88+I86*(1+C$119)/($A120-C$119)/(1+$A120)^I88-B11)/B9*$B$18</f>
        <v>1.6150054218251606</v>
      </c>
      <c r="D120" s="135">
        <f>(E86/(1+$A120)^E88+F86/(1+$A120)^F88+G86/(1+$A120)^G88+H86/(1+$A120)^H88+I86/(1+$A120)^I88+I86*(1+D$119)/($A120-D$119)/(1+$A120)^I88-B11)/B9*$B$18</f>
        <v>1.699559369931767</v>
      </c>
      <c r="E120" s="135">
        <f>(E86/(1+$A120)^E88+F86/(1+$A120)^F88+G86/(1+$A120)^G88+H86/(1+$A120)^H88+I86/(1+$A120)^I88+I86*(1+E$119)/($A120-E$119)/(1+$A120)^I88-B11)/B9*$B$18</f>
        <v>1.7465337855465481</v>
      </c>
      <c r="F120" s="136">
        <f>(E86/(1+$A120)^E88+F86/(1+$A120)^F88+G86/(1+$A120)^G88+H86/(1+$A120)^H88+I86/(1+$A120)^I88+I86*(1+F$119)/($A120-F$119)/(1+$A120)^I88-B11)/B9*$B$18</f>
        <v>1.7971216177470817</v>
      </c>
    </row>
    <row r="121" spans="1:6">
      <c r="A121" s="58">
        <v>9.5000000000000001E-2</v>
      </c>
      <c r="B121" s="135">
        <f>(E86/(1+$A121)^E88+F86/(1+$A121)^F88+G86/(1+$A121)^G88+H86/(1+$A121)^H88+I86/(1+$A121)^I88+I86*(1+B$119)/($A121-B$119)/(1+$A121)^I88-B11)/B9*$B$18</f>
        <v>1.456252303169765</v>
      </c>
      <c r="C121" s="135">
        <f>(E86/(1+$A121)^E88+F86/(1+$A121)^F88+G86/(1+$A121)^G88+H86/(1+$A121)^H88+I86/(1+$A121)^I88+I86*(1+C$119)/($A121-C$119)/(1+$A121)^I88-B11)/B9*$B$18</f>
        <v>1.5204955685697719</v>
      </c>
      <c r="D121" s="135">
        <f>(E86/(1+$A121)^E88+F86/(1+$A121)^F88+G86/(1+$A121)^G88+H86/(1+$A121)^H88+I86/(1+$A121)^I88+I86*(1+D$119)/($A121-D$119)/(1+$A121)^I88-B11)/B9*$B$18</f>
        <v>1.5933046026897797</v>
      </c>
      <c r="E121" s="135">
        <f>(E86/(1+$A121)^E88+F86/(1+$A121)^F88+G86/(1+$A121)^G88+H86/(1+$A121)^H88+I86/(1+$A121)^I88+I86*(1+E$119)/($A121-E$119)/(1+$A121)^I88-B11)/B9*$B$18</f>
        <v>1.6334751042732321</v>
      </c>
      <c r="F121" s="136">
        <f>(E86/(1+$A121)^E88+F86/(1+$A121)^F88+G86/(1+$A121)^G88+H86/(1+$A121)^H88+I86/(1+$A121)^I88+I86*(1+F$119)/($A121-F$119)/(1+$A121)^I88-B11)/B9*$B$18</f>
        <v>1.6765149273983604</v>
      </c>
    </row>
    <row r="122" spans="1:6">
      <c r="A122" s="58">
        <v>0.1</v>
      </c>
      <c r="B122" s="135">
        <f>(E86/(1+$A122)^E88+F86/(1+$A122)^F88+G86/(1+$A122)^G88+H86/(1+$A122)^H88+I86/(1+$A122)^I88+I86*(1+B$119)/($A122-B$119)/(1+$A122)^I88-B11)/B9*$B$18</f>
        <v>1.3809482468848764</v>
      </c>
      <c r="C122" s="135">
        <f>(E86/(1+$A122)^E88+F86/(1+$A122)^F88+G86/(1+$A122)^G88+H86/(1+$A122)^H88+I86/(1+$A122)^I88+I86*(1+C$119)/($A122-C$119)/(1+$A122)^I88-B11)/B9*$B$18</f>
        <v>1.4371500312167238</v>
      </c>
      <c r="D122" s="137">
        <f>(E86/(1+$A122)^E88+F86/(1+$A122)^F88+G86/(1+$A122)^G88+H86/(1+$A122)^H88+I86/(1+$A122)^I88+I86*(1+D$119)/($A122-D$119)/(1+$A122)^I88-B11)/B9*$B$18</f>
        <v>1.5003770385900523</v>
      </c>
      <c r="E122" s="135">
        <f>(E86/(1+$A122)^E88+F86/(1+$A122)^F88+G86/(1+$A122)^G88+H86/(1+$A122)^H88+I86/(1+$A122)^I88+I86*(1+E$119)/($A122-E$119)/(1+$A122)^I88-B11)/B9*$B$18</f>
        <v>1.5350499136012326</v>
      </c>
      <c r="F122" s="136">
        <f>(E86/(1+$A122)^E88+F86/(1+$A122)^F88+G86/(1+$A122)^G88+H86/(1+$A122)^H88+I86/(1+$A122)^I88+I86*(1+F$119)/($A122-F$119)/(1+$A122)^I88-B11)/B9*$B$18</f>
        <v>1.5720343136131578</v>
      </c>
    </row>
    <row r="123" spans="1:6">
      <c r="A123" s="58">
        <v>0.105</v>
      </c>
      <c r="B123" s="135">
        <f>(E86/(1+$A123)^E88+F86/(1+$A123)^F88+G86/(1+$A123)^G88+H86/(1+$A123)^H88+I86/(1+$A123)^I88+I86*(1+B$119)/($A123-B$119)/(1+$A123)^I88-B11)/B9*$B$18</f>
        <v>1.3136132164542491</v>
      </c>
      <c r="C123" s="135">
        <f>(E86/(1+$A123)^E88+F86/(1+$A123)^F88+G86/(1+$A123)^G88+H86/(1+$A123)^H88+I86/(1+$A123)^I88+I86*(1+C$119)/($A123-C$119)/(1+$A123)^I88-B11)/B9*$B$18</f>
        <v>1.3631071361640039</v>
      </c>
      <c r="D123" s="135">
        <f>(E86/(1+$A123)^E88+F86/(1+$A123)^F88+G86/(1+$A123)^G88+H86/(1+$A123)^H88+I86/(1+$A123)^I88+I86*(1+D$119)/($A123-D$119)/(1+$A123)^I88-B11)/B9*$B$18</f>
        <v>1.4184238699572593</v>
      </c>
      <c r="E123" s="135">
        <f>(E86/(1+$A123)^E88+F86/(1+$A123)^F88+G86/(1+$A123)^G88+H86/(1+$A123)^H88+I86/(1+$A123)^I88+I86*(1+E$119)/($A123-E$119)/(1+$A123)^I88-B11)/B9*$B$18</f>
        <v>1.4485966338444896</v>
      </c>
      <c r="F123" s="136">
        <f>(E86/(1+$A123)^E88+F86/(1+$A123)^F88+G86/(1+$A123)^G88+H86/(1+$A123)^H88+I86/(1+$A123)^I88+I86*(1+F$119)/($A123-F$119)/(1+$A123)^I88-B11)/B9*$B$18</f>
        <v>1.4806551954746718</v>
      </c>
    </row>
    <row r="124" spans="1:6" ht="16.5" thickBot="1">
      <c r="A124" s="59">
        <v>0.11</v>
      </c>
      <c r="B124" s="135">
        <f>(E86/(1+$A124)^E88+F86/(1+$A124)^F88+G86/(1+$A124)^G88+H86/(1+$A124)^H88+I86/(1+$A124)^I88+I86*(1+B$119)/($A124-B$119)/(1+$A124)^I88-B11)/B9*$B$18</f>
        <v>1.2530509703338182</v>
      </c>
      <c r="C124" s="135">
        <f>(E86/(1+$A124)^E88+F86/(1+$A124)^F88+G86/(1+$A124)^G88+H86/(1+$A124)^H88+I86/(1+$A124)^I88+I86*(1+C$119)/($A124-C$119)/(1+$A124)^I88-B11)/B9*$B$18</f>
        <v>1.2968971648524643</v>
      </c>
      <c r="D124" s="135">
        <f>(E86/(1+$A124)^E88+F86/(1+$A124)^F88+G86/(1+$A124)^G88+H86/(1+$A124)^H88+I86/(1+$A124)^I88+I86*(1+D$119)/($A124-D$119)/(1+$A124)^I88-B11)/B9*$B$18</f>
        <v>1.3456151587620715</v>
      </c>
      <c r="E124" s="135">
        <f>(E86/(1+$A124)^E88+F86/(1+$A124)^F88+G86/(1+$A124)^G88+H86/(1+$A124)^H88+I86/(1+$A124)^I88+I86*(1+E$119)/($A124-E$119)/(1+$A124)^I88-B11)/B9*$B$18</f>
        <v>1.372062069741572</v>
      </c>
      <c r="F124" s="136">
        <f>(E86/(1+$A124)^E88+F86/(1+$A124)^F88+G86/(1+$A124)^G88+H86/(1+$A124)^H88+I86/(1+$A124)^I88+I86*(1+F$119)/($A124-F$119)/(1+$A124)^I88-B11)/B9*$B$18</f>
        <v>1.4000646813669257</v>
      </c>
    </row>
    <row r="126" spans="1:6" ht="16.5" thickBot="1"/>
    <row r="127" spans="1:6">
      <c r="A127" s="69" t="s">
        <v>112</v>
      </c>
      <c r="B127" s="52"/>
      <c r="C127" s="52"/>
      <c r="D127" s="52"/>
      <c r="E127" s="52"/>
      <c r="F127" s="54"/>
    </row>
    <row r="128" spans="1:6">
      <c r="A128" s="55" t="s">
        <v>113</v>
      </c>
      <c r="B128" s="93">
        <v>5</v>
      </c>
      <c r="C128" s="93">
        <v>6</v>
      </c>
      <c r="D128" s="93">
        <v>7</v>
      </c>
      <c r="E128" s="93">
        <v>8</v>
      </c>
      <c r="F128" s="94">
        <v>9</v>
      </c>
    </row>
    <row r="129" spans="1:6">
      <c r="A129" s="58">
        <v>0.09</v>
      </c>
      <c r="B129" s="135">
        <f>(SUM(E90:H90)+(I69+I75)*B$128/(1+$A129)^I88+B104)/B9*$B$18</f>
        <v>1.107221677963137</v>
      </c>
      <c r="C129" s="135">
        <f>(SUM(E90:H90)+(I69+I75)*C$128/(1+$A129)^I88+B104)/B9*$B$18</f>
        <v>1.2432946087333445</v>
      </c>
      <c r="D129" s="135">
        <f>(SUM(E90:H90)+(I69+I75)*D$128/(1+$A129)^I88+B104)/B9*$B$18</f>
        <v>1.3793675395035518</v>
      </c>
      <c r="E129" s="135">
        <f>(SUM(E90:H90)+(I69+I75)*E$128/(1+$A129)^I88+B104)/B9*$B$18</f>
        <v>1.5154404702737594</v>
      </c>
      <c r="F129" s="136">
        <f>(SUM(E90:H90)+(I69+I75)*F$128/(1+$A129)^I88+B104)/B9*$B$18</f>
        <v>1.6515134010439669</v>
      </c>
    </row>
    <row r="130" spans="1:6">
      <c r="A130" s="58">
        <v>9.5000000000000001E-2</v>
      </c>
      <c r="B130" s="135">
        <f>(SUM(E90:H90)+(I69+I75)*B$128/(1+$A130)^I88+B104)/B9*$B$18</f>
        <v>1.0933528710686569</v>
      </c>
      <c r="C130" s="135">
        <f>(SUM(E90:H90)+(I69+I75)*C$128/(1+$A130)^I88+B104)/B9*$B$18</f>
        <v>1.2266520404599681</v>
      </c>
      <c r="D130" s="135">
        <f>(SUM(E90:H90)+(I69+I75)*D$128/(1+$A130)^I88+B104)/B9*$B$18</f>
        <v>1.3599512098512798</v>
      </c>
      <c r="E130" s="135">
        <f>(SUM(E90:H90)+(I69+I75)*E$128/(1+$A130)^I88+B104)/B9*$B$18</f>
        <v>1.4932503792425911</v>
      </c>
      <c r="F130" s="136">
        <f>(SUM(E90:H90)+(I69+I75)*F$128/(1+$A130)^I88+B104)/B9*$B$18</f>
        <v>1.6265495486339023</v>
      </c>
    </row>
    <row r="131" spans="1:6">
      <c r="A131" s="58">
        <v>0.1</v>
      </c>
      <c r="B131" s="135">
        <f>(SUM(E90:H90)+(I69+I75)*B$128/(1+$A131)^I88+B104)/B9*$B$18</f>
        <v>1.0798280346825562</v>
      </c>
      <c r="C131" s="135">
        <f>(SUM(E90:H90)+(I69+I75)*C$128/(1+$A131)^I88+B104)/B9*$B$18</f>
        <v>1.2104222367966475</v>
      </c>
      <c r="D131" s="137">
        <f>(SUM(E90:H90)+(I69+I75)*D$128/(1+$A131)^I88+B104)/B9*$B$18</f>
        <v>1.3410164389107386</v>
      </c>
      <c r="E131" s="135">
        <f>(SUM(E90:H90)+(I69+I75)*E$128/(1+$A131)^I88+B104)/B9*$B$18</f>
        <v>1.47161064102483</v>
      </c>
      <c r="F131" s="136">
        <f>(SUM(E90:H90)+(I69+I75)*F$128/(1+$A131)^I88+B104)/B9*$B$18</f>
        <v>1.6022048431389213</v>
      </c>
    </row>
    <row r="132" spans="1:6">
      <c r="A132" s="58">
        <v>0.105</v>
      </c>
      <c r="B132" s="135">
        <f>(SUM(E90:H90)+(I69+I75)*B$128/(1+$A132)^I88+B104)/B9*$B$18</f>
        <v>1.0666371319551069</v>
      </c>
      <c r="C132" s="135">
        <f>(SUM(E90:H90)+(I69+I75)*C$128/(1+$A132)^I88+B104)/B9*$B$18</f>
        <v>1.1945931535237082</v>
      </c>
      <c r="D132" s="135">
        <f>(SUM(E90:H90)+(I69+I75)*D$128/(1+$A132)^I88+B104)/B9*$B$18</f>
        <v>1.3225491750923091</v>
      </c>
      <c r="E132" s="135">
        <f>(SUM(E90:H90)+(I69+I75)*E$128/(1+$A132)^I88+B104)/B9*$B$18</f>
        <v>1.4505051966609108</v>
      </c>
      <c r="F132" s="136">
        <f>(SUM(E90:H90)+(I69+I75)*F$128/(1+$A132)^I88+B104)/B9*$B$18</f>
        <v>1.5784612182295119</v>
      </c>
    </row>
    <row r="133" spans="1:6" ht="16.5" thickBot="1">
      <c r="A133" s="59">
        <v>0.11</v>
      </c>
      <c r="B133" s="138">
        <f>(SUM(E90:H90)+(I69+I75)*B$128/(1+$A133)^I88+B104)/B9*$B$18</f>
        <v>1.053770462450351</v>
      </c>
      <c r="C133" s="138">
        <f>(SUM(E90:H90)+(I69+I75)*C$128/(1+$A133)^I88+B104)/B9*$B$18</f>
        <v>1.179153150118001</v>
      </c>
      <c r="D133" s="138">
        <f>(SUM(E90:H90)+(I69+I75)*D$128/(1+$A133)^I88+B104)/B9*$B$18</f>
        <v>1.3045358377856513</v>
      </c>
      <c r="E133" s="138">
        <f>(SUM(E90:H90)+(I69+I75)*E$128/(1+$A133)^I88+B104)/B9*$B$18</f>
        <v>1.4299185254533016</v>
      </c>
      <c r="F133" s="139">
        <f>(SUM(E90:H90)+(I69+I75)*F$128/(1+$A133)^I88+B104)/B9*$B$18</f>
        <v>1.5553012131209518</v>
      </c>
    </row>
    <row r="135" spans="1:6" ht="16.5" thickBot="1"/>
    <row r="136" spans="1:6">
      <c r="A136" s="106" t="s">
        <v>114</v>
      </c>
      <c r="B136" s="52"/>
      <c r="C136" s="52"/>
      <c r="D136" s="52"/>
      <c r="E136" s="52"/>
      <c r="F136" s="54"/>
    </row>
    <row r="137" spans="1:6">
      <c r="A137" s="55" t="s">
        <v>115</v>
      </c>
      <c r="B137" s="56">
        <v>3.5000000000000003E-2</v>
      </c>
      <c r="C137" s="56">
        <v>0.04</v>
      </c>
      <c r="D137" s="56">
        <v>4.3200000000000002E-2</v>
      </c>
      <c r="E137" s="56">
        <v>4.4999999999999998E-2</v>
      </c>
      <c r="F137" s="57">
        <v>0.05</v>
      </c>
    </row>
    <row r="138" spans="1:6">
      <c r="A138" s="123">
        <v>0.7</v>
      </c>
      <c r="B138" s="128">
        <f>WACC!B29*(B$137+$A138*(1+(1-WACC!B10)*WACC!B12)*DCF!B15)+WACC!B30*WACC!B22</f>
        <v>8.0427894069086389E-2</v>
      </c>
      <c r="C138" s="128">
        <f>WACC!B29*(C$137+$A138*(1+(1-WACC!B10)*WACC!B12)*DCF!B15)+WACC!B30*WACC!B22</f>
        <v>8.4469192004189633E-2</v>
      </c>
      <c r="D138" s="128">
        <f>WACC!B29*(D$137+$A138*(1+(1-WACC!B10)*WACC!B12)*DCF!B15)+WACC!B30*WACC!B22</f>
        <v>8.7055622682655709E-2</v>
      </c>
      <c r="E138" s="128">
        <f>WACC!B29*(E$137+$A138*(1+(1-WACC!B10)*WACC!B12)*DCF!B15)+WACC!B30*WACC!B22</f>
        <v>8.8510489939292877E-2</v>
      </c>
      <c r="F138" s="129">
        <f>WACC!B29*(F$137+$A138*(1+(1-WACC!B10)*WACC!B12)*DCF!B15)+WACC!B30*WACC!B22</f>
        <v>9.2551787874396121E-2</v>
      </c>
    </row>
    <row r="139" spans="1:6">
      <c r="A139" s="123">
        <v>0.8</v>
      </c>
      <c r="B139" s="128">
        <f>WACC!B29*(B$137+$A139*(1+(1-WACC!B10)*WACC!B12)*DCF!B15)+WACC!B30*WACC!B22</f>
        <v>8.5716979614809105E-2</v>
      </c>
      <c r="C139" s="128">
        <f>WACC!B29*(C$137+$A139*(1+(1-WACC!B10)*WACC!B12)*DCF!B15)+WACC!B30*WACC!B22</f>
        <v>8.9758277549912349E-2</v>
      </c>
      <c r="D139" s="128">
        <f>WACC!B29*(D$137+$A139*(1+(1-WACC!B10)*WACC!B12)*DCF!B15)+WACC!B30*WACC!B22</f>
        <v>9.2344708228378439E-2</v>
      </c>
      <c r="E139" s="128">
        <f>WACC!B29*(E$137+$A139*(1+(1-WACC!B10)*WACC!B12)*DCF!B15)+WACC!B30*WACC!B22</f>
        <v>9.3799575485015607E-2</v>
      </c>
      <c r="F139" s="129">
        <f>WACC!B29*(F$137+$A139*(1+(1-WACC!B10)*WACC!B12)*DCF!B15)+WACC!B30*WACC!B22</f>
        <v>9.7840873420118851E-2</v>
      </c>
    </row>
    <row r="140" spans="1:6">
      <c r="A140" s="123">
        <v>0.9</v>
      </c>
      <c r="B140" s="128">
        <f>WACC!B29*(B$137+$A140*(1+(1-WACC!B10)*WACC!B12)*DCF!B15)+WACC!B30*WACC!B22</f>
        <v>9.1006065160531835E-2</v>
      </c>
      <c r="C140" s="128">
        <f>WACC!B29*(C$137+$A140*(1+(1-WACC!B10)*WACC!B12)*DCF!B15)+WACC!B30*WACC!B22</f>
        <v>9.5047363095635065E-2</v>
      </c>
      <c r="D140" s="133">
        <f>WACC!B29*(D$137+$A140*(1+(1-WACC!B10)*WACC!B12)*DCF!B15)+WACC!B30*WACC!B22</f>
        <v>9.7633793774101141E-2</v>
      </c>
      <c r="E140" s="128">
        <f>WACC!B29*(E$137+$A140*(1+(1-WACC!B10)*WACC!B12)*DCF!B15)+WACC!B30*WACC!B22</f>
        <v>9.9088661030738309E-2</v>
      </c>
      <c r="F140" s="129">
        <f>WACC!B29*(F$137+$A140*(1+(1-WACC!B10)*WACC!B12)*DCF!B15)+WACC!B30*WACC!B22</f>
        <v>0.10312995896584155</v>
      </c>
    </row>
    <row r="141" spans="1:6">
      <c r="A141" s="123">
        <v>1</v>
      </c>
      <c r="B141" s="128">
        <f>WACC!B29*(B$137+$A141*(1+(1-WACC!B10)*WACC!B12)*DCF!B15)+WACC!B30*WACC!B22</f>
        <v>9.6295150706254537E-2</v>
      </c>
      <c r="C141" s="128">
        <f>WACC!B29*(C$137+$A141*(1+(1-WACC!B10)*WACC!B12)*DCF!B15)+WACC!B30*WACC!B22</f>
        <v>0.10033644864135778</v>
      </c>
      <c r="D141" s="128">
        <f>WACC!B29*(D$137+$A141*(1+(1-WACC!B10)*WACC!B12)*DCF!B15)+WACC!B30*WACC!B22</f>
        <v>0.10292287931982386</v>
      </c>
      <c r="E141" s="128">
        <f>WACC!B29*(E$137+$A141*(1+(1-WACC!B10)*WACC!B12)*DCF!B15)+WACC!B30*WACC!B22</f>
        <v>0.10437774657646101</v>
      </c>
      <c r="F141" s="129">
        <f>WACC!B29*(F$137+$A141*(1+(1-WACC!B10)*WACC!B12)*DCF!B15)+WACC!B30*WACC!B22</f>
        <v>0.10841904451156427</v>
      </c>
    </row>
    <row r="142" spans="1:6" ht="16.5" thickBot="1">
      <c r="A142" s="124">
        <v>1.1000000000000001</v>
      </c>
      <c r="B142" s="130">
        <f>WACC!B29*(B$137+$A142*(1+(1-WACC!B10)*WACC!B12)*DCF!B15)+WACC!B30*WACC!B22</f>
        <v>0.10158423625197725</v>
      </c>
      <c r="C142" s="130">
        <f>WACC!B29*(C$137+$A142*(1+(1-WACC!B10)*WACC!B12)*DCF!B15)+WACC!B30*WACC!B22</f>
        <v>0.10562553418708048</v>
      </c>
      <c r="D142" s="130">
        <f>WACC!B29*(D$137+$A142*(1+(1-WACC!B10)*WACC!B12)*DCF!B15)+WACC!B30*WACC!B22</f>
        <v>0.10821196486554657</v>
      </c>
      <c r="E142" s="130">
        <f>WACC!B29*(E$137+$A142*(1+(1-WACC!B10)*WACC!B12)*DCF!B15)+WACC!B30*WACC!B22</f>
        <v>0.10966683212218373</v>
      </c>
      <c r="F142" s="131">
        <f>WACC!B29*(F$137+$A142*(1+(1-WACC!B10)*WACC!B12)*DCF!B15)+WACC!B30*WACC!B22</f>
        <v>0.11370813005728699</v>
      </c>
    </row>
    <row r="143" spans="1:6" ht="16.5" thickBot="1"/>
    <row r="144" spans="1:6">
      <c r="A144" s="106" t="s">
        <v>116</v>
      </c>
    </row>
    <row r="145" spans="1:9">
      <c r="A145" s="8" t="s">
        <v>117</v>
      </c>
      <c r="B145" s="73" t="s">
        <v>3</v>
      </c>
      <c r="C145" s="73" t="s">
        <v>4</v>
      </c>
      <c r="D145" s="73" t="s">
        <v>5</v>
      </c>
      <c r="E145" s="86" t="s">
        <v>118</v>
      </c>
      <c r="F145" s="87" t="s">
        <v>119</v>
      </c>
      <c r="G145" s="134" t="s">
        <v>120</v>
      </c>
    </row>
    <row r="146" spans="1:9">
      <c r="A146" t="s">
        <v>25</v>
      </c>
      <c r="B146">
        <v>39.9</v>
      </c>
      <c r="C146">
        <v>39.4</v>
      </c>
      <c r="D146">
        <v>32.9</v>
      </c>
      <c r="E146">
        <v>35</v>
      </c>
      <c r="F146">
        <v>33</v>
      </c>
      <c r="G146">
        <v>30</v>
      </c>
    </row>
    <row r="147" spans="1:9">
      <c r="A147" t="s">
        <v>26</v>
      </c>
      <c r="B147">
        <v>6.3</v>
      </c>
      <c r="C147">
        <v>5.8</v>
      </c>
      <c r="D147">
        <v>7.9</v>
      </c>
      <c r="E147">
        <v>10</v>
      </c>
      <c r="F147">
        <v>8</v>
      </c>
      <c r="G147">
        <v>7</v>
      </c>
    </row>
    <row r="148" spans="1:9">
      <c r="A148" t="s">
        <v>27</v>
      </c>
      <c r="B148">
        <v>55.1</v>
      </c>
      <c r="C148">
        <v>51.5</v>
      </c>
      <c r="D148">
        <v>48.4</v>
      </c>
      <c r="E148">
        <v>45</v>
      </c>
      <c r="F148">
        <v>48</v>
      </c>
      <c r="G148">
        <v>50</v>
      </c>
    </row>
    <row r="149" spans="1:9">
      <c r="A149" s="11" t="s">
        <v>121</v>
      </c>
      <c r="B149" s="9">
        <f>(B146+B147*0.932-B148*0.932)/365</f>
        <v>-1.5292054794520553E-2</v>
      </c>
      <c r="C149" s="9">
        <f>(C146+C147*0.933-C148*0.933)/365</f>
        <v>-8.8715068493150761E-3</v>
      </c>
      <c r="D149" s="9">
        <f>(D146+D147*0.93-D148*0.93)/365</f>
        <v>-1.3054794520547947E-2</v>
      </c>
      <c r="E149" s="132">
        <f>(E146+E147*(1-B23-B24)-E148*(1-B23-B24))/365</f>
        <v>2.0136986301369847E-3</v>
      </c>
      <c r="F149" s="132">
        <f>(F146+F147*(1-B34-B35)-F148*(1-B34-B35))/365</f>
        <v>-1.6547945205479451E-2</v>
      </c>
      <c r="G149" s="132">
        <f>(G146+G147*(1-B45-B46)-G148*(1-B45-B46))/365</f>
        <v>-3.255342465753424E-2</v>
      </c>
      <c r="H149" s="9"/>
      <c r="I149" s="9"/>
    </row>
    <row r="150" spans="1:9">
      <c r="A150" s="72" t="s">
        <v>122</v>
      </c>
      <c r="B150" s="88">
        <f t="shared" ref="B150:G150" si="5">B146+B147-B148</f>
        <v>-8.9000000000000057</v>
      </c>
      <c r="C150" s="88">
        <f t="shared" si="5"/>
        <v>-6.3000000000000043</v>
      </c>
      <c r="D150" s="88">
        <f t="shared" si="5"/>
        <v>-7.6000000000000014</v>
      </c>
      <c r="E150" s="88">
        <f t="shared" si="5"/>
        <v>0</v>
      </c>
      <c r="F150" s="88">
        <f t="shared" si="5"/>
        <v>-7</v>
      </c>
      <c r="G150" s="88">
        <f t="shared" si="5"/>
        <v>-13</v>
      </c>
    </row>
    <row r="151" spans="1:9">
      <c r="A151" s="72" t="s">
        <v>123</v>
      </c>
    </row>
    <row r="152" spans="1:9">
      <c r="A152" s="72" t="s">
        <v>124</v>
      </c>
    </row>
    <row r="153" spans="1:9">
      <c r="A153" s="72" t="s">
        <v>125</v>
      </c>
    </row>
  </sheetData>
  <mergeCells count="9">
    <mergeCell ref="A64:I64"/>
    <mergeCell ref="A78:I78"/>
    <mergeCell ref="A92:I92"/>
    <mergeCell ref="A7:I7"/>
    <mergeCell ref="A19:I19"/>
    <mergeCell ref="A20:I20"/>
    <mergeCell ref="A31:I31"/>
    <mergeCell ref="A42:I42"/>
    <mergeCell ref="A53:I53"/>
  </mergeCells>
  <pageMargins left="0.7" right="0.7" top="0.75" bottom="0.75" header="0.3" footer="0.3"/>
  <pageSetup paperSize="9" scale="53" orientation="portrait" horizontalDpi="0" verticalDpi="0"/>
  <rowBreaks count="1" manualBreakCount="1">
    <brk id="90" max="16383" man="1"/>
  </row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21A0-90AC-1D4B-9DFB-86D61977C7DA}">
  <dimension ref="A1:B37"/>
  <sheetViews>
    <sheetView topLeftCell="A21" workbookViewId="0">
      <selection activeCell="B32" sqref="B32"/>
    </sheetView>
  </sheetViews>
  <sheetFormatPr defaultColWidth="11.125" defaultRowHeight="15.95"/>
  <cols>
    <col min="1" max="1" width="36.625" customWidth="1"/>
    <col min="2" max="2" width="16.625" customWidth="1"/>
  </cols>
  <sheetData>
    <row r="1" spans="1:2" ht="18.600000000000001">
      <c r="A1" s="204" t="s">
        <v>126</v>
      </c>
      <c r="B1" s="204"/>
    </row>
    <row r="2" spans="1:2" ht="16.5" thickBot="1"/>
    <row r="3" spans="1:2">
      <c r="A3" s="205" t="s">
        <v>127</v>
      </c>
      <c r="B3" s="206"/>
    </row>
    <row r="4" spans="1:2">
      <c r="A4" s="12" t="s">
        <v>46</v>
      </c>
      <c r="B4" s="62">
        <f>DCF!B16</f>
        <v>4.3200000000000002E-2</v>
      </c>
    </row>
    <row r="5" spans="1:2">
      <c r="A5" s="12" t="s">
        <v>47</v>
      </c>
      <c r="B5" s="63">
        <v>0.9</v>
      </c>
    </row>
    <row r="6" spans="1:2">
      <c r="A6" s="12" t="s">
        <v>128</v>
      </c>
      <c r="B6" s="62">
        <f>DCF!B15</f>
        <v>5.5E-2</v>
      </c>
    </row>
    <row r="7" spans="1:2">
      <c r="A7" s="12" t="s">
        <v>129</v>
      </c>
      <c r="B7" s="64">
        <f>DCF!B12</f>
        <v>325000</v>
      </c>
    </row>
    <row r="8" spans="1:2">
      <c r="A8" s="12" t="s">
        <v>130</v>
      </c>
      <c r="B8" s="64">
        <f>DCF!B13</f>
        <v>460626</v>
      </c>
    </row>
    <row r="9" spans="1:2">
      <c r="A9" s="12" t="s">
        <v>131</v>
      </c>
      <c r="B9" s="64">
        <f>DCF!B8</f>
        <v>1370000</v>
      </c>
    </row>
    <row r="10" spans="1:2">
      <c r="A10" s="12" t="s">
        <v>132</v>
      </c>
      <c r="B10" s="18">
        <v>0.2</v>
      </c>
    </row>
    <row r="11" spans="1:2">
      <c r="A11" s="24"/>
      <c r="B11" s="29"/>
    </row>
    <row r="12" spans="1:2">
      <c r="A12" s="12" t="s">
        <v>133</v>
      </c>
      <c r="B12" s="65">
        <f>B7/B9</f>
        <v>0.23722627737226276</v>
      </c>
    </row>
    <row r="13" spans="1:2">
      <c r="A13" s="12" t="s">
        <v>134</v>
      </c>
      <c r="B13" s="66">
        <f>B5*(1+(1-B10)*B12)</f>
        <v>1.0708029197080293</v>
      </c>
    </row>
    <row r="14" spans="1:2">
      <c r="A14" s="24"/>
      <c r="B14" s="29"/>
    </row>
    <row r="15" spans="1:2" ht="16.5" thickBot="1">
      <c r="A15" s="61" t="s">
        <v>135</v>
      </c>
      <c r="B15" s="67">
        <f>B4+B13*B6</f>
        <v>0.10209416058394161</v>
      </c>
    </row>
    <row r="16" spans="1:2" ht="16.5" thickBot="1"/>
    <row r="17" spans="1:2">
      <c r="A17" s="205" t="s">
        <v>136</v>
      </c>
      <c r="B17" s="206"/>
    </row>
    <row r="18" spans="1:2">
      <c r="A18" s="12" t="s">
        <v>137</v>
      </c>
      <c r="B18" s="14">
        <v>38587</v>
      </c>
    </row>
    <row r="19" spans="1:2">
      <c r="A19" s="12" t="s">
        <v>138</v>
      </c>
      <c r="B19" s="39">
        <f>(458178+325000)/2</f>
        <v>391589</v>
      </c>
    </row>
    <row r="20" spans="1:2">
      <c r="A20" s="12" t="s">
        <v>139</v>
      </c>
      <c r="B20" s="68">
        <f>B18/B19</f>
        <v>9.8539540181159332E-2</v>
      </c>
    </row>
    <row r="21" spans="1:2">
      <c r="A21" s="12" t="s">
        <v>132</v>
      </c>
      <c r="B21" s="31">
        <f>B10</f>
        <v>0.2</v>
      </c>
    </row>
    <row r="22" spans="1:2" ht="16.5" thickBot="1">
      <c r="A22" s="61" t="s">
        <v>140</v>
      </c>
      <c r="B22" s="67">
        <f>B20*(1-B21)</f>
        <v>7.8831632144927472E-2</v>
      </c>
    </row>
    <row r="23" spans="1:2" ht="16.5" thickBot="1"/>
    <row r="24" spans="1:2">
      <c r="A24" s="207" t="s">
        <v>126</v>
      </c>
      <c r="B24" s="208"/>
    </row>
    <row r="25" spans="1:2">
      <c r="A25" s="12" t="s">
        <v>141</v>
      </c>
      <c r="B25" s="39">
        <f>B9</f>
        <v>1370000</v>
      </c>
    </row>
    <row r="26" spans="1:2">
      <c r="A26" s="12" t="s">
        <v>142</v>
      </c>
      <c r="B26" s="71">
        <f>DCF!B11</f>
        <v>-135626</v>
      </c>
    </row>
    <row r="27" spans="1:2">
      <c r="A27" s="12" t="s">
        <v>143</v>
      </c>
      <c r="B27" s="39">
        <f>B25+B26</f>
        <v>1234374</v>
      </c>
    </row>
    <row r="28" spans="1:2">
      <c r="A28" s="24"/>
      <c r="B28" s="29"/>
    </row>
    <row r="29" spans="1:2">
      <c r="A29" s="12" t="s">
        <v>144</v>
      </c>
      <c r="B29" s="31">
        <f>B25/B31</f>
        <v>0.80825958702064893</v>
      </c>
    </row>
    <row r="30" spans="1:2">
      <c r="A30" s="12" t="s">
        <v>145</v>
      </c>
      <c r="B30" s="31">
        <f>B7/B31</f>
        <v>0.19174041297935104</v>
      </c>
    </row>
    <row r="31" spans="1:2">
      <c r="A31" s="24" t="s">
        <v>146</v>
      </c>
      <c r="B31" s="39">
        <f>B25+B7</f>
        <v>1695000</v>
      </c>
    </row>
    <row r="32" spans="1:2" ht="16.5" thickBot="1">
      <c r="A32" s="70" t="s">
        <v>147</v>
      </c>
      <c r="B32" s="67">
        <f>B29*B15+B30*B22</f>
        <v>9.7633793774101141E-2</v>
      </c>
    </row>
    <row r="34" spans="1:1">
      <c r="A34" s="3" t="s">
        <v>148</v>
      </c>
    </row>
    <row r="35" spans="1:1">
      <c r="A35" s="3" t="s">
        <v>149</v>
      </c>
    </row>
    <row r="36" spans="1:1">
      <c r="A36" s="3" t="s">
        <v>150</v>
      </c>
    </row>
    <row r="37" spans="1:1">
      <c r="A37" s="3"/>
    </row>
  </sheetData>
  <mergeCells count="4">
    <mergeCell ref="A1:B1"/>
    <mergeCell ref="A3:B3"/>
    <mergeCell ref="A17:B17"/>
    <mergeCell ref="A24:B24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16AA-33EA-4DE8-9D24-3B41FDCEA8F4}">
  <dimension ref="B1:L79"/>
  <sheetViews>
    <sheetView zoomScale="40" zoomScaleNormal="40" workbookViewId="0">
      <selection activeCell="K59" sqref="K59"/>
    </sheetView>
  </sheetViews>
  <sheetFormatPr defaultRowHeight="15.95"/>
  <cols>
    <col min="2" max="2" width="30.5" customWidth="1"/>
    <col min="4" max="4" width="32.625" bestFit="1" customWidth="1"/>
    <col min="5" max="5" width="9.625" customWidth="1"/>
    <col min="6" max="6" width="15.375" customWidth="1"/>
    <col min="7" max="7" width="6.625" customWidth="1"/>
    <col min="8" max="8" width="16.125" customWidth="1"/>
    <col min="9" max="9" width="12.125" customWidth="1"/>
    <col min="11" max="11" width="20.375" style="176" customWidth="1"/>
  </cols>
  <sheetData>
    <row r="1" spans="2:12">
      <c r="B1" s="11" t="s">
        <v>151</v>
      </c>
    </row>
    <row r="3" spans="2:12">
      <c r="D3" s="140" t="s">
        <v>152</v>
      </c>
      <c r="K3" s="176" t="s">
        <v>153</v>
      </c>
    </row>
    <row r="4" spans="2:12">
      <c r="B4" s="11" t="s">
        <v>154</v>
      </c>
    </row>
    <row r="5" spans="2:12">
      <c r="B5" s="141" t="s">
        <v>155</v>
      </c>
      <c r="D5" s="140">
        <v>2019</v>
      </c>
      <c r="F5" s="140">
        <v>2024</v>
      </c>
      <c r="H5" s="140">
        <v>2025</v>
      </c>
      <c r="I5" s="160" t="s">
        <v>156</v>
      </c>
      <c r="K5" s="177">
        <v>2026</v>
      </c>
      <c r="L5" s="160" t="s">
        <v>157</v>
      </c>
    </row>
    <row r="6" spans="2:12">
      <c r="I6" s="160"/>
    </row>
    <row r="7" spans="2:12">
      <c r="B7" s="11" t="s">
        <v>158</v>
      </c>
      <c r="D7" s="148">
        <v>11413312</v>
      </c>
      <c r="F7" s="148">
        <v>6591103</v>
      </c>
      <c r="H7" s="148">
        <v>6050908</v>
      </c>
      <c r="I7" s="161">
        <f>H7/F7-1</f>
        <v>-8.1958209422611006E-2</v>
      </c>
      <c r="K7" s="176">
        <f>+Multiples!C25*1000</f>
        <v>6353445</v>
      </c>
      <c r="L7" s="161">
        <f>(K7/F7)^(1/2)-1</f>
        <v>-1.8194211841774277E-2</v>
      </c>
    </row>
    <row r="8" spans="2:12">
      <c r="B8" t="s">
        <v>159</v>
      </c>
      <c r="D8" s="145">
        <v>-10221721</v>
      </c>
      <c r="F8" s="145">
        <v>-6148877</v>
      </c>
      <c r="H8" s="145">
        <v>-5624838</v>
      </c>
      <c r="I8" s="161">
        <f t="shared" ref="I8:I42" si="0">H8/F8-1</f>
        <v>-8.5225155747951975E-2</v>
      </c>
    </row>
    <row r="9" spans="2:12">
      <c r="D9" s="145"/>
      <c r="F9" s="145"/>
      <c r="H9" s="145"/>
      <c r="I9" s="161"/>
    </row>
    <row r="10" spans="2:12">
      <c r="B10" s="11" t="s">
        <v>160</v>
      </c>
      <c r="D10" s="148">
        <f>D7+D8</f>
        <v>1191591</v>
      </c>
      <c r="F10" s="148">
        <f>F7+F8</f>
        <v>442226</v>
      </c>
      <c r="H10" s="148">
        <f>H7+H8</f>
        <v>426070</v>
      </c>
      <c r="I10" s="161">
        <f t="shared" si="0"/>
        <v>-3.653335624771048E-2</v>
      </c>
    </row>
    <row r="11" spans="2:12">
      <c r="B11" s="164" t="s">
        <v>161</v>
      </c>
      <c r="D11" s="162">
        <f>D10/D7</f>
        <v>0.10440361220301346</v>
      </c>
      <c r="F11" s="162">
        <f>F10/F7</f>
        <v>6.7094384657621034E-2</v>
      </c>
      <c r="H11" s="162">
        <f>H10/H7</f>
        <v>7.0414225435256994E-2</v>
      </c>
      <c r="I11" s="161"/>
    </row>
    <row r="12" spans="2:12">
      <c r="B12" s="163"/>
      <c r="D12" s="162"/>
      <c r="F12" s="162"/>
      <c r="H12" s="162"/>
      <c r="I12" s="161"/>
    </row>
    <row r="13" spans="2:12">
      <c r="B13" t="s">
        <v>162</v>
      </c>
      <c r="D13" s="145">
        <v>27745</v>
      </c>
      <c r="F13" s="145">
        <v>31706</v>
      </c>
      <c r="H13" s="145">
        <v>24906</v>
      </c>
      <c r="I13" s="161">
        <f t="shared" si="0"/>
        <v>-0.21447044723396202</v>
      </c>
    </row>
    <row r="14" spans="2:12">
      <c r="D14" s="145"/>
      <c r="F14" s="145"/>
      <c r="H14" s="145"/>
      <c r="I14" s="161"/>
    </row>
    <row r="15" spans="2:12">
      <c r="B15" s="11" t="s">
        <v>163</v>
      </c>
      <c r="D15" s="147">
        <f>SUM(D10:D13)</f>
        <v>1219336.1044036122</v>
      </c>
      <c r="F15" s="147">
        <f>SUM(F10:F13)</f>
        <v>473932.06709438463</v>
      </c>
      <c r="H15" s="147">
        <f>SUM(H10:H13)</f>
        <v>450976.07041422545</v>
      </c>
      <c r="I15" s="161">
        <f t="shared" si="0"/>
        <v>-4.8437314699761425E-2</v>
      </c>
    </row>
    <row r="16" spans="2:12">
      <c r="D16" s="145"/>
      <c r="F16" s="145"/>
      <c r="H16" s="145"/>
      <c r="I16" s="161"/>
    </row>
    <row r="17" spans="2:11">
      <c r="B17" t="s">
        <v>164</v>
      </c>
      <c r="D17" s="145">
        <v>-384973</v>
      </c>
      <c r="F17" s="145">
        <v>-78243</v>
      </c>
      <c r="H17" s="145">
        <v>-76299</v>
      </c>
      <c r="I17" s="161">
        <f t="shared" si="0"/>
        <v>-2.4845673095356791E-2</v>
      </c>
    </row>
    <row r="18" spans="2:11">
      <c r="B18" t="s">
        <v>165</v>
      </c>
      <c r="D18" s="145">
        <v>-606816</v>
      </c>
      <c r="F18" s="145">
        <v>-275583</v>
      </c>
      <c r="H18" s="145">
        <v>-251637</v>
      </c>
      <c r="I18" s="161">
        <f t="shared" si="0"/>
        <v>-8.6892152273543743E-2</v>
      </c>
    </row>
    <row r="19" spans="2:11">
      <c r="D19" s="145"/>
      <c r="F19" s="145"/>
      <c r="H19" s="145"/>
      <c r="I19" s="161"/>
    </row>
    <row r="20" spans="2:11">
      <c r="B20" s="11" t="s">
        <v>166</v>
      </c>
      <c r="C20" s="11"/>
      <c r="D20" s="147">
        <f>SUM(D15:D18)</f>
        <v>227547.1044036122</v>
      </c>
      <c r="F20" s="147">
        <f>SUM(F15:F18)</f>
        <v>120106.06709438463</v>
      </c>
      <c r="H20" s="147">
        <f>SUM(H15:H18)</f>
        <v>123040.07041422545</v>
      </c>
      <c r="I20" s="161">
        <f t="shared" si="0"/>
        <v>2.4428435555509109E-2</v>
      </c>
      <c r="K20" s="176">
        <f>+H20*(1+Multiples!C20)</f>
        <v>129192.07393493674</v>
      </c>
    </row>
    <row r="21" spans="2:11">
      <c r="D21" s="145"/>
      <c r="F21" s="145"/>
      <c r="H21" s="145"/>
      <c r="I21" s="161"/>
    </row>
    <row r="22" spans="2:11">
      <c r="B22" t="s">
        <v>167</v>
      </c>
      <c r="D22" s="145">
        <v>621</v>
      </c>
      <c r="F22" s="145">
        <v>0</v>
      </c>
      <c r="H22" s="145">
        <v>0</v>
      </c>
      <c r="I22" s="161"/>
    </row>
    <row r="23" spans="2:11">
      <c r="B23" t="s">
        <v>168</v>
      </c>
      <c r="D23" s="145">
        <v>-26534</v>
      </c>
      <c r="F23" s="145">
        <v>-10082</v>
      </c>
      <c r="H23" s="145">
        <v>-12955</v>
      </c>
      <c r="I23" s="161">
        <f t="shared" si="0"/>
        <v>0.28496330093235467</v>
      </c>
    </row>
    <row r="24" spans="2:11">
      <c r="B24" t="s">
        <v>169</v>
      </c>
      <c r="D24" s="145">
        <v>-46825</v>
      </c>
      <c r="F24" s="145">
        <v>0</v>
      </c>
      <c r="H24" s="145">
        <v>0</v>
      </c>
      <c r="I24" s="161"/>
    </row>
    <row r="25" spans="2:11">
      <c r="B25" t="s">
        <v>170</v>
      </c>
      <c r="D25" s="145">
        <v>-6491</v>
      </c>
      <c r="F25" s="145">
        <v>-3763</v>
      </c>
      <c r="H25" s="145">
        <v>-533</v>
      </c>
      <c r="I25" s="161">
        <f t="shared" si="0"/>
        <v>-0.85835769332979006</v>
      </c>
    </row>
    <row r="26" spans="2:11">
      <c r="D26" s="145"/>
      <c r="F26" s="145"/>
      <c r="H26" s="145"/>
      <c r="I26" s="161"/>
    </row>
    <row r="27" spans="2:11">
      <c r="B27" s="11" t="s">
        <v>171</v>
      </c>
      <c r="C27" s="11"/>
      <c r="D27" s="147">
        <f>SUM(D20:D25)</f>
        <v>148318.1044036122</v>
      </c>
      <c r="F27" s="147">
        <f>SUM(F20:F25)</f>
        <v>106261.06709438463</v>
      </c>
      <c r="H27" s="147">
        <f>SUM(H20:H25)</f>
        <v>109552.07041422545</v>
      </c>
      <c r="I27" s="161">
        <f t="shared" si="0"/>
        <v>3.0970922933774458E-2</v>
      </c>
    </row>
    <row r="28" spans="2:11">
      <c r="D28" s="145"/>
      <c r="F28" s="145"/>
      <c r="H28" s="145"/>
      <c r="I28" s="161"/>
    </row>
    <row r="29" spans="2:11">
      <c r="B29" t="s">
        <v>20</v>
      </c>
      <c r="D29" s="145">
        <v>11531</v>
      </c>
      <c r="F29" s="145">
        <v>15403</v>
      </c>
      <c r="H29" s="145">
        <v>13836</v>
      </c>
      <c r="I29" s="161">
        <f t="shared" si="0"/>
        <v>-0.10173342855287926</v>
      </c>
    </row>
    <row r="30" spans="2:11">
      <c r="D30" s="145"/>
      <c r="F30" s="145"/>
      <c r="H30" s="145"/>
      <c r="I30" s="161"/>
    </row>
    <row r="31" spans="2:11">
      <c r="B31" t="s">
        <v>172</v>
      </c>
      <c r="D31" s="145"/>
      <c r="F31" s="145"/>
      <c r="H31" s="145"/>
      <c r="I31" s="161"/>
    </row>
    <row r="32" spans="2:11">
      <c r="B32" s="142" t="s">
        <v>173</v>
      </c>
      <c r="D32" s="145">
        <v>-7640</v>
      </c>
      <c r="F32" s="145">
        <v>0</v>
      </c>
      <c r="H32" s="145">
        <v>0</v>
      </c>
      <c r="I32" s="161"/>
    </row>
    <row r="33" spans="2:12">
      <c r="B33" s="142" t="s">
        <v>174</v>
      </c>
      <c r="D33" s="145">
        <v>-15302</v>
      </c>
      <c r="F33" s="145">
        <v>-2413</v>
      </c>
      <c r="H33" s="145">
        <v>-2016</v>
      </c>
      <c r="I33" s="161">
        <f t="shared" si="0"/>
        <v>-0.16452548694571079</v>
      </c>
    </row>
    <row r="34" spans="2:12">
      <c r="B34" s="142" t="s">
        <v>175</v>
      </c>
      <c r="D34" s="145">
        <v>-66844</v>
      </c>
      <c r="F34" s="145">
        <v>-30869</v>
      </c>
      <c r="H34" s="145">
        <v>-36571</v>
      </c>
      <c r="I34" s="161">
        <f t="shared" si="0"/>
        <v>0.18471605818134695</v>
      </c>
    </row>
    <row r="35" spans="2:12">
      <c r="D35" s="146">
        <f>SUM(D32:D34)</f>
        <v>-89786</v>
      </c>
      <c r="F35" s="146">
        <f>SUM(F32:F34)</f>
        <v>-33282</v>
      </c>
      <c r="H35" s="146">
        <f>SUM(H32:H34)</f>
        <v>-38587</v>
      </c>
      <c r="I35" s="161">
        <f t="shared" si="0"/>
        <v>0.15939546902229429</v>
      </c>
    </row>
    <row r="36" spans="2:12">
      <c r="B36" t="s">
        <v>176</v>
      </c>
      <c r="D36" s="145">
        <v>-36</v>
      </c>
      <c r="F36" s="145">
        <v>12</v>
      </c>
      <c r="H36" s="145">
        <v>10</v>
      </c>
      <c r="I36" s="161">
        <f t="shared" si="0"/>
        <v>-0.16666666666666663</v>
      </c>
    </row>
    <row r="37" spans="2:12">
      <c r="D37" s="145"/>
      <c r="F37" s="145"/>
      <c r="H37" s="145"/>
      <c r="I37" s="161"/>
    </row>
    <row r="38" spans="2:12">
      <c r="B38" t="s">
        <v>177</v>
      </c>
      <c r="D38" s="147">
        <f>D27+D29+D35+D36</f>
        <v>70027.104403612204</v>
      </c>
      <c r="F38" s="147">
        <f>F27+F29+F35+F36</f>
        <v>88394.067094384634</v>
      </c>
      <c r="H38" s="147">
        <f>H27+H29+H35+H36</f>
        <v>84811.070414225454</v>
      </c>
      <c r="I38" s="161">
        <f t="shared" si="0"/>
        <v>-4.0534357089072048E-2</v>
      </c>
    </row>
    <row r="39" spans="2:12">
      <c r="D39" s="145"/>
      <c r="F39" s="145"/>
      <c r="H39" s="145"/>
      <c r="I39" s="161"/>
    </row>
    <row r="40" spans="2:12">
      <c r="B40" t="s">
        <v>178</v>
      </c>
      <c r="D40" s="145">
        <v>-15756</v>
      </c>
      <c r="F40" s="145">
        <v>-22355</v>
      </c>
      <c r="H40" s="145">
        <v>-14710</v>
      </c>
      <c r="I40" s="161">
        <f t="shared" si="0"/>
        <v>-0.34198165958398563</v>
      </c>
    </row>
    <row r="41" spans="2:12">
      <c r="D41" s="145"/>
      <c r="F41" s="145"/>
      <c r="H41" s="145"/>
      <c r="I41" s="161"/>
    </row>
    <row r="42" spans="2:12">
      <c r="B42" t="s">
        <v>179</v>
      </c>
      <c r="D42" s="147">
        <f>D38+D40</f>
        <v>54271.104403612204</v>
      </c>
      <c r="F42" s="147">
        <f>F38+F40</f>
        <v>66039.067094384634</v>
      </c>
      <c r="H42" s="147">
        <f>H38+H40</f>
        <v>70101.070414225454</v>
      </c>
      <c r="I42" s="161">
        <f t="shared" si="0"/>
        <v>6.1509096033039112E-2</v>
      </c>
    </row>
    <row r="43" spans="2:12">
      <c r="D43" s="145"/>
      <c r="F43" s="145"/>
      <c r="H43" s="145"/>
      <c r="I43" s="160"/>
    </row>
    <row r="44" spans="2:12">
      <c r="B44" s="140" t="s">
        <v>180</v>
      </c>
      <c r="D44" s="145"/>
      <c r="F44" s="145"/>
      <c r="H44" s="145"/>
      <c r="I44" s="160"/>
    </row>
    <row r="45" spans="2:12">
      <c r="B45" t="s">
        <v>181</v>
      </c>
      <c r="D45" s="145">
        <v>0</v>
      </c>
      <c r="F45" s="145">
        <v>0</v>
      </c>
      <c r="H45" s="145">
        <v>0</v>
      </c>
      <c r="I45" s="160"/>
    </row>
    <row r="46" spans="2:12">
      <c r="D46" s="145"/>
      <c r="F46" s="145"/>
      <c r="H46" s="145"/>
      <c r="I46" s="160"/>
    </row>
    <row r="47" spans="2:12">
      <c r="B47" s="11" t="s">
        <v>182</v>
      </c>
      <c r="D47" s="148">
        <f>D42+D45</f>
        <v>54271.104403612204</v>
      </c>
      <c r="F47" s="148">
        <f>F42+F45</f>
        <v>66039.067094384634</v>
      </c>
      <c r="H47" s="148">
        <f>H42+H45</f>
        <v>70101.070414225454</v>
      </c>
      <c r="I47" s="160"/>
      <c r="K47" s="176">
        <f>Multiples!C16*1000</f>
        <v>73500</v>
      </c>
      <c r="L47" s="161">
        <f>(K47/F47)^(1/2)-1</f>
        <v>5.497751807492679E-2</v>
      </c>
    </row>
    <row r="48" spans="2:12">
      <c r="B48" s="165" t="s">
        <v>183</v>
      </c>
      <c r="C48" s="141"/>
      <c r="D48" s="162">
        <f>D47/D7</f>
        <v>4.7550706055886497E-3</v>
      </c>
      <c r="E48" s="141"/>
      <c r="F48" s="162">
        <f>F47/F7</f>
        <v>1.0019425746249852E-2</v>
      </c>
      <c r="G48" s="141"/>
      <c r="H48" s="162">
        <f>H47/H7</f>
        <v>1.1585215047762328E-2</v>
      </c>
      <c r="I48" s="160"/>
      <c r="K48" s="162">
        <f>K47/K7</f>
        <v>1.1568526995984069E-2</v>
      </c>
    </row>
    <row r="49" spans="2:12">
      <c r="D49" s="145"/>
      <c r="F49" s="145"/>
      <c r="H49" s="145"/>
      <c r="I49" s="160"/>
    </row>
    <row r="50" spans="2:12">
      <c r="B50" s="149" t="s">
        <v>184</v>
      </c>
      <c r="D50" s="145"/>
      <c r="F50" s="145"/>
      <c r="H50" s="145"/>
      <c r="I50" s="160"/>
    </row>
    <row r="51" spans="2:12">
      <c r="B51" s="142" t="s">
        <v>185</v>
      </c>
      <c r="D51" s="145">
        <v>16748</v>
      </c>
      <c r="F51" s="145">
        <v>37539</v>
      </c>
      <c r="H51" s="145">
        <v>37539</v>
      </c>
      <c r="I51" s="160"/>
    </row>
    <row r="52" spans="2:12">
      <c r="B52" s="142" t="s">
        <v>186</v>
      </c>
      <c r="D52" s="145">
        <v>34125</v>
      </c>
      <c r="F52" s="145">
        <v>32375</v>
      </c>
      <c r="H52" s="145">
        <v>32375</v>
      </c>
      <c r="I52" s="160"/>
    </row>
    <row r="53" spans="2:12">
      <c r="B53" s="142" t="s">
        <v>187</v>
      </c>
      <c r="D53" s="145">
        <v>3398</v>
      </c>
      <c r="F53" s="145">
        <v>187</v>
      </c>
      <c r="H53" s="145">
        <v>187</v>
      </c>
      <c r="I53" s="160"/>
    </row>
    <row r="54" spans="2:12">
      <c r="D54" s="147">
        <f>SUM(D51:D53)</f>
        <v>54271</v>
      </c>
      <c r="F54" s="147">
        <f>SUM(F51:F53)</f>
        <v>70101</v>
      </c>
      <c r="H54" s="147">
        <f>SUM(H51:H53)</f>
        <v>70101</v>
      </c>
      <c r="I54" s="160"/>
    </row>
    <row r="55" spans="2:12">
      <c r="D55" s="145"/>
      <c r="I55" s="160"/>
    </row>
    <row r="56" spans="2:12">
      <c r="D56" s="145"/>
      <c r="I56" s="160"/>
    </row>
    <row r="57" spans="2:12">
      <c r="D57" s="145"/>
      <c r="I57" s="160"/>
    </row>
    <row r="58" spans="2:12">
      <c r="D58" s="145"/>
      <c r="I58" s="160"/>
    </row>
    <row r="59" spans="2:12">
      <c r="B59" s="11" t="s">
        <v>188</v>
      </c>
      <c r="D59" s="150">
        <f>D27-D22-D23-D24</f>
        <v>221056.1044036122</v>
      </c>
      <c r="F59" s="150">
        <f>F27-F23</f>
        <v>116343.06709438463</v>
      </c>
      <c r="H59" s="150">
        <f>H27-H23</f>
        <v>122507.07041422545</v>
      </c>
      <c r="I59" s="160"/>
    </row>
    <row r="60" spans="2:12">
      <c r="B60" s="11" t="s">
        <v>70</v>
      </c>
      <c r="D60" s="150">
        <f>D27</f>
        <v>148318.1044036122</v>
      </c>
      <c r="F60" s="150">
        <f>F27</f>
        <v>106261.06709438463</v>
      </c>
      <c r="H60" s="150">
        <f>H27</f>
        <v>109552.07041422545</v>
      </c>
      <c r="I60" s="160"/>
    </row>
    <row r="61" spans="2:12">
      <c r="D61" s="145"/>
      <c r="I61" s="160"/>
    </row>
    <row r="62" spans="2:12">
      <c r="B62" s="11" t="s">
        <v>189</v>
      </c>
      <c r="F62">
        <v>142</v>
      </c>
      <c r="H62">
        <v>147</v>
      </c>
      <c r="I62" s="160"/>
      <c r="K62" s="176">
        <f>+Multiples!C21</f>
        <v>154.35</v>
      </c>
      <c r="L62" s="161">
        <f>(K62/F62)^(1/2)-1</f>
        <v>4.2579412316354759E-2</v>
      </c>
    </row>
    <row r="63" spans="2:12">
      <c r="B63" s="151" t="s">
        <v>190</v>
      </c>
      <c r="C63" s="152"/>
      <c r="D63" s="152"/>
      <c r="E63" s="152"/>
      <c r="F63" s="153">
        <f>F20</f>
        <v>120106.06709438463</v>
      </c>
      <c r="G63" s="152"/>
      <c r="H63" s="153">
        <f>H20</f>
        <v>123040.07041422545</v>
      </c>
      <c r="I63" s="160"/>
      <c r="K63" s="153">
        <f>+K20</f>
        <v>129192.07393493674</v>
      </c>
      <c r="L63" s="181">
        <f>+K63/H63-1</f>
        <v>5.0000000000000044E-2</v>
      </c>
    </row>
    <row r="64" spans="2:12">
      <c r="B64" s="151" t="s">
        <v>191</v>
      </c>
      <c r="F64" s="153">
        <v>-3487</v>
      </c>
      <c r="H64" s="153">
        <v>-3882</v>
      </c>
      <c r="I64" s="160"/>
      <c r="K64" s="153">
        <f>+H64</f>
        <v>-3882</v>
      </c>
    </row>
    <row r="65" spans="2:12">
      <c r="B65" s="151" t="s">
        <v>192</v>
      </c>
      <c r="F65" s="153">
        <v>-17847</v>
      </c>
      <c r="H65" s="153">
        <v>-18624</v>
      </c>
      <c r="I65" s="160"/>
      <c r="K65" s="153">
        <f>H65</f>
        <v>-18624</v>
      </c>
    </row>
    <row r="66" spans="2:12">
      <c r="B66" s="151" t="s">
        <v>193</v>
      </c>
      <c r="F66" s="153">
        <v>-962</v>
      </c>
      <c r="H66" s="153">
        <v>-962</v>
      </c>
      <c r="I66" s="160"/>
      <c r="K66" s="153">
        <f>H66</f>
        <v>-962</v>
      </c>
    </row>
    <row r="67" spans="2:12">
      <c r="B67" s="151"/>
      <c r="F67" s="154">
        <f>F63-F64-F65-F66</f>
        <v>142402.06709438463</v>
      </c>
      <c r="H67" s="154">
        <f>H63-H64-H65-H66</f>
        <v>146508.07041422545</v>
      </c>
      <c r="I67" s="160"/>
      <c r="K67" s="154">
        <f>K63-K64-K65-K66</f>
        <v>152660.07393493672</v>
      </c>
    </row>
    <row r="68" spans="2:12">
      <c r="B68" s="165" t="s">
        <v>194</v>
      </c>
      <c r="F68" s="162">
        <f>+F67/F7</f>
        <v>2.1605195229749047E-2</v>
      </c>
      <c r="H68" s="162">
        <f>+H67/H7</f>
        <v>2.4212576098368285E-2</v>
      </c>
      <c r="K68" s="162">
        <f>+K67/K7</f>
        <v>2.4027920905105297E-2</v>
      </c>
      <c r="L68" s="162">
        <f>K62*1000/K7</f>
        <v>2.4293906691566544E-2</v>
      </c>
    </row>
    <row r="72" spans="2:12">
      <c r="D72" s="145"/>
    </row>
    <row r="73" spans="2:12">
      <c r="D73" s="145"/>
    </row>
    <row r="74" spans="2:12">
      <c r="B74" t="s">
        <v>195</v>
      </c>
      <c r="D74" s="144">
        <v>11.3</v>
      </c>
    </row>
    <row r="75" spans="2:12">
      <c r="B75" t="s">
        <v>196</v>
      </c>
      <c r="D75" s="144">
        <v>7.6</v>
      </c>
    </row>
    <row r="76" spans="2:12">
      <c r="D76" s="145"/>
    </row>
    <row r="77" spans="2:12">
      <c r="B77" t="s">
        <v>197</v>
      </c>
      <c r="D77" s="145"/>
    </row>
    <row r="78" spans="2:12">
      <c r="B78" t="s">
        <v>198</v>
      </c>
      <c r="D78" s="144">
        <v>18.5</v>
      </c>
    </row>
    <row r="79" spans="2:12">
      <c r="B79" t="s">
        <v>199</v>
      </c>
      <c r="D79" s="144">
        <v>8.4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4F0A-5B75-4A76-8DA2-DEF0B55BC303}">
  <dimension ref="A1:L25"/>
  <sheetViews>
    <sheetView topLeftCell="B1" workbookViewId="0"/>
  </sheetViews>
  <sheetFormatPr defaultColWidth="8.625" defaultRowHeight="14.45"/>
  <cols>
    <col min="1" max="1" width="13.75" style="167" bestFit="1" customWidth="1"/>
    <col min="2" max="2" width="28.125" style="167" customWidth="1"/>
    <col min="3" max="3" width="44.875" style="167" customWidth="1"/>
    <col min="4" max="4" width="10.125" style="167" customWidth="1"/>
    <col min="5" max="6" width="7.75" style="167" bestFit="1" customWidth="1"/>
    <col min="7" max="7" width="11.125" style="167" bestFit="1" customWidth="1"/>
    <col min="8" max="10" width="12.625" style="167" bestFit="1" customWidth="1"/>
    <col min="11" max="12" width="13.875" style="167" bestFit="1" customWidth="1"/>
    <col min="13" max="16384" width="8.625" style="167"/>
  </cols>
  <sheetData>
    <row r="1" spans="1:12">
      <c r="D1" s="168" t="s">
        <v>200</v>
      </c>
      <c r="E1" s="167" t="s">
        <v>201</v>
      </c>
      <c r="F1" s="167" t="s">
        <v>202</v>
      </c>
      <c r="G1" s="167" t="s">
        <v>203</v>
      </c>
      <c r="H1" s="167" t="s">
        <v>204</v>
      </c>
      <c r="I1" s="167" t="s">
        <v>205</v>
      </c>
      <c r="J1" s="168" t="s">
        <v>206</v>
      </c>
      <c r="K1" s="167" t="s">
        <v>207</v>
      </c>
      <c r="L1" s="167" t="s">
        <v>208</v>
      </c>
    </row>
    <row r="2" spans="1:12">
      <c r="A2" s="167" t="s">
        <v>209</v>
      </c>
      <c r="D2" s="168"/>
      <c r="J2" s="168"/>
    </row>
    <row r="3" spans="1:12" ht="43.5">
      <c r="A3" s="167" t="s">
        <v>210</v>
      </c>
      <c r="B3" s="167" t="s">
        <v>211</v>
      </c>
      <c r="C3" s="166" t="s">
        <v>212</v>
      </c>
      <c r="D3" s="169">
        <v>36.950000000000003</v>
      </c>
      <c r="E3" s="166">
        <v>37.82</v>
      </c>
      <c r="F3" s="166">
        <v>19.3</v>
      </c>
      <c r="G3" s="166">
        <v>0.32</v>
      </c>
      <c r="H3" s="166">
        <v>0.33</v>
      </c>
      <c r="I3" s="166">
        <v>0.28000000000000003</v>
      </c>
      <c r="J3" s="169">
        <v>10.91</v>
      </c>
      <c r="K3" s="166" t="s">
        <v>12</v>
      </c>
      <c r="L3" s="166" t="s">
        <v>12</v>
      </c>
    </row>
    <row r="4" spans="1:12" ht="43.5">
      <c r="A4" s="167" t="s">
        <v>213</v>
      </c>
      <c r="B4" s="167" t="s">
        <v>214</v>
      </c>
      <c r="C4" s="166" t="s">
        <v>215</v>
      </c>
      <c r="D4" s="169">
        <v>7.76</v>
      </c>
      <c r="E4" s="166"/>
      <c r="F4" s="166"/>
      <c r="G4" s="166">
        <v>0.44</v>
      </c>
      <c r="H4" s="166"/>
      <c r="I4" s="166"/>
      <c r="J4" s="169">
        <v>4.47</v>
      </c>
      <c r="K4" s="166"/>
      <c r="L4" s="166"/>
    </row>
    <row r="5" spans="1:12" ht="43.5">
      <c r="A5" s="167" t="s">
        <v>216</v>
      </c>
      <c r="B5" s="167" t="s">
        <v>217</v>
      </c>
      <c r="C5" s="166" t="s">
        <v>218</v>
      </c>
      <c r="D5" s="169">
        <v>10.26</v>
      </c>
      <c r="E5" s="166">
        <v>9.07</v>
      </c>
      <c r="F5" s="166">
        <v>8.07</v>
      </c>
      <c r="G5" s="166">
        <v>0.74</v>
      </c>
      <c r="H5" s="166">
        <v>0.68</v>
      </c>
      <c r="I5" s="166">
        <v>0.62</v>
      </c>
      <c r="J5" s="169">
        <v>5.63</v>
      </c>
      <c r="K5" s="166">
        <v>5.0199999999999996</v>
      </c>
      <c r="L5" s="166">
        <v>4.55</v>
      </c>
    </row>
    <row r="6" spans="1:12" ht="43.5">
      <c r="A6" s="167" t="s">
        <v>219</v>
      </c>
      <c r="B6" s="167" t="s">
        <v>220</v>
      </c>
      <c r="C6" s="166" t="s">
        <v>221</v>
      </c>
      <c r="D6" s="169">
        <v>7.73</v>
      </c>
      <c r="E6" s="166">
        <v>6.43</v>
      </c>
      <c r="F6" s="166">
        <v>5.41</v>
      </c>
      <c r="G6" s="166">
        <v>0.39</v>
      </c>
      <c r="H6" s="166">
        <v>0.37</v>
      </c>
      <c r="I6" s="166">
        <v>0.36</v>
      </c>
      <c r="J6" s="169">
        <v>5.8</v>
      </c>
      <c r="K6" s="166">
        <v>5.4</v>
      </c>
      <c r="L6" s="166">
        <v>4.66</v>
      </c>
    </row>
    <row r="7" spans="1:12" ht="43.5">
      <c r="A7" s="167" t="s">
        <v>222</v>
      </c>
      <c r="B7" s="167" t="s">
        <v>223</v>
      </c>
      <c r="C7" s="166" t="s">
        <v>224</v>
      </c>
      <c r="D7" s="169">
        <v>10.83</v>
      </c>
      <c r="E7" s="166">
        <v>10.02</v>
      </c>
      <c r="F7" s="166">
        <v>9.15</v>
      </c>
      <c r="G7" s="166">
        <v>1.61</v>
      </c>
      <c r="H7" s="166">
        <v>1.53</v>
      </c>
      <c r="I7" s="166">
        <v>1.43</v>
      </c>
      <c r="J7" s="169">
        <v>6.31</v>
      </c>
      <c r="K7" s="166">
        <v>5.96</v>
      </c>
      <c r="L7" s="166">
        <v>5.42</v>
      </c>
    </row>
    <row r="8" spans="1:12">
      <c r="C8" s="166"/>
      <c r="D8" s="169"/>
      <c r="E8" s="166"/>
      <c r="F8" s="166"/>
      <c r="G8" s="166"/>
      <c r="H8" s="166"/>
      <c r="I8" s="166"/>
      <c r="J8" s="169"/>
      <c r="K8" s="166"/>
      <c r="L8" s="166"/>
    </row>
    <row r="9" spans="1:12">
      <c r="C9" s="166" t="s">
        <v>225</v>
      </c>
      <c r="D9" s="170">
        <f>MAX(D$3:D$7)</f>
        <v>36.950000000000003</v>
      </c>
      <c r="E9" s="171">
        <f t="shared" ref="E9:L9" si="0">MAX(E$3:E$7)</f>
        <v>37.82</v>
      </c>
      <c r="F9" s="171">
        <f t="shared" si="0"/>
        <v>19.3</v>
      </c>
      <c r="G9" s="171">
        <f t="shared" si="0"/>
        <v>1.61</v>
      </c>
      <c r="H9" s="171">
        <f t="shared" si="0"/>
        <v>1.53</v>
      </c>
      <c r="I9" s="171">
        <f t="shared" si="0"/>
        <v>1.43</v>
      </c>
      <c r="J9" s="170">
        <f t="shared" si="0"/>
        <v>10.91</v>
      </c>
      <c r="K9" s="171">
        <f t="shared" si="0"/>
        <v>5.96</v>
      </c>
      <c r="L9" s="171">
        <f t="shared" si="0"/>
        <v>5.42</v>
      </c>
    </row>
    <row r="10" spans="1:12">
      <c r="C10" s="166" t="s">
        <v>226</v>
      </c>
      <c r="D10" s="172">
        <f>AVERAGE(D$3:D$7)</f>
        <v>14.706</v>
      </c>
      <c r="E10" s="171">
        <f t="shared" ref="E10:L10" si="1">AVERAGE(E$3:E$7)</f>
        <v>15.835000000000001</v>
      </c>
      <c r="F10" s="171">
        <f t="shared" si="1"/>
        <v>10.4825</v>
      </c>
      <c r="G10" s="171">
        <f t="shared" si="1"/>
        <v>0.7</v>
      </c>
      <c r="H10" s="171">
        <f t="shared" si="1"/>
        <v>0.72750000000000004</v>
      </c>
      <c r="I10" s="171">
        <f t="shared" si="1"/>
        <v>0.67249999999999999</v>
      </c>
      <c r="J10" s="172">
        <f t="shared" si="1"/>
        <v>6.6239999999999997</v>
      </c>
      <c r="K10" s="171">
        <f t="shared" si="1"/>
        <v>5.46</v>
      </c>
      <c r="L10" s="171">
        <f t="shared" si="1"/>
        <v>4.8766666666666669</v>
      </c>
    </row>
    <row r="11" spans="1:12">
      <c r="C11" s="166" t="s">
        <v>227</v>
      </c>
      <c r="D11" s="170">
        <f>MEDIAN(D$3:D$7)</f>
        <v>10.26</v>
      </c>
      <c r="E11" s="171">
        <f t="shared" ref="E11:L11" si="2">MEDIAN(E$3:E$7)</f>
        <v>9.5449999999999999</v>
      </c>
      <c r="F11" s="171">
        <f t="shared" si="2"/>
        <v>8.61</v>
      </c>
      <c r="G11" s="171">
        <f t="shared" si="2"/>
        <v>0.44</v>
      </c>
      <c r="H11" s="171">
        <f t="shared" si="2"/>
        <v>0.52500000000000002</v>
      </c>
      <c r="I11" s="171">
        <f t="shared" si="2"/>
        <v>0.49</v>
      </c>
      <c r="J11" s="170">
        <f t="shared" si="2"/>
        <v>5.8</v>
      </c>
      <c r="K11" s="171">
        <f t="shared" si="2"/>
        <v>5.4</v>
      </c>
      <c r="L11" s="171">
        <f t="shared" si="2"/>
        <v>4.66</v>
      </c>
    </row>
    <row r="12" spans="1:12">
      <c r="C12" s="166" t="s">
        <v>228</v>
      </c>
      <c r="D12" s="170">
        <f>MIN(D$3:D$7)</f>
        <v>7.73</v>
      </c>
      <c r="E12" s="171">
        <f t="shared" ref="E12:L12" si="3">MIN(E$3:E$7)</f>
        <v>6.43</v>
      </c>
      <c r="F12" s="171">
        <f t="shared" si="3"/>
        <v>5.41</v>
      </c>
      <c r="G12" s="171">
        <f t="shared" si="3"/>
        <v>0.32</v>
      </c>
      <c r="H12" s="171">
        <f t="shared" si="3"/>
        <v>0.33</v>
      </c>
      <c r="I12" s="171">
        <f t="shared" si="3"/>
        <v>0.28000000000000003</v>
      </c>
      <c r="J12" s="170">
        <f t="shared" si="3"/>
        <v>4.47</v>
      </c>
      <c r="K12" s="171">
        <f t="shared" si="3"/>
        <v>5.0199999999999996</v>
      </c>
      <c r="L12" s="171">
        <f t="shared" si="3"/>
        <v>4.55</v>
      </c>
    </row>
    <row r="13" spans="1:12">
      <c r="C13" s="166"/>
      <c r="D13" s="168"/>
      <c r="J13" s="168"/>
    </row>
    <row r="14" spans="1:12">
      <c r="C14" s="166"/>
      <c r="D14" s="168" t="s">
        <v>200</v>
      </c>
      <c r="E14" s="167" t="s">
        <v>201</v>
      </c>
      <c r="F14" s="167" t="s">
        <v>202</v>
      </c>
      <c r="G14" s="167" t="s">
        <v>203</v>
      </c>
      <c r="H14" s="167" t="s">
        <v>204</v>
      </c>
      <c r="I14" s="167" t="s">
        <v>205</v>
      </c>
      <c r="J14" s="168" t="s">
        <v>206</v>
      </c>
      <c r="K14" s="167" t="s">
        <v>207</v>
      </c>
      <c r="L14" s="167" t="s">
        <v>208</v>
      </c>
    </row>
    <row r="15" spans="1:12">
      <c r="A15" s="167" t="s">
        <v>229</v>
      </c>
      <c r="C15" s="166"/>
      <c r="D15" s="168"/>
      <c r="J15" s="168"/>
    </row>
    <row r="16" spans="1:12" ht="43.5">
      <c r="A16" s="167" t="s">
        <v>230</v>
      </c>
      <c r="B16" s="167" t="s">
        <v>231</v>
      </c>
      <c r="C16" s="166" t="s">
        <v>232</v>
      </c>
      <c r="D16" s="168">
        <v>8.48</v>
      </c>
      <c r="E16" s="167">
        <v>8.57</v>
      </c>
      <c r="F16" s="167">
        <v>8.17</v>
      </c>
      <c r="G16" s="167">
        <v>0.34</v>
      </c>
      <c r="H16" s="167">
        <v>0.33</v>
      </c>
      <c r="I16" s="167">
        <v>0.31</v>
      </c>
      <c r="J16" s="168">
        <v>4.46</v>
      </c>
      <c r="K16" s="167">
        <v>4.3899999999999997</v>
      </c>
      <c r="L16" s="167">
        <v>4.24</v>
      </c>
    </row>
    <row r="17" spans="1:12" ht="43.5">
      <c r="A17" s="167" t="s">
        <v>233</v>
      </c>
      <c r="B17" s="167" t="s">
        <v>234</v>
      </c>
      <c r="C17" s="166" t="s">
        <v>235</v>
      </c>
      <c r="D17" s="168">
        <v>45.04</v>
      </c>
      <c r="E17" s="167">
        <v>25.43</v>
      </c>
      <c r="F17" s="167">
        <v>19</v>
      </c>
      <c r="G17" s="167">
        <v>1.92</v>
      </c>
      <c r="H17" s="167">
        <v>1.65</v>
      </c>
      <c r="I17" s="167">
        <v>1.6</v>
      </c>
      <c r="J17" s="168">
        <v>16.850000000000001</v>
      </c>
      <c r="K17" s="167">
        <v>14</v>
      </c>
      <c r="L17" s="167">
        <v>11.86</v>
      </c>
    </row>
    <row r="18" spans="1:12" ht="43.5">
      <c r="A18" s="167" t="s">
        <v>236</v>
      </c>
      <c r="B18" s="167" t="s">
        <v>237</v>
      </c>
      <c r="C18" s="166" t="s">
        <v>238</v>
      </c>
      <c r="D18" s="168">
        <v>23.6</v>
      </c>
      <c r="E18" s="167">
        <v>22.64</v>
      </c>
      <c r="F18" s="167">
        <v>20.48</v>
      </c>
      <c r="G18" s="167">
        <v>1</v>
      </c>
      <c r="H18" s="167">
        <v>0.97</v>
      </c>
      <c r="I18" s="167">
        <v>0.94</v>
      </c>
      <c r="J18" s="168">
        <v>11.43</v>
      </c>
      <c r="K18" s="167">
        <v>11.05</v>
      </c>
      <c r="L18" s="167">
        <v>10.28</v>
      </c>
    </row>
    <row r="19" spans="1:12" ht="43.5">
      <c r="A19" s="167" t="s">
        <v>239</v>
      </c>
      <c r="B19" s="167" t="s">
        <v>240</v>
      </c>
      <c r="C19" s="166" t="s">
        <v>241</v>
      </c>
      <c r="D19" s="168">
        <v>15.48</v>
      </c>
      <c r="E19" s="167">
        <v>14.65</v>
      </c>
      <c r="F19" s="167">
        <v>13.33</v>
      </c>
      <c r="G19" s="167">
        <v>0.95</v>
      </c>
      <c r="H19" s="167">
        <v>0.92</v>
      </c>
      <c r="I19" s="167">
        <v>0.89</v>
      </c>
      <c r="J19" s="168">
        <v>7.19</v>
      </c>
      <c r="K19" s="167">
        <v>6.93</v>
      </c>
      <c r="L19" s="167">
        <v>6.58</v>
      </c>
    </row>
    <row r="20" spans="1:12" ht="43.5">
      <c r="A20" s="167" t="s">
        <v>242</v>
      </c>
      <c r="B20" s="167" t="s">
        <v>243</v>
      </c>
      <c r="C20" s="166" t="s">
        <v>244</v>
      </c>
      <c r="D20" s="168">
        <v>32.119999999999997</v>
      </c>
      <c r="E20" s="167">
        <v>19.11</v>
      </c>
      <c r="F20" s="167">
        <v>16.399999999999999</v>
      </c>
      <c r="G20" s="167">
        <v>0.87</v>
      </c>
      <c r="H20" s="167">
        <v>0.82</v>
      </c>
      <c r="I20" s="167">
        <v>0.78</v>
      </c>
      <c r="J20" s="168">
        <v>7.09</v>
      </c>
      <c r="K20" s="167">
        <v>9.11</v>
      </c>
      <c r="L20" s="167">
        <v>8.34</v>
      </c>
    </row>
    <row r="21" spans="1:12">
      <c r="C21" s="166"/>
      <c r="D21" s="168"/>
      <c r="J21" s="168"/>
    </row>
    <row r="22" spans="1:12">
      <c r="C22" s="166" t="s">
        <v>225</v>
      </c>
      <c r="D22" s="173">
        <f>MAX(D$16:D$20)</f>
        <v>45.04</v>
      </c>
      <c r="E22" s="174">
        <f t="shared" ref="E22:L22" si="4">MAX(E$16:E$20)</f>
        <v>25.43</v>
      </c>
      <c r="F22" s="174">
        <f t="shared" si="4"/>
        <v>20.48</v>
      </c>
      <c r="G22" s="174">
        <f t="shared" si="4"/>
        <v>1.92</v>
      </c>
      <c r="H22" s="174">
        <f t="shared" si="4"/>
        <v>1.65</v>
      </c>
      <c r="I22" s="174">
        <f t="shared" si="4"/>
        <v>1.6</v>
      </c>
      <c r="J22" s="173">
        <f t="shared" si="4"/>
        <v>16.850000000000001</v>
      </c>
      <c r="K22" s="174">
        <f t="shared" si="4"/>
        <v>14</v>
      </c>
      <c r="L22" s="174">
        <f t="shared" si="4"/>
        <v>11.86</v>
      </c>
    </row>
    <row r="23" spans="1:12">
      <c r="C23" s="166" t="s">
        <v>226</v>
      </c>
      <c r="D23" s="175">
        <f>AVERAGE(D$16:D$20)</f>
        <v>24.943999999999999</v>
      </c>
      <c r="E23" s="174">
        <f t="shared" ref="E23:L23" si="5">AVERAGE(E$16:E$20)</f>
        <v>18.080000000000002</v>
      </c>
      <c r="F23" s="174">
        <f t="shared" si="5"/>
        <v>15.475999999999999</v>
      </c>
      <c r="G23" s="174">
        <f t="shared" si="5"/>
        <v>1.016</v>
      </c>
      <c r="H23" s="174">
        <f t="shared" si="5"/>
        <v>0.93800000000000006</v>
      </c>
      <c r="I23" s="174">
        <f t="shared" si="5"/>
        <v>0.90400000000000014</v>
      </c>
      <c r="J23" s="175">
        <f t="shared" si="5"/>
        <v>9.4039999999999999</v>
      </c>
      <c r="K23" s="174">
        <f t="shared" si="5"/>
        <v>9.0960000000000001</v>
      </c>
      <c r="L23" s="174">
        <f t="shared" si="5"/>
        <v>8.26</v>
      </c>
    </row>
    <row r="24" spans="1:12">
      <c r="C24" s="167" t="s">
        <v>227</v>
      </c>
      <c r="D24" s="173">
        <f>MEDIAN(D$16:D$20)</f>
        <v>23.6</v>
      </c>
      <c r="E24" s="174">
        <f t="shared" ref="E24:L24" si="6">MEDIAN(E$16:E$20)</f>
        <v>19.11</v>
      </c>
      <c r="F24" s="174">
        <f t="shared" si="6"/>
        <v>16.399999999999999</v>
      </c>
      <c r="G24" s="174">
        <f t="shared" si="6"/>
        <v>0.95</v>
      </c>
      <c r="H24" s="174">
        <f t="shared" si="6"/>
        <v>0.92</v>
      </c>
      <c r="I24" s="174">
        <f t="shared" si="6"/>
        <v>0.89</v>
      </c>
      <c r="J24" s="173">
        <f t="shared" si="6"/>
        <v>7.19</v>
      </c>
      <c r="K24" s="174">
        <f t="shared" si="6"/>
        <v>9.11</v>
      </c>
      <c r="L24" s="174">
        <f t="shared" si="6"/>
        <v>8.34</v>
      </c>
    </row>
    <row r="25" spans="1:12">
      <c r="C25" s="167" t="s">
        <v>228</v>
      </c>
      <c r="D25" s="173">
        <f>MIN(D$16:D$20)</f>
        <v>8.48</v>
      </c>
      <c r="E25" s="174">
        <f t="shared" ref="E25:L25" si="7">MIN(E$16:E$20)</f>
        <v>8.57</v>
      </c>
      <c r="F25" s="174">
        <f t="shared" si="7"/>
        <v>8.17</v>
      </c>
      <c r="G25" s="174">
        <f t="shared" si="7"/>
        <v>0.34</v>
      </c>
      <c r="H25" s="174">
        <f t="shared" si="7"/>
        <v>0.33</v>
      </c>
      <c r="I25" s="174">
        <f t="shared" si="7"/>
        <v>0.31</v>
      </c>
      <c r="J25" s="173">
        <f t="shared" si="7"/>
        <v>4.46</v>
      </c>
      <c r="K25" s="174">
        <f t="shared" si="7"/>
        <v>4.3899999999999997</v>
      </c>
      <c r="L25" s="174">
        <f t="shared" si="7"/>
        <v>4.24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91CE-CFD6-4FF4-AF51-C8D2B1DC4CF9}">
  <dimension ref="B1:E47"/>
  <sheetViews>
    <sheetView tabSelected="1" zoomScale="87" workbookViewId="0">
      <selection activeCell="B37" sqref="B37:C37"/>
    </sheetView>
  </sheetViews>
  <sheetFormatPr defaultRowHeight="15.95"/>
  <cols>
    <col min="1" max="1" width="4.5" customWidth="1"/>
    <col min="2" max="2" width="21.875" customWidth="1"/>
    <col min="3" max="3" width="14.75" customWidth="1"/>
    <col min="4" max="4" width="12.375" customWidth="1"/>
    <col min="5" max="5" width="11.625" customWidth="1"/>
  </cols>
  <sheetData>
    <row r="1" spans="2:5">
      <c r="B1" s="140" t="s">
        <v>245</v>
      </c>
    </row>
    <row r="3" spans="2:5">
      <c r="C3" s="79" t="s">
        <v>209</v>
      </c>
      <c r="D3" s="79" t="s">
        <v>229</v>
      </c>
      <c r="E3" s="11" t="s">
        <v>246</v>
      </c>
    </row>
    <row r="4" spans="2:5">
      <c r="B4" t="s">
        <v>247</v>
      </c>
      <c r="C4" s="155">
        <f>AVERAGE([1]Sheet1!$E$5:$E$7)</f>
        <v>8.5066666666666659</v>
      </c>
      <c r="D4" s="155">
        <f>AVERAGE([1]Sheet1!$E$16:$E$20)</f>
        <v>18.080000000000002</v>
      </c>
      <c r="E4">
        <f>[1]Sheet1!$E$3</f>
        <v>37.82</v>
      </c>
    </row>
    <row r="5" spans="2:5">
      <c r="B5" t="s">
        <v>248</v>
      </c>
      <c r="C5" s="155">
        <f>AVERAGE([1]Sheet1!$F$5:$F$7)</f>
        <v>7.5433333333333339</v>
      </c>
      <c r="D5" s="155">
        <f>AVERAGE([1]Sheet1!$F$16:$F$20)</f>
        <v>15.475999999999999</v>
      </c>
      <c r="E5">
        <f>[1]Sheet1!$F$3</f>
        <v>19.3</v>
      </c>
    </row>
    <row r="6" spans="2:5">
      <c r="C6" s="155"/>
      <c r="D6" s="155"/>
    </row>
    <row r="7" spans="2:5">
      <c r="B7" t="s">
        <v>249</v>
      </c>
      <c r="C7" s="155">
        <f>AVERAGE([1]Sheet1!$K$5:$K$7)</f>
        <v>5.46</v>
      </c>
      <c r="D7" s="155">
        <f>AVERAGE([1]Sheet1!$K$16:$K$20)</f>
        <v>9.0960000000000001</v>
      </c>
    </row>
    <row r="8" spans="2:5">
      <c r="B8" t="s">
        <v>250</v>
      </c>
      <c r="C8" s="155">
        <f>AVERAGE([1]Sheet1!$L$5:$L$7)</f>
        <v>4.8766666666666669</v>
      </c>
      <c r="D8" s="155">
        <f>AVERAGE([1]Sheet1!$L$16:$L$20)</f>
        <v>8.26</v>
      </c>
    </row>
    <row r="9" spans="2:5">
      <c r="C9" s="155"/>
      <c r="D9" s="155"/>
    </row>
    <row r="10" spans="2:5">
      <c r="B10" t="s">
        <v>251</v>
      </c>
      <c r="C10" s="155">
        <f>AVERAGE(Comps!H3,Comps!H5:H6)</f>
        <v>0.45999999999999996</v>
      </c>
      <c r="D10" s="155">
        <f>AVERAGE(Comps!H16, Comps!H18:H20)</f>
        <v>0.76</v>
      </c>
      <c r="E10">
        <v>0.33</v>
      </c>
    </row>
    <row r="11" spans="2:5">
      <c r="B11" t="s">
        <v>252</v>
      </c>
      <c r="C11">
        <f>AVERAGE(Comps!I3,Comps!I5:I6)</f>
        <v>0.42</v>
      </c>
      <c r="D11">
        <f>AVERAGE(Comps!I16,Comps!I18:I20)</f>
        <v>0.73</v>
      </c>
      <c r="E11">
        <f>Comps!I3</f>
        <v>0.28000000000000003</v>
      </c>
    </row>
    <row r="13" spans="2:5">
      <c r="B13" s="140" t="s">
        <v>253</v>
      </c>
    </row>
    <row r="14" spans="2:5">
      <c r="B14" t="s">
        <v>254</v>
      </c>
      <c r="C14" s="178">
        <v>70</v>
      </c>
    </row>
    <row r="15" spans="2:5">
      <c r="B15" s="156" t="s">
        <v>255</v>
      </c>
      <c r="C15" s="159">
        <v>0.05</v>
      </c>
    </row>
    <row r="16" spans="2:5">
      <c r="B16" t="s">
        <v>256</v>
      </c>
      <c r="C16" s="157">
        <f>C14*(1+C15)</f>
        <v>73.5</v>
      </c>
    </row>
    <row r="17" spans="2:5">
      <c r="B17" t="s">
        <v>257</v>
      </c>
      <c r="C17" s="157">
        <f>C16*(1+C15)</f>
        <v>77.174999999999997</v>
      </c>
    </row>
    <row r="18" spans="2:5">
      <c r="C18" s="157"/>
    </row>
    <row r="19" spans="2:5">
      <c r="B19" t="s">
        <v>258</v>
      </c>
      <c r="C19" s="178">
        <v>147</v>
      </c>
    </row>
    <row r="20" spans="2:5">
      <c r="B20" s="156" t="s">
        <v>255</v>
      </c>
      <c r="C20" s="159">
        <f>C15</f>
        <v>0.05</v>
      </c>
    </row>
    <row r="21" spans="2:5">
      <c r="B21" s="179" t="s">
        <v>259</v>
      </c>
      <c r="C21" s="180">
        <f>C19*(1+C20)</f>
        <v>154.35</v>
      </c>
    </row>
    <row r="22" spans="2:5">
      <c r="B22" t="s">
        <v>260</v>
      </c>
      <c r="C22" s="157">
        <f>C21*(1+C20)</f>
        <v>162.0675</v>
      </c>
    </row>
    <row r="24" spans="2:5">
      <c r="B24" t="s">
        <v>261</v>
      </c>
      <c r="C24" s="148">
        <v>6050.9</v>
      </c>
    </row>
    <row r="25" spans="2:5">
      <c r="B25" t="s">
        <v>262</v>
      </c>
      <c r="C25" s="145">
        <f>C24*(1+C15)</f>
        <v>6353.4449999999997</v>
      </c>
    </row>
    <row r="26" spans="2:5">
      <c r="B26" t="s">
        <v>263</v>
      </c>
      <c r="C26" s="145">
        <f>C25*(1+C15)</f>
        <v>6671.1172500000002</v>
      </c>
    </row>
    <row r="28" spans="2:5">
      <c r="B28" s="11" t="s">
        <v>264</v>
      </c>
    </row>
    <row r="29" spans="2:5">
      <c r="C29" s="79" t="s">
        <v>209</v>
      </c>
      <c r="D29" s="79" t="s">
        <v>229</v>
      </c>
      <c r="E29" s="79" t="s">
        <v>246</v>
      </c>
    </row>
    <row r="30" spans="2:5">
      <c r="B30" t="s">
        <v>265</v>
      </c>
      <c r="C30" s="143">
        <f>C16*C4</f>
        <v>625.2399999999999</v>
      </c>
      <c r="D30" s="143">
        <f>C16*D4</f>
        <v>1328.88</v>
      </c>
      <c r="E30" s="143">
        <f>E4*C16</f>
        <v>2779.77</v>
      </c>
    </row>
    <row r="31" spans="2:5">
      <c r="B31" t="s">
        <v>266</v>
      </c>
      <c r="C31" s="143">
        <f>C17*C5</f>
        <v>582.15674999999999</v>
      </c>
      <c r="D31" s="143">
        <f>C17*D5</f>
        <v>1194.3602999999998</v>
      </c>
      <c r="E31" s="143">
        <f>E5*C17</f>
        <v>1489.4775</v>
      </c>
    </row>
    <row r="33" spans="2:5">
      <c r="B33" s="140" t="s">
        <v>267</v>
      </c>
    </row>
    <row r="34" spans="2:5">
      <c r="B34" t="s">
        <v>268</v>
      </c>
      <c r="C34" s="143">
        <f>C21*C7</f>
        <v>842.75099999999998</v>
      </c>
      <c r="D34" s="143">
        <f>C21*D7</f>
        <v>1403.9675999999999</v>
      </c>
    </row>
    <row r="35" spans="2:5">
      <c r="B35" t="s">
        <v>269</v>
      </c>
      <c r="C35" s="143">
        <f>C22*C8</f>
        <v>790.34917500000006</v>
      </c>
      <c r="D35" s="143">
        <f>C22*D8</f>
        <v>1338.6775499999999</v>
      </c>
    </row>
    <row r="37" spans="2:5">
      <c r="B37" s="182" t="s">
        <v>270</v>
      </c>
      <c r="C37" s="182">
        <v>136</v>
      </c>
    </row>
    <row r="39" spans="2:5">
      <c r="B39" t="s">
        <v>271</v>
      </c>
      <c r="C39" s="158">
        <f>C34+C37</f>
        <v>978.75099999999998</v>
      </c>
      <c r="D39" s="158">
        <f>D34+C37</f>
        <v>1539.9675999999999</v>
      </c>
    </row>
    <row r="40" spans="2:5">
      <c r="C40" s="158">
        <f>C35+C37</f>
        <v>926.34917500000006</v>
      </c>
      <c r="D40" s="158">
        <f>D35+C37</f>
        <v>1474.6775499999999</v>
      </c>
    </row>
    <row r="43" spans="2:5">
      <c r="B43" t="s">
        <v>272</v>
      </c>
      <c r="C43" s="158">
        <f>C25*C10</f>
        <v>2922.5846999999994</v>
      </c>
      <c r="D43" s="158">
        <f>C25*D10</f>
        <v>4828.6181999999999</v>
      </c>
      <c r="E43" s="158">
        <f>C25*E10</f>
        <v>2096.6368499999999</v>
      </c>
    </row>
    <row r="44" spans="2:5">
      <c r="B44" t="s">
        <v>273</v>
      </c>
      <c r="C44" s="158">
        <f>C11*C26</f>
        <v>2801.8692449999999</v>
      </c>
      <c r="D44" s="158">
        <f>C26*D11</f>
        <v>4869.9155925000005</v>
      </c>
      <c r="E44" s="158">
        <f>C26*E11</f>
        <v>1867.9128300000002</v>
      </c>
    </row>
    <row r="46" spans="2:5">
      <c r="B46" t="s">
        <v>271</v>
      </c>
      <c r="C46" s="158">
        <f>C43+$C$37</f>
        <v>3058.5846999999994</v>
      </c>
      <c r="D46" s="158">
        <f t="shared" ref="D46:E46" si="0">D43+$C$37</f>
        <v>4964.6181999999999</v>
      </c>
      <c r="E46" s="158">
        <f t="shared" si="0"/>
        <v>2232.6368499999999</v>
      </c>
    </row>
    <row r="47" spans="2:5">
      <c r="C47" s="158">
        <f>C44+$C$37</f>
        <v>2937.8692449999999</v>
      </c>
      <c r="D47" s="158">
        <f t="shared" ref="D47:E47" si="1">D44+$C$37</f>
        <v>5005.9155925000005</v>
      </c>
      <c r="E47" s="158">
        <f t="shared" si="1"/>
        <v>2003.9128300000002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 Yu On, Elvis</dc:creator>
  <cp:keywords/>
  <dc:description/>
  <cp:lastModifiedBy>Jayson Xicheng LU</cp:lastModifiedBy>
  <cp:revision/>
  <dcterms:created xsi:type="dcterms:W3CDTF">2026-04-11T14:35:36Z</dcterms:created>
  <dcterms:modified xsi:type="dcterms:W3CDTF">2026-05-20T10:45:30Z</dcterms:modified>
  <cp:category/>
  <cp:contentStatus/>
</cp:coreProperties>
</file>