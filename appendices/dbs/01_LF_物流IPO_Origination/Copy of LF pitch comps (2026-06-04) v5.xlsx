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aysonxichenglu\Downloads\"/>
    </mc:Choice>
  </mc:AlternateContent>
  <xr:revisionPtr revIDLastSave="0" documentId="8_{8797AEE2-770E-493E-8EF3-4F804AA0A474}" xr6:coauthVersionLast="47" xr6:coauthVersionMax="47" xr10:uidLastSave="{00000000-0000-0000-0000-000000000000}"/>
  <bookViews>
    <workbookView xWindow="-110" yWindow="-110" windowWidth="19420" windowHeight="10300" tabRatio="500" activeTab="1" xr2:uid="{00000000-000D-0000-FFFF-FFFF00000000}"/>
  </bookViews>
  <sheets>
    <sheet name="Sheet1" sheetId="1" r:id="rId1"/>
    <sheet name="Sheet 2" sheetId="2" r:id="rId2"/>
    <sheet name="Sheet3" sheetId="3" r:id="rId3"/>
    <sheet name="Sheet2" sheetId="4" r:id="rId4"/>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U11" i="2" l="1"/>
  <c r="U14" i="2" s="1"/>
  <c r="U10" i="2"/>
  <c r="U9" i="2"/>
  <c r="U7" i="2"/>
  <c r="U6" i="2"/>
  <c r="U4" i="2"/>
  <c r="U13" i="2" s="1"/>
  <c r="U3" i="2"/>
  <c r="S11" i="2"/>
  <c r="S10" i="2"/>
  <c r="S7" i="2"/>
  <c r="S6" i="2"/>
  <c r="S4" i="2"/>
  <c r="S3" i="2"/>
  <c r="O27" i="2"/>
  <c r="O26" i="2"/>
  <c r="L14" i="2"/>
  <c r="S9" i="2"/>
  <c r="E33" i="4" a="1"/>
  <c r="E36" i="4" a="1"/>
  <c r="E34" i="4" a="1"/>
  <c r="E31" i="4" a="1"/>
  <c r="E36" i="1" a="1"/>
  <c r="S14" i="2" l="1"/>
  <c r="S13" i="2"/>
  <c r="E31" i="4"/>
  <c r="E34" i="4"/>
  <c r="E36" i="4"/>
  <c r="E33" i="4"/>
  <c r="E36" i="1"/>
  <c r="E33" i="1" a="1"/>
  <c r="E33" i="1" l="1"/>
  <c r="E34" i="1" a="1"/>
  <c r="E31" i="1" a="1"/>
  <c r="E34" i="1" l="1"/>
  <c r="E31" i="1"/>
  <c r="L11" i="2"/>
  <c r="L10" i="2"/>
  <c r="L9" i="2"/>
  <c r="L7" i="2"/>
  <c r="L6" i="2"/>
  <c r="L4" i="2"/>
  <c r="L3" i="2"/>
  <c r="D3" i="2"/>
  <c r="E25" i="4" a="1"/>
  <c r="E29" i="4" a="1"/>
  <c r="E26" i="4" a="1"/>
  <c r="E24" i="4" a="1"/>
  <c r="E28" i="4" a="1"/>
  <c r="E27" i="4" a="1"/>
  <c r="E28" i="1" a="1"/>
  <c r="L13" i="2" l="1"/>
  <c r="E27" i="4"/>
  <c r="E28" i="4"/>
  <c r="E24" i="4"/>
  <c r="E26" i="4"/>
  <c r="E29" i="4"/>
  <c r="E25" i="4"/>
  <c r="E28" i="1"/>
  <c r="E27" i="1" a="1"/>
  <c r="E27" i="1" l="1"/>
  <c r="E20" i="1" a="1"/>
  <c r="E26" i="1" a="1"/>
  <c r="E20" i="1" l="1"/>
  <c r="E26" i="1"/>
  <c r="E25" i="1" a="1"/>
  <c r="E25" i="1" l="1"/>
  <c r="E29" i="1" a="1"/>
  <c r="E24" i="1" a="1"/>
  <c r="E29" i="1" l="1"/>
  <c r="E24" i="1"/>
  <c r="J25" i="1" s="1"/>
  <c r="O11" i="1"/>
  <c r="AM15" i="1"/>
  <c r="N9" i="1"/>
  <c r="AM7" i="1"/>
  <c r="CT13" i="1"/>
  <c r="D13" i="1"/>
  <c r="CR14" i="1"/>
  <c r="CU13" i="1"/>
  <c r="Z8" i="1"/>
  <c r="AT13" i="1"/>
  <c r="Q8" i="1"/>
  <c r="R14" i="1"/>
  <c r="D7" i="1"/>
  <c r="P8" i="1"/>
  <c r="AM14" i="1"/>
  <c r="AM11" i="1"/>
  <c r="AM12" i="1"/>
  <c r="R12" i="1"/>
  <c r="W11" i="1"/>
  <c r="A13" i="1"/>
  <c r="S15" i="1"/>
  <c r="AM8" i="1"/>
  <c r="CR10" i="1"/>
  <c r="G13" i="1"/>
  <c r="Q15" i="1"/>
  <c r="T9" i="1"/>
  <c r="G11" i="1"/>
  <c r="N10" i="1"/>
  <c r="O15" i="1"/>
  <c r="D11" i="1"/>
  <c r="V11" i="1"/>
  <c r="A14" i="1"/>
  <c r="AM13" i="1"/>
  <c r="G10" i="1"/>
  <c r="U14" i="1"/>
  <c r="CS10" i="1"/>
  <c r="AT12" i="1"/>
  <c r="V13" i="1"/>
  <c r="B7" i="1"/>
  <c r="R10" i="1"/>
  <c r="Q12" i="1"/>
  <c r="S8" i="1"/>
  <c r="T15" i="1"/>
  <c r="R13" i="1"/>
  <c r="O12" i="1"/>
  <c r="Q11" i="1"/>
  <c r="A10" i="1"/>
  <c r="CV10" i="1"/>
  <c r="R8" i="1"/>
  <c r="V7" i="1"/>
  <c r="CS7" i="1"/>
  <c r="O7" i="1"/>
  <c r="CT7" i="1"/>
  <c r="Q9" i="1"/>
  <c r="W12" i="1"/>
  <c r="V14" i="1"/>
  <c r="W9" i="1"/>
  <c r="CU11" i="1"/>
  <c r="S7" i="1"/>
  <c r="AT7" i="1"/>
  <c r="A12" i="1"/>
  <c r="N13" i="1"/>
  <c r="W10" i="1"/>
  <c r="CR8" i="1"/>
  <c r="T10" i="1"/>
  <c r="U7" i="1"/>
  <c r="U13" i="1"/>
  <c r="Z10" i="1"/>
  <c r="A8" i="1"/>
  <c r="W13" i="1"/>
  <c r="T7" i="1"/>
  <c r="CT8" i="1"/>
  <c r="V12" i="1"/>
  <c r="CU12" i="1"/>
  <c r="CU14" i="1"/>
  <c r="U12" i="1"/>
  <c r="W15" i="1"/>
  <c r="O9" i="1"/>
  <c r="CZ7" i="1"/>
  <c r="CT9" i="1"/>
  <c r="R11" i="1"/>
  <c r="S13" i="1"/>
  <c r="Z13" i="1"/>
  <c r="B10" i="1"/>
  <c r="A15" i="1"/>
  <c r="Z12" i="1"/>
  <c r="O13" i="1"/>
  <c r="B14" i="1"/>
  <c r="G12" i="1"/>
  <c r="S14" i="1"/>
  <c r="B11" i="1"/>
  <c r="CU7" i="1"/>
  <c r="V8" i="1"/>
  <c r="D10" i="1"/>
  <c r="U10" i="1"/>
  <c r="D15" i="1"/>
  <c r="A9" i="1"/>
  <c r="O10" i="1"/>
  <c r="G14" i="1"/>
  <c r="CT12" i="1"/>
  <c r="CZ12" i="1"/>
  <c r="V10" i="1"/>
  <c r="Z15" i="1"/>
  <c r="G7" i="1"/>
  <c r="CU8" i="1"/>
  <c r="D9" i="1"/>
  <c r="CU15" i="1"/>
  <c r="CV15" i="1"/>
  <c r="CV9" i="1"/>
  <c r="CV12" i="1"/>
  <c r="V9" i="1"/>
  <c r="Z11" i="1"/>
  <c r="G8" i="1"/>
  <c r="CZ15" i="1"/>
  <c r="CS8" i="1"/>
  <c r="T11" i="1"/>
  <c r="G15" i="1"/>
  <c r="CU9" i="1"/>
  <c r="S11" i="1"/>
  <c r="CZ8" i="1"/>
  <c r="S9" i="1"/>
  <c r="W7" i="1"/>
  <c r="CR11" i="1"/>
  <c r="P7" i="1"/>
  <c r="S12" i="1"/>
  <c r="B8" i="1"/>
  <c r="CV11" i="1"/>
  <c r="U9" i="1"/>
  <c r="R15" i="1"/>
  <c r="P12" i="1"/>
  <c r="AM9" i="1"/>
  <c r="CV8" i="1"/>
  <c r="P15" i="1"/>
  <c r="AT11" i="1"/>
  <c r="CT11" i="1"/>
  <c r="Q10" i="1"/>
  <c r="AT9" i="1"/>
  <c r="D12" i="1"/>
  <c r="T13" i="1"/>
  <c r="CT10" i="1"/>
  <c r="Z14" i="1"/>
  <c r="B15" i="1"/>
  <c r="AM10" i="1"/>
  <c r="O8" i="1"/>
  <c r="R7" i="1"/>
  <c r="CS13" i="1"/>
  <c r="A7" i="1"/>
  <c r="CV14" i="1"/>
  <c r="T14" i="1"/>
  <c r="S10" i="1"/>
  <c r="CZ13" i="1"/>
  <c r="N11" i="1"/>
  <c r="AT10" i="1"/>
  <c r="CS15" i="1"/>
  <c r="CS9" i="1"/>
  <c r="T12" i="1"/>
  <c r="CR9" i="1"/>
  <c r="O14" i="1"/>
  <c r="B13" i="1"/>
  <c r="P11" i="1"/>
  <c r="CZ10" i="1"/>
  <c r="N7" i="1"/>
  <c r="P14" i="1"/>
  <c r="R9" i="1"/>
  <c r="Z9" i="1"/>
  <c r="Z7" i="1"/>
  <c r="CR12" i="1"/>
  <c r="D14" i="1"/>
  <c r="CZ11" i="1"/>
  <c r="Q7" i="1"/>
  <c r="G9" i="1"/>
  <c r="P10" i="1"/>
  <c r="Q14" i="1"/>
  <c r="AT8" i="1"/>
  <c r="CT14" i="1"/>
  <c r="B12" i="1"/>
  <c r="CV7" i="1"/>
  <c r="D8" i="1"/>
  <c r="CU10" i="1"/>
  <c r="N8" i="1"/>
  <c r="CS11" i="1"/>
  <c r="P13" i="1"/>
  <c r="B9" i="1"/>
  <c r="CZ14" i="1"/>
  <c r="U11" i="1"/>
  <c r="W14" i="1"/>
  <c r="T8" i="1"/>
  <c r="V15" i="1"/>
  <c r="N14" i="1"/>
  <c r="P9" i="1"/>
  <c r="A11" i="1"/>
  <c r="CR13" i="1"/>
  <c r="N15" i="1"/>
  <c r="N12" i="1"/>
  <c r="CR7" i="1"/>
  <c r="AT14" i="1"/>
  <c r="CS12" i="1"/>
  <c r="CR15" i="1"/>
  <c r="AT15" i="1"/>
  <c r="CS14" i="1"/>
  <c r="U8" i="1"/>
  <c r="W8" i="1"/>
  <c r="U15" i="1"/>
  <c r="CZ9" i="1"/>
  <c r="Q13" i="1"/>
  <c r="CT15" i="1"/>
  <c r="CV13" i="1"/>
  <c r="L10" i="1"/>
  <c r="E9" i="1"/>
  <c r="AA15" i="1"/>
  <c r="L8" i="1"/>
  <c r="AC7" i="1"/>
  <c r="H11" i="1"/>
  <c r="H10" i="1"/>
  <c r="AB15" i="1"/>
  <c r="X15" i="1" a="1"/>
  <c r="X15" i="1" l="1"/>
  <c r="L7" i="1"/>
  <c r="AC11" i="1"/>
  <c r="L11" i="1"/>
  <c r="AA11" i="1"/>
  <c r="J15" i="1"/>
  <c r="L13" i="1"/>
  <c r="J11" i="1"/>
  <c r="AA12" i="1"/>
  <c r="AC10" i="1"/>
  <c r="X13" i="1" a="1"/>
  <c r="X13" i="1" s="1"/>
  <c r="AB14" i="1"/>
  <c r="AA13" i="1"/>
  <c r="AB11" i="1"/>
  <c r="H12" i="1"/>
  <c r="H7" i="1"/>
  <c r="AA8" i="1"/>
  <c r="AB10" i="1"/>
  <c r="AB13" i="1"/>
  <c r="X7" i="1" a="1"/>
  <c r="X7" i="1" s="1"/>
  <c r="AC15" i="1"/>
  <c r="J12" i="1"/>
  <c r="L9" i="1"/>
  <c r="X14" i="1" a="1"/>
  <c r="X14" i="1" s="1"/>
  <c r="E10" i="1"/>
  <c r="AA7" i="1"/>
  <c r="AC9" i="1"/>
  <c r="E15" i="1"/>
  <c r="H8" i="1"/>
  <c r="J7" i="1"/>
  <c r="X11" i="1" a="1"/>
  <c r="X11" i="1" s="1"/>
  <c r="J10" i="1"/>
  <c r="AA14" i="1"/>
  <c r="AB12" i="1"/>
  <c r="AA9" i="1"/>
  <c r="H14" i="1"/>
  <c r="E8" i="1"/>
  <c r="AB8" i="1"/>
  <c r="J14" i="1"/>
  <c r="X8" i="1" a="1"/>
  <c r="X8" i="1" s="1"/>
  <c r="E14" i="1"/>
  <c r="AB7" i="1"/>
  <c r="AC12" i="1"/>
  <c r="X9" i="1" a="1"/>
  <c r="X9" i="1" s="1"/>
  <c r="AC8" i="1"/>
  <c r="AA10" i="1"/>
  <c r="AC14" i="1"/>
  <c r="AC13" i="1"/>
  <c r="H15" i="1"/>
  <c r="E7" i="1"/>
  <c r="H9" i="1"/>
  <c r="H13" i="1"/>
  <c r="L15" i="1"/>
  <c r="E11" i="1"/>
  <c r="J8" i="1"/>
  <c r="X12" i="1" a="1"/>
  <c r="X12" i="1" s="1"/>
  <c r="L12" i="1"/>
  <c r="L14" i="1"/>
  <c r="J9" i="1"/>
  <c r="E13" i="1"/>
  <c r="J13" i="1"/>
  <c r="E12" i="1"/>
  <c r="X10" i="1" a="1"/>
  <c r="X10" i="1" s="1"/>
  <c r="AB9" i="1"/>
  <c r="CM12" i="1" a="1"/>
  <c r="CM12" i="1" s="1"/>
  <c r="CM15" i="1" a="1"/>
  <c r="CM15" i="1" s="1"/>
  <c r="CM10" i="1" a="1"/>
  <c r="CM10" i="1" s="1"/>
  <c r="CM14" i="1" a="1"/>
  <c r="CM14" i="1" s="1"/>
  <c r="CM8" i="1" a="1"/>
  <c r="CM8" i="1" s="1"/>
  <c r="CM9" i="1" a="1"/>
  <c r="CM9" i="1" s="1"/>
  <c r="CM11" i="1" a="1"/>
  <c r="CM11" i="1" s="1"/>
  <c r="CM13" i="1" a="1"/>
  <c r="CM13" i="1" s="1"/>
  <c r="CM7" i="1" a="1"/>
  <c r="CM7" i="1" s="1"/>
  <c r="CQ14" i="1" a="1"/>
  <c r="CQ14" i="1" s="1"/>
  <c r="CQ11" i="1" a="1"/>
  <c r="CQ11" i="1" s="1"/>
  <c r="CQ10" i="1" a="1"/>
  <c r="CQ10" i="1" s="1"/>
  <c r="CQ7" i="1" a="1"/>
  <c r="CQ7" i="1" s="1"/>
  <c r="CQ9" i="1" a="1"/>
  <c r="CQ9" i="1" s="1"/>
  <c r="CQ8" i="1" a="1"/>
  <c r="CQ8" i="1" s="1"/>
  <c r="CQ15" i="1" a="1"/>
  <c r="CQ15" i="1" s="1"/>
  <c r="CQ13" i="1" a="1"/>
  <c r="CQ13" i="1" s="1"/>
  <c r="CQ12" i="1" a="1"/>
  <c r="CQ12" i="1" s="1"/>
  <c r="CO10" i="1" a="1"/>
  <c r="CO10" i="1" s="1"/>
  <c r="CO7" i="1" a="1"/>
  <c r="CO7" i="1" s="1"/>
  <c r="CO14" i="1" a="1"/>
  <c r="CO14" i="1" s="1"/>
  <c r="CO9" i="1" a="1"/>
  <c r="CO9" i="1" s="1"/>
  <c r="CO12" i="1" a="1"/>
  <c r="CO12" i="1" s="1"/>
  <c r="CO11" i="1" a="1"/>
  <c r="CO11" i="1" s="1"/>
  <c r="CO15" i="1" a="1"/>
  <c r="CO15" i="1" s="1"/>
  <c r="CO13" i="1" a="1"/>
  <c r="CO13" i="1" s="1"/>
  <c r="CO8" i="1" a="1"/>
  <c r="CO8" i="1" s="1"/>
  <c r="I14" i="1"/>
  <c r="I10" i="1"/>
  <c r="I15" i="1"/>
  <c r="M7" i="1"/>
  <c r="K11" i="1"/>
  <c r="K8" i="1"/>
  <c r="K9" i="1"/>
  <c r="M14" i="1"/>
  <c r="F8" i="1"/>
  <c r="F15" i="1"/>
  <c r="K10" i="1"/>
  <c r="F10" i="1"/>
  <c r="F11" i="1"/>
  <c r="K12" i="1"/>
  <c r="M15" i="1"/>
  <c r="Y10" i="1" a="1"/>
  <c r="Y10" i="1" s="1"/>
  <c r="I9" i="1"/>
  <c r="F13" i="1"/>
  <c r="Y9" i="1" a="1"/>
  <c r="Y9" i="1" s="1"/>
  <c r="I7" i="1"/>
  <c r="Y8" i="1" a="1"/>
  <c r="Y8" i="1" s="1"/>
  <c r="F14" i="1"/>
  <c r="M10" i="1"/>
  <c r="I8" i="1"/>
  <c r="M9" i="1"/>
  <c r="Y12" i="1" a="1"/>
  <c r="Y12" i="1" s="1"/>
  <c r="F7" i="1"/>
  <c r="K14" i="1"/>
  <c r="Y15" i="1" a="1"/>
  <c r="Y15" i="1" s="1"/>
  <c r="I13" i="1"/>
  <c r="K15" i="1"/>
  <c r="M13" i="1"/>
  <c r="F12" i="1"/>
  <c r="F9" i="1"/>
  <c r="I11" i="1"/>
  <c r="Y14" i="1" a="1"/>
  <c r="Y14" i="1" s="1"/>
  <c r="I12" i="1"/>
  <c r="Y7" i="1" a="1"/>
  <c r="Y7" i="1" s="1"/>
  <c r="Y13" i="1" a="1"/>
  <c r="Y13" i="1" s="1"/>
  <c r="K7" i="1"/>
  <c r="Y11" i="1" a="1"/>
  <c r="Y11" i="1" s="1"/>
  <c r="M8" i="1"/>
  <c r="K13" i="1"/>
  <c r="M12" i="1"/>
  <c r="M11" i="1"/>
  <c r="CP9" i="1" a="1"/>
  <c r="CP9" i="1" s="1"/>
  <c r="CP13" i="1" a="1"/>
  <c r="CP13" i="1" s="1"/>
  <c r="CP15" i="1" a="1"/>
  <c r="CP15" i="1" s="1"/>
  <c r="CP14" i="1" a="1"/>
  <c r="CP14" i="1" s="1"/>
  <c r="CP10" i="1" a="1"/>
  <c r="CP10" i="1" s="1"/>
  <c r="CP11" i="1" a="1"/>
  <c r="CP11" i="1" s="1"/>
  <c r="CP12" i="1" a="1"/>
  <c r="CP12" i="1" s="1"/>
  <c r="CP7" i="1" a="1"/>
  <c r="CP7" i="1" s="1"/>
  <c r="CP8" i="1" a="1"/>
  <c r="CP8" i="1" s="1"/>
  <c r="AS8" i="1"/>
  <c r="AP12" i="1"/>
  <c r="AS12" i="1"/>
  <c r="AP14" i="1"/>
  <c r="AP15" i="1"/>
  <c r="AP10" i="1"/>
  <c r="AP7" i="1"/>
  <c r="AV8" i="1"/>
  <c r="AP8" i="1"/>
  <c r="AP9" i="1"/>
  <c r="AV14" i="1"/>
  <c r="AV15" i="1"/>
  <c r="AS15" i="1"/>
  <c r="AS9" i="1"/>
  <c r="AS13" i="1"/>
  <c r="AV13" i="1"/>
  <c r="AS11" i="1"/>
  <c r="AV9" i="1"/>
  <c r="AV11" i="1"/>
  <c r="AV10" i="1"/>
  <c r="AV12" i="1"/>
  <c r="AS7" i="1"/>
  <c r="AP11" i="1"/>
  <c r="AV7" i="1"/>
  <c r="AP13" i="1"/>
  <c r="AS14" i="1"/>
  <c r="AS10" i="1"/>
  <c r="CL14" i="1" a="1"/>
  <c r="CL14" i="1" s="1"/>
  <c r="CL9" i="1" a="1"/>
  <c r="CL9" i="1" s="1"/>
  <c r="CL7" i="1" a="1"/>
  <c r="CL7" i="1" s="1"/>
  <c r="CL11" i="1" a="1"/>
  <c r="CL11" i="1" s="1"/>
  <c r="CL15" i="1" a="1"/>
  <c r="CL15" i="1" s="1"/>
  <c r="CL12" i="1" a="1"/>
  <c r="CL12" i="1" s="1"/>
  <c r="CL8" i="1" a="1"/>
  <c r="CL8" i="1" s="1"/>
  <c r="CL10" i="1" a="1"/>
  <c r="CL10" i="1" s="1"/>
  <c r="CL13" i="1" a="1"/>
  <c r="CL13" i="1" s="1"/>
  <c r="CN14" i="1" a="1"/>
  <c r="CN14" i="1" s="1"/>
  <c r="CN11" i="1" a="1"/>
  <c r="CN11" i="1" s="1"/>
  <c r="CN12" i="1" a="1"/>
  <c r="CN12" i="1" s="1"/>
  <c r="CN15" i="1" a="1"/>
  <c r="CN15" i="1" s="1"/>
  <c r="CN13" i="1" a="1"/>
  <c r="CN13" i="1" s="1"/>
  <c r="CN7" i="1" a="1"/>
  <c r="CN7" i="1" s="1"/>
  <c r="CN8" i="1" a="1"/>
  <c r="CN8" i="1" s="1"/>
  <c r="CN9" i="1" a="1"/>
  <c r="CN9" i="1" s="1"/>
  <c r="CN10" i="1" a="1"/>
  <c r="CN10" i="1" s="1"/>
  <c r="AU15" i="1"/>
  <c r="AR14" i="1"/>
  <c r="AU14" i="1"/>
  <c r="AU8" i="1"/>
  <c r="AR12" i="1"/>
  <c r="AR7" i="1"/>
  <c r="AU13" i="1"/>
  <c r="AU12" i="1"/>
  <c r="AR10" i="1"/>
  <c r="AU7" i="1"/>
  <c r="AR9" i="1"/>
  <c r="AU11" i="1"/>
  <c r="AR8" i="1"/>
  <c r="AU10" i="1"/>
  <c r="AU9" i="1"/>
  <c r="AR15" i="1"/>
  <c r="AR11" i="1"/>
  <c r="AR13" i="1"/>
  <c r="BK13" i="1" a="1"/>
  <c r="BK13" i="1" s="1"/>
  <c r="AF12" i="1" a="1"/>
  <c r="AF12" i="1" s="1"/>
  <c r="AK12" i="1" a="1"/>
  <c r="AK12" i="1" s="1"/>
  <c r="AN8" i="1" a="1"/>
  <c r="AN8" i="1" s="1"/>
  <c r="CY8" i="1" a="1"/>
  <c r="CY8" i="1" s="1"/>
  <c r="BS8" i="1" a="1"/>
  <c r="BS8" i="1" s="1"/>
  <c r="BW8" i="1" a="1"/>
  <c r="BW8" i="1" s="1"/>
  <c r="BY8" i="1" a="1"/>
  <c r="BY8" i="1" s="1"/>
  <c r="BR7" i="1" a="1"/>
  <c r="BR7" i="1" s="1"/>
  <c r="AZ8" i="1" a="1"/>
  <c r="AZ8" i="1" s="1"/>
  <c r="BN8" i="1" a="1"/>
  <c r="BN8" i="1" s="1"/>
  <c r="BD7" i="1" a="1"/>
  <c r="BD7" i="1" s="1"/>
  <c r="CD8" i="1" a="1"/>
  <c r="CD8" i="1" s="1"/>
  <c r="BC7" i="1" a="1"/>
  <c r="BC7" i="1" s="1"/>
  <c r="BE11" i="1" a="1"/>
  <c r="BE11" i="1" s="1"/>
  <c r="AZ15" i="1" a="1"/>
  <c r="AZ15" i="1" s="1"/>
  <c r="BJ15" i="1" a="1"/>
  <c r="BJ15" i="1" s="1"/>
  <c r="BM11" i="1" a="1"/>
  <c r="BM11" i="1" s="1"/>
  <c r="AF15" i="1" a="1"/>
  <c r="AF15" i="1" s="1"/>
  <c r="BX14" i="1" a="1"/>
  <c r="BX14" i="1" s="1"/>
  <c r="BP11" i="1" a="1"/>
  <c r="BP11" i="1" s="1"/>
  <c r="BQ11" i="1" a="1"/>
  <c r="BQ11" i="1" s="1"/>
  <c r="CW7" i="1" a="1"/>
  <c r="CW7" i="1" s="1"/>
  <c r="BZ14" i="1" a="1"/>
  <c r="BZ14" i="1" s="1"/>
  <c r="BP15" i="1" a="1"/>
  <c r="BP15" i="1" s="1"/>
  <c r="BS15" i="1" a="1"/>
  <c r="BS15" i="1" s="1"/>
  <c r="BD15" i="1" a="1"/>
  <c r="BD15" i="1" s="1"/>
  <c r="BE14" i="1" a="1"/>
  <c r="BE14" i="1" s="1"/>
  <c r="BW15" i="1" a="1"/>
  <c r="BW15" i="1" s="1"/>
  <c r="BO15" i="1" a="1"/>
  <c r="BO15" i="1" s="1"/>
  <c r="AH14" i="1" a="1"/>
  <c r="AH14" i="1" s="1"/>
  <c r="AI14" i="1" a="1"/>
  <c r="AI14" i="1" s="1"/>
  <c r="AE14" i="1" a="1"/>
  <c r="AE14" i="1" s="1"/>
  <c r="CA8" i="1" a="1"/>
  <c r="CA8" i="1" s="1"/>
  <c r="BR11" i="1" a="1"/>
  <c r="BR11" i="1" s="1"/>
  <c r="BM8" i="1" a="1"/>
  <c r="BM8" i="1" s="1"/>
  <c r="BN11" i="1" a="1"/>
  <c r="BN11" i="1" s="1"/>
  <c r="BR14" i="1" a="1"/>
  <c r="BR14" i="1" s="1"/>
  <c r="BJ11" i="1" a="1"/>
  <c r="BJ11" i="1" s="1"/>
  <c r="BS11" i="1" a="1"/>
  <c r="BS11" i="1" s="1"/>
  <c r="BX11" i="1" a="1"/>
  <c r="BX11" i="1" s="1"/>
  <c r="BJ9" i="1" a="1"/>
  <c r="BJ9" i="1" s="1"/>
  <c r="BI14" i="1" a="1"/>
  <c r="BI14" i="1" s="1"/>
  <c r="BW14" i="1" a="1"/>
  <c r="BW14" i="1" s="1"/>
  <c r="BN9" i="1" a="1"/>
  <c r="BN9" i="1" s="1"/>
  <c r="BE9" i="1" a="1"/>
  <c r="BE9" i="1" s="1"/>
  <c r="BL9" i="1" a="1"/>
  <c r="BL9" i="1" s="1"/>
  <c r="BP8" i="1" a="1"/>
  <c r="BP8" i="1" s="1"/>
  <c r="BM9" i="1" a="1"/>
  <c r="BM9" i="1" s="1"/>
  <c r="AO9" i="1" a="1"/>
  <c r="AO9" i="1" s="1"/>
  <c r="BC15" i="1" a="1"/>
  <c r="BC15" i="1" s="1"/>
  <c r="BG13" i="1" a="1"/>
  <c r="BG13" i="1" s="1"/>
  <c r="BS13" i="1" a="1"/>
  <c r="BS13" i="1" s="1"/>
  <c r="BX13" i="1" a="1"/>
  <c r="BX13" i="1" s="1"/>
  <c r="BT15" i="1" a="1"/>
  <c r="BT15" i="1" s="1"/>
  <c r="AI13" i="1" a="1"/>
  <c r="AI13" i="1" s="1"/>
  <c r="AL9" i="1" a="1"/>
  <c r="AL9" i="1" s="1"/>
  <c r="BK15" i="1" a="1"/>
  <c r="BK15" i="1" s="1"/>
  <c r="BH15" i="1" a="1"/>
  <c r="BH15" i="1" s="1"/>
  <c r="BI15" i="1" a="1"/>
  <c r="BI15" i="1" s="1"/>
  <c r="CE15" i="1" a="1"/>
  <c r="CE15" i="1" s="1"/>
  <c r="BN15" i="1" a="1"/>
  <c r="BN15" i="1" s="1"/>
  <c r="BD12" i="1" a="1"/>
  <c r="BD12" i="1" s="1"/>
  <c r="CD14" i="1" a="1"/>
  <c r="CD14" i="1" s="1"/>
  <c r="BH12" i="1" a="1"/>
  <c r="BH12" i="1" s="1"/>
  <c r="BT14" i="1" a="1"/>
  <c r="BT14" i="1" s="1"/>
  <c r="BS14" i="1" a="1"/>
  <c r="BS14" i="1" s="1"/>
  <c r="BR10" i="1" a="1"/>
  <c r="BR10" i="1" s="1"/>
  <c r="BV14" i="1" a="1"/>
  <c r="BV14" i="1" s="1"/>
  <c r="AH15" i="1" a="1"/>
  <c r="AH15" i="1" s="1"/>
  <c r="BU14" i="1" a="1"/>
  <c r="BU14" i="1" s="1"/>
  <c r="BK12" i="1" a="1"/>
  <c r="BK12" i="1" s="1"/>
  <c r="AZ12" i="1" a="1"/>
  <c r="AZ12" i="1" s="1"/>
  <c r="BX15" i="1" a="1"/>
  <c r="BX15" i="1" s="1"/>
  <c r="BF15" i="1" a="1"/>
  <c r="BF15" i="1" s="1"/>
  <c r="BL15" i="1" a="1"/>
  <c r="BL15" i="1" s="1"/>
  <c r="AK7" i="1" a="1"/>
  <c r="AK7" i="1" s="1"/>
  <c r="BV15" i="1" a="1"/>
  <c r="BV15" i="1" s="1"/>
  <c r="AL7" i="1" a="1"/>
  <c r="AL7" i="1" s="1"/>
  <c r="CF12" i="1" a="1"/>
  <c r="CF12" i="1" s="1"/>
  <c r="AO10" i="1" a="1"/>
  <c r="AO10" i="1" s="1"/>
  <c r="BO12" i="1" a="1"/>
  <c r="BO12" i="1" s="1"/>
  <c r="BY12" i="1" a="1"/>
  <c r="BY12" i="1" s="1"/>
  <c r="BK7" i="1" a="1"/>
  <c r="BK7" i="1" s="1"/>
  <c r="CE7" i="1" a="1"/>
  <c r="CE7" i="1" s="1"/>
  <c r="BH10" i="1" a="1"/>
  <c r="BH10" i="1" s="1"/>
  <c r="BQ10" i="1" a="1"/>
  <c r="BQ10" i="1" s="1"/>
  <c r="BV9" i="1" a="1"/>
  <c r="BV9" i="1" s="1"/>
  <c r="BN7" i="1" a="1"/>
  <c r="BN7" i="1" s="1"/>
  <c r="BX8" i="1" a="1"/>
  <c r="BX8" i="1" s="1"/>
  <c r="AE10" i="1" a="1"/>
  <c r="AE10" i="1" s="1"/>
  <c r="CW13" i="1" a="1"/>
  <c r="CW13" i="1" s="1"/>
  <c r="AF13" i="1" a="1"/>
  <c r="AF13" i="1" s="1"/>
  <c r="AK10" i="1" a="1"/>
  <c r="AK10" i="1" s="1"/>
  <c r="CX12" i="1" a="1"/>
  <c r="CX12" i="1" s="1"/>
  <c r="CW10" i="1" a="1"/>
  <c r="CW10" i="1" s="1"/>
  <c r="CB10" i="1" a="1"/>
  <c r="CB10" i="1" s="1"/>
  <c r="CW14" i="1" a="1"/>
  <c r="CW14" i="1" s="1"/>
  <c r="CW9" i="1" a="1"/>
  <c r="CW9" i="1" s="1"/>
  <c r="BD10" i="1" a="1"/>
  <c r="BD10" i="1" s="1"/>
  <c r="BZ10" i="1" a="1"/>
  <c r="BZ10" i="1" s="1"/>
  <c r="BL10" i="1" a="1"/>
  <c r="BL10" i="1" s="1"/>
  <c r="AE8" i="1" a="1"/>
  <c r="AE8" i="1" s="1"/>
  <c r="AL14" i="1" a="1"/>
  <c r="AL14" i="1" s="1"/>
  <c r="BC10" i="1" a="1"/>
  <c r="BC10" i="1" s="1"/>
  <c r="AL10" i="1" a="1"/>
  <c r="AL10" i="1" s="1"/>
  <c r="CX14" i="1" a="1"/>
  <c r="CX14" i="1" s="1"/>
  <c r="BH9" i="1" a="1"/>
  <c r="BH9" i="1" s="1"/>
  <c r="BE10" i="1" a="1"/>
  <c r="BE10" i="1" s="1"/>
  <c r="BK9" i="1" a="1"/>
  <c r="BK9" i="1" s="1"/>
  <c r="BC11" i="1" a="1"/>
  <c r="BC11" i="1" s="1"/>
  <c r="AF9" i="1" a="1"/>
  <c r="AF9" i="1" s="1"/>
  <c r="BU11" i="1" a="1"/>
  <c r="BU11" i="1" s="1"/>
  <c r="BD11" i="1" a="1"/>
  <c r="BD11" i="1" s="1"/>
  <c r="BA11" i="1" a="1"/>
  <c r="BA11" i="1" s="1"/>
  <c r="BI11" i="1" a="1"/>
  <c r="BI11" i="1" s="1"/>
  <c r="AK9" i="1" a="1"/>
  <c r="AK9" i="1" s="1"/>
  <c r="AE15" i="1" a="1"/>
  <c r="AE15" i="1" s="1"/>
  <c r="AH7" i="1" a="1"/>
  <c r="AH7" i="1" s="1"/>
  <c r="BX9" i="1" a="1"/>
  <c r="BX9" i="1" s="1"/>
  <c r="CW8" i="1" a="1"/>
  <c r="CW8" i="1" s="1"/>
  <c r="BS9" i="1" a="1"/>
  <c r="BS9" i="1" s="1"/>
  <c r="BW9" i="1" a="1"/>
  <c r="BW9" i="1" s="1"/>
  <c r="E22" i="1" a="1"/>
  <c r="E22" i="1" s="1"/>
  <c r="E17" i="1" a="1"/>
  <c r="E17" i="1" s="1"/>
  <c r="E19" i="1" a="1"/>
  <c r="E19" i="1" s="1"/>
  <c r="E18" i="1" a="1"/>
  <c r="E18" i="1" s="1"/>
  <c r="E21" i="1" a="1"/>
  <c r="E21" i="1" s="1"/>
  <c r="AI8" i="1" a="1"/>
  <c r="AI8" i="1" s="1"/>
  <c r="BF13" i="1" a="1"/>
  <c r="BF13" i="1" s="1"/>
  <c r="BU13" i="1" a="1"/>
  <c r="BU13" i="1" s="1"/>
  <c r="BB15" i="1" a="1"/>
  <c r="BB15" i="1" s="1"/>
  <c r="CC9" i="1" a="1"/>
  <c r="CC9" i="1" s="1"/>
  <c r="CF14" i="1" a="1"/>
  <c r="CF14" i="1" s="1"/>
  <c r="BO14" i="1" a="1"/>
  <c r="BO14" i="1" s="1"/>
  <c r="CD7" i="1" a="1"/>
  <c r="CD7" i="1" s="1"/>
  <c r="BU7" i="1" a="1"/>
  <c r="BU7" i="1" s="1"/>
  <c r="BG7" i="1" a="1"/>
  <c r="BG7" i="1" s="1"/>
  <c r="CG9" i="1" a="1"/>
  <c r="CG9" i="1" s="1"/>
  <c r="BZ15" i="1" a="1"/>
  <c r="BZ15" i="1" s="1"/>
  <c r="CY12" i="1" a="1"/>
  <c r="CY12" i="1" s="1"/>
  <c r="AL12" i="1" a="1"/>
  <c r="AL12" i="1" s="1"/>
  <c r="CA15" i="1" a="1"/>
  <c r="CA15" i="1" s="1"/>
  <c r="CB15" i="1" a="1"/>
  <c r="CB15" i="1" s="1"/>
  <c r="CC7" i="1" a="1"/>
  <c r="CC7" i="1" s="1"/>
  <c r="BA7" i="1" a="1"/>
  <c r="BA7" i="1" s="1"/>
  <c r="BZ7" i="1" a="1"/>
  <c r="BZ7" i="1" s="1"/>
  <c r="BF12" i="1" a="1"/>
  <c r="BF12" i="1" s="1"/>
  <c r="BA9" i="1" a="1"/>
  <c r="BA9" i="1" s="1"/>
  <c r="AN13" i="1" a="1"/>
  <c r="AN13" i="1" s="1"/>
  <c r="BG12" i="1" a="1"/>
  <c r="BG12" i="1" s="1"/>
  <c r="BC12" i="1" a="1"/>
  <c r="BC12" i="1" s="1"/>
  <c r="BR15" i="1" a="1"/>
  <c r="BR15" i="1" s="1"/>
  <c r="CB12" i="1" a="1"/>
  <c r="CB12" i="1" s="1"/>
  <c r="AK11" i="1" a="1"/>
  <c r="AK11" i="1" s="1"/>
  <c r="BX12" i="1" a="1"/>
  <c r="BX12" i="1" s="1"/>
  <c r="BP12" i="1" a="1"/>
  <c r="BP12" i="1" s="1"/>
  <c r="CE13" i="1" a="1"/>
  <c r="CE13" i="1" s="1"/>
  <c r="BI13" i="1" a="1"/>
  <c r="BI13" i="1" s="1"/>
  <c r="BZ13" i="1" a="1"/>
  <c r="BZ13" i="1" s="1"/>
  <c r="BD14" i="1" a="1"/>
  <c r="BD14" i="1" s="1"/>
  <c r="CY14" i="1" a="1"/>
  <c r="CY14" i="1" s="1"/>
  <c r="BT8" i="1" a="1"/>
  <c r="BT8" i="1" s="1"/>
  <c r="BB14" i="1" a="1"/>
  <c r="BB14" i="1" s="1"/>
  <c r="BG15" i="1" a="1"/>
  <c r="BG15" i="1" s="1"/>
  <c r="BG8" i="1" a="1"/>
  <c r="BG8" i="1" s="1"/>
  <c r="CF15" i="1" a="1"/>
  <c r="CF15" i="1" s="1"/>
  <c r="AH13" i="1" a="1"/>
  <c r="AH13" i="1" s="1"/>
  <c r="BC14" i="1" a="1"/>
  <c r="BC14" i="1" s="1"/>
  <c r="BY7" i="1" a="1"/>
  <c r="BY7" i="1" s="1"/>
  <c r="CA9" i="1" a="1"/>
  <c r="CA9" i="1" s="1"/>
  <c r="BC9" i="1" a="1"/>
  <c r="BC9" i="1" s="1"/>
  <c r="BD9" i="1" a="1"/>
  <c r="BD9" i="1" s="1"/>
  <c r="BT9" i="1" a="1"/>
  <c r="BT9" i="1" s="1"/>
  <c r="BN12" i="1" a="1"/>
  <c r="BN12" i="1" s="1"/>
  <c r="CD12" i="1" a="1"/>
  <c r="CD12" i="1" s="1"/>
  <c r="CA11" i="1" a="1"/>
  <c r="CA11" i="1" s="1"/>
  <c r="BB7" i="1" a="1"/>
  <c r="BB7" i="1" s="1"/>
  <c r="CG10" i="1" a="1"/>
  <c r="CG10" i="1" s="1"/>
  <c r="CE12" i="1" a="1"/>
  <c r="CE12" i="1" s="1"/>
  <c r="BJ12" i="1" a="1"/>
  <c r="BJ12" i="1" s="1"/>
  <c r="BE7" i="1" a="1"/>
  <c r="BE7" i="1" s="1"/>
  <c r="BL7" i="1" a="1"/>
  <c r="BL7" i="1" s="1"/>
  <c r="BI12" i="1" a="1"/>
  <c r="BI12" i="1" s="1"/>
  <c r="AI9" i="1" a="1"/>
  <c r="AI9" i="1" s="1"/>
  <c r="BT12" i="1" a="1"/>
  <c r="BT12" i="1" s="1"/>
  <c r="CY9" i="1" a="1"/>
  <c r="CY9" i="1" s="1"/>
  <c r="CA12" i="1" a="1"/>
  <c r="CA12" i="1" s="1"/>
  <c r="AN10" i="1" a="1"/>
  <c r="AN10" i="1" s="1"/>
  <c r="CW11" i="1" a="1"/>
  <c r="CW11" i="1" s="1"/>
  <c r="CY10" i="1" a="1"/>
  <c r="CY10" i="1" s="1"/>
  <c r="AI15" i="1" a="1"/>
  <c r="AI15" i="1" s="1"/>
  <c r="AL11" i="1" a="1"/>
  <c r="AL11" i="1" s="1"/>
  <c r="BX10" i="1" a="1"/>
  <c r="BX10" i="1" s="1"/>
  <c r="BS12" i="1" a="1"/>
  <c r="BS12" i="1" s="1"/>
  <c r="BE12" i="1" a="1"/>
  <c r="BE12" i="1" s="1"/>
  <c r="CF10" i="1" a="1"/>
  <c r="CF10" i="1" s="1"/>
  <c r="AE12" i="1" a="1"/>
  <c r="AE12" i="1" s="1"/>
  <c r="BB12" i="1" a="1"/>
  <c r="BB12" i="1" s="1"/>
  <c r="CG12" i="1" a="1"/>
  <c r="CG12" i="1" s="1"/>
  <c r="CC10" i="1" a="1"/>
  <c r="CC10" i="1" s="1"/>
  <c r="BA12" i="1" a="1"/>
  <c r="BA12" i="1" s="1"/>
  <c r="CW12" i="1" a="1"/>
  <c r="CW12" i="1" s="1"/>
  <c r="CY7" i="1" a="1"/>
  <c r="CY7" i="1" s="1"/>
  <c r="BY15" i="1" a="1"/>
  <c r="BY15" i="1" s="1"/>
  <c r="BU15" i="1" a="1"/>
  <c r="BU15" i="1" s="1"/>
  <c r="AF7" i="1" a="1"/>
  <c r="AF7" i="1" s="1"/>
  <c r="AI7" i="1" a="1"/>
  <c r="AI7" i="1" s="1"/>
  <c r="BF9" i="1" a="1"/>
  <c r="BF9" i="1" s="1"/>
  <c r="CB9" i="1" a="1"/>
  <c r="CB9" i="1" s="1"/>
  <c r="AZ10" i="1" a="1"/>
  <c r="AZ10" i="1" s="1"/>
  <c r="AI10" i="1" a="1"/>
  <c r="AI10" i="1" s="1"/>
  <c r="BF11" i="1" a="1"/>
  <c r="BF11" i="1" s="1"/>
  <c r="BW10" i="1" a="1"/>
  <c r="BW10" i="1" s="1"/>
  <c r="BL14" i="1" a="1"/>
  <c r="BL14" i="1" s="1"/>
  <c r="CB14" i="1" a="1"/>
  <c r="CB14" i="1" s="1"/>
  <c r="CE11" i="1" a="1"/>
  <c r="CE11" i="1" s="1"/>
  <c r="BF14" i="1" a="1"/>
  <c r="BF14" i="1" s="1"/>
  <c r="CX15" i="1" a="1"/>
  <c r="CX15" i="1" s="1"/>
  <c r="AN15" i="1" a="1"/>
  <c r="AN15" i="1" s="1"/>
  <c r="AZ14" i="1" a="1"/>
  <c r="AZ14" i="1" s="1"/>
  <c r="BO10" i="1" a="1"/>
  <c r="BO10" i="1" s="1"/>
  <c r="BJ14" i="1" a="1"/>
  <c r="BJ14" i="1" s="1"/>
  <c r="BG10" i="1" a="1"/>
  <c r="BG10" i="1" s="1"/>
  <c r="BP10" i="1" a="1"/>
  <c r="BP10" i="1" s="1"/>
  <c r="BS7" i="1" a="1"/>
  <c r="BS7" i="1" s="1"/>
  <c r="BT7" i="1" a="1"/>
  <c r="BT7" i="1" s="1"/>
  <c r="CF8" i="1" a="1"/>
  <c r="CF8" i="1" s="1"/>
  <c r="CG8" i="1" a="1"/>
  <c r="CG8" i="1" s="1"/>
  <c r="BE8" i="1" a="1"/>
  <c r="BE8" i="1" s="1"/>
  <c r="BB8" i="1" a="1"/>
  <c r="BB8" i="1" s="1"/>
  <c r="BH13" i="1" a="1"/>
  <c r="BH13" i="1" s="1"/>
  <c r="BO13" i="1" a="1"/>
  <c r="BO13" i="1" s="1"/>
  <c r="BC13" i="1" a="1"/>
  <c r="BC13" i="1" s="1"/>
  <c r="AZ13" i="1" a="1"/>
  <c r="AZ13" i="1" s="1"/>
  <c r="CG11" i="1" a="1"/>
  <c r="CG11" i="1" s="1"/>
  <c r="BT13" i="1" a="1"/>
  <c r="BT13" i="1" s="1"/>
  <c r="AZ7" i="1" a="1"/>
  <c r="AZ7" i="1" s="1"/>
  <c r="BL11" i="1" a="1"/>
  <c r="BL11" i="1" s="1"/>
  <c r="BH7" i="1" a="1"/>
  <c r="BH7" i="1" s="1"/>
  <c r="CC11" i="1" a="1"/>
  <c r="CC11" i="1" s="1"/>
  <c r="CB13" i="1" a="1"/>
  <c r="CB13" i="1" s="1"/>
  <c r="BK11" i="1" a="1"/>
  <c r="BK11" i="1" s="1"/>
  <c r="BR13" i="1" a="1"/>
  <c r="BR13" i="1" s="1"/>
  <c r="AD15" i="1" a="1"/>
  <c r="AD15" i="1" s="1"/>
  <c r="AG15" i="1" a="1"/>
  <c r="AG15" i="1" s="1"/>
  <c r="CY15" i="1" a="1"/>
  <c r="CY15" i="1" s="1"/>
  <c r="BB11" i="1" a="1"/>
  <c r="BB11" i="1" s="1"/>
  <c r="BB10" i="1" a="1"/>
  <c r="BB10" i="1" s="1"/>
  <c r="BV8" i="1" a="1"/>
  <c r="BV8" i="1" s="1"/>
  <c r="CE10" i="1" a="1"/>
  <c r="CE10" i="1" s="1"/>
  <c r="BI10" i="1" a="1"/>
  <c r="BI10" i="1" s="1"/>
  <c r="AH10" i="1" a="1"/>
  <c r="AH10" i="1" s="1"/>
  <c r="BO8" i="1" a="1"/>
  <c r="BO8" i="1" s="1"/>
  <c r="AN14" i="1" a="1"/>
  <c r="AN14" i="1" s="1"/>
  <c r="BW12" i="1" a="1"/>
  <c r="BW12" i="1" s="1"/>
  <c r="BQ12" i="1" a="1"/>
  <c r="BQ12" i="1" s="1"/>
  <c r="BU12" i="1" a="1"/>
  <c r="BU12" i="1" s="1"/>
  <c r="BK8" i="1" a="1"/>
  <c r="BK8" i="1" s="1"/>
  <c r="CF13" i="1" a="1"/>
  <c r="CF13" i="1" s="1"/>
  <c r="BL12" i="1" a="1"/>
  <c r="BL12" i="1" s="1"/>
  <c r="AN12" i="1" a="1"/>
  <c r="AN12" i="1" s="1"/>
  <c r="BP13" i="1" a="1"/>
  <c r="BP13" i="1" s="1"/>
  <c r="AH12" i="1" a="1"/>
  <c r="AH12" i="1" s="1"/>
  <c r="BG9" i="1" a="1"/>
  <c r="BG9" i="1" s="1"/>
  <c r="BU9" i="1" a="1"/>
  <c r="BU9" i="1" s="1"/>
  <c r="BD13" i="1" a="1"/>
  <c r="BD13" i="1" s="1"/>
  <c r="AE13" i="1" a="1"/>
  <c r="AE13" i="1" s="1"/>
  <c r="BJ13" i="1" a="1"/>
  <c r="BJ13" i="1" s="1"/>
  <c r="AH8" i="1" a="1"/>
  <c r="AH8" i="1" s="1"/>
  <c r="CB11" i="1" a="1"/>
  <c r="CB11" i="1" s="1"/>
  <c r="CD11" i="1" a="1"/>
  <c r="CD11" i="1" s="1"/>
  <c r="CD13" i="1" a="1"/>
  <c r="CD13" i="1" s="1"/>
  <c r="BT11" i="1" a="1"/>
  <c r="BT11" i="1" s="1"/>
  <c r="BQ15" i="1" a="1"/>
  <c r="BQ15" i="1" s="1"/>
  <c r="BG14" i="1" a="1"/>
  <c r="BG14" i="1" s="1"/>
  <c r="CD15" i="1" a="1"/>
  <c r="CD15" i="1" s="1"/>
  <c r="CE14" i="1" a="1"/>
  <c r="CE14" i="1" s="1"/>
  <c r="BV13" i="1" a="1"/>
  <c r="BV13" i="1" s="1"/>
  <c r="CA13" i="1" a="1"/>
  <c r="CA13" i="1" s="1"/>
  <c r="BW13" i="1" a="1"/>
  <c r="BW13" i="1" s="1"/>
  <c r="AF8" i="1" a="1"/>
  <c r="AF8" i="1" s="1"/>
  <c r="BU10" i="1" a="1"/>
  <c r="BU10" i="1" s="1"/>
  <c r="BH8" i="1" a="1"/>
  <c r="BH8" i="1" s="1"/>
  <c r="AN11" i="1" a="1"/>
  <c r="AN11" i="1" s="1"/>
  <c r="AH11" i="1" a="1"/>
  <c r="AH11" i="1" s="1"/>
  <c r="BY9" i="1" a="1"/>
  <c r="BY9" i="1" s="1"/>
  <c r="CD9" i="1" a="1"/>
  <c r="CD9" i="1" s="1"/>
  <c r="BC8" i="1" a="1"/>
  <c r="BC8" i="1" s="1"/>
  <c r="BZ8" i="1" a="1"/>
  <c r="BZ8" i="1" s="1"/>
  <c r="CE8" i="1" a="1"/>
  <c r="CE8" i="1" s="1"/>
  <c r="AI12" i="1" a="1"/>
  <c r="AI12" i="1" s="1"/>
  <c r="BZ11" i="1" a="1"/>
  <c r="BZ11" i="1" s="1"/>
  <c r="BH11" i="1" a="1"/>
  <c r="BH11" i="1" s="1"/>
  <c r="BN13" i="1" a="1"/>
  <c r="BN13" i="1" s="1"/>
  <c r="BP14" i="1" a="1"/>
  <c r="BP14" i="1" s="1"/>
  <c r="CA14" i="1" a="1"/>
  <c r="CA14" i="1" s="1"/>
  <c r="BL13" i="1" a="1"/>
  <c r="BL13" i="1" s="1"/>
  <c r="BE13" i="1" a="1"/>
  <c r="BE13" i="1" s="1"/>
  <c r="AL13" i="1" a="1"/>
  <c r="AL13" i="1" s="1"/>
  <c r="AG13" i="1" a="1"/>
  <c r="AG13" i="1" s="1"/>
  <c r="BN14" i="1" a="1"/>
  <c r="BN14" i="1" s="1"/>
  <c r="CX13" i="1" a="1"/>
  <c r="CX13" i="1" s="1"/>
  <c r="AD13" i="1" a="1"/>
  <c r="AD13" i="1" s="1"/>
  <c r="BH14" i="1" a="1"/>
  <c r="BH14" i="1" s="1"/>
  <c r="AD8" i="1" a="1"/>
  <c r="AD8" i="1" s="1"/>
  <c r="AG8" i="1" a="1"/>
  <c r="AG8" i="1" s="1"/>
  <c r="AF14" i="1" a="1"/>
  <c r="AF14" i="1" s="1"/>
  <c r="AL8" i="1" a="1"/>
  <c r="AL8" i="1" s="1"/>
  <c r="CX8" i="1" a="1"/>
  <c r="CX8" i="1" s="1"/>
  <c r="AK8" i="1" a="1"/>
  <c r="AK8" i="1" s="1"/>
  <c r="AK14" i="1" a="1"/>
  <c r="AK14" i="1" s="1"/>
  <c r="AG7" i="1" a="1"/>
  <c r="AG7" i="1" s="1"/>
  <c r="AO7" i="1" a="1"/>
  <c r="AO7" i="1" s="1"/>
  <c r="AD7" i="1" a="1"/>
  <c r="AD7" i="1" s="1"/>
  <c r="AD9" i="1" a="1"/>
  <c r="AD9" i="1" s="1"/>
  <c r="AG9" i="1" a="1"/>
  <c r="AG9" i="1" s="1"/>
  <c r="AE11" i="1" a="1"/>
  <c r="AE11" i="1" s="1"/>
  <c r="AF11" i="1" a="1"/>
  <c r="AF11" i="1" s="1"/>
  <c r="AO11" i="1" a="1"/>
  <c r="AO11" i="1" s="1"/>
  <c r="CB7" i="1" a="1"/>
  <c r="CB7" i="1" s="1"/>
  <c r="AK15" i="1" a="1"/>
  <c r="AK15" i="1" s="1"/>
  <c r="AO15" i="1" a="1"/>
  <c r="AO15" i="1" s="1"/>
  <c r="AD14" i="1" a="1"/>
  <c r="AD14" i="1" s="1"/>
  <c r="AG14" i="1" a="1"/>
  <c r="AG14" i="1" s="1"/>
  <c r="AI11" i="1" a="1"/>
  <c r="AI11" i="1" s="1"/>
  <c r="AD12" i="1" a="1"/>
  <c r="AD12" i="1" s="1"/>
  <c r="AG12" i="1" a="1"/>
  <c r="AG12" i="1" s="1"/>
  <c r="AG10" i="1" a="1"/>
  <c r="AG10" i="1" s="1"/>
  <c r="AL15" i="1" a="1"/>
  <c r="AL15" i="1" s="1"/>
  <c r="AD10" i="1" a="1"/>
  <c r="AD10" i="1" s="1"/>
  <c r="AG11" i="1" a="1"/>
  <c r="AG11" i="1" s="1"/>
  <c r="AD11" i="1" a="1"/>
  <c r="AD11" i="1" s="1"/>
  <c r="BI9" i="1" a="1"/>
  <c r="BI9" i="1" s="1"/>
  <c r="AH9" i="1" a="1"/>
  <c r="AH9" i="1" s="1"/>
  <c r="BZ9" i="1" a="1"/>
  <c r="BZ9" i="1" s="1"/>
  <c r="CE9" i="1" a="1"/>
  <c r="CE9" i="1" s="1"/>
  <c r="AZ9" i="1" a="1"/>
  <c r="AZ9" i="1" s="1"/>
  <c r="AN7" i="1" a="1"/>
  <c r="AN7" i="1" s="1"/>
  <c r="AO14" i="1" a="1"/>
  <c r="AO14" i="1" s="1"/>
  <c r="BE15" i="1" a="1"/>
  <c r="BE15" i="1" s="1"/>
  <c r="AN9" i="1" a="1"/>
  <c r="AN9" i="1" s="1"/>
  <c r="CX9" i="1" a="1"/>
  <c r="CX9" i="1" s="1"/>
  <c r="AE7" i="1" a="1"/>
  <c r="AE7" i="1" s="1"/>
  <c r="BA15" i="1" a="1"/>
  <c r="BA15" i="1" s="1"/>
  <c r="CC15" i="1" a="1"/>
  <c r="CC15" i="1" s="1"/>
  <c r="AO13" i="1" a="1"/>
  <c r="AO13" i="1" s="1"/>
  <c r="CY13" i="1" a="1"/>
  <c r="CY13" i="1" s="1"/>
  <c r="AF10" i="1" a="1"/>
  <c r="AF10" i="1" s="1"/>
  <c r="AE9" i="1" a="1"/>
  <c r="AE9" i="1" s="1"/>
  <c r="BD8" i="1" a="1"/>
  <c r="BD8" i="1" s="1"/>
  <c r="AO8" i="1" a="1"/>
  <c r="AO8" i="1" s="1"/>
  <c r="BB9" i="1" a="1"/>
  <c r="BB9" i="1" s="1"/>
  <c r="BM14" i="1" a="1"/>
  <c r="BM14" i="1" s="1"/>
  <c r="BA14" i="1" a="1"/>
  <c r="BA14" i="1" s="1"/>
  <c r="BY14" i="1" a="1"/>
  <c r="BY14" i="1" s="1"/>
  <c r="CX11" i="1" a="1"/>
  <c r="CX11" i="1" s="1"/>
  <c r="BW11" i="1" a="1"/>
  <c r="BW11" i="1" s="1"/>
  <c r="CW15" i="1" a="1"/>
  <c r="CW15" i="1" s="1"/>
  <c r="AZ11" i="1" a="1"/>
  <c r="AZ11" i="1" s="1"/>
  <c r="BA10" i="1" a="1"/>
  <c r="BA10" i="1" s="1"/>
  <c r="CD10" i="1" a="1"/>
  <c r="CD10" i="1" s="1"/>
  <c r="BB13" i="1" a="1"/>
  <c r="BB13" i="1" s="1"/>
  <c r="CX10" i="1" a="1"/>
  <c r="CX10" i="1" s="1"/>
  <c r="BF10" i="1" a="1"/>
  <c r="BF10" i="1" s="1"/>
  <c r="BV10" i="1" a="1"/>
  <c r="BV10" i="1" s="1"/>
  <c r="CY11" i="1" a="1"/>
  <c r="CY11" i="1" s="1"/>
  <c r="BL8" i="1" a="1"/>
  <c r="BL8" i="1" s="1"/>
  <c r="CB8" i="1" a="1"/>
  <c r="CB8" i="1" s="1"/>
  <c r="BJ8" i="1" a="1"/>
  <c r="BJ8" i="1" s="1"/>
  <c r="BA8" i="1" a="1"/>
  <c r="BA8" i="1" s="1"/>
  <c r="BU8" i="1" a="1"/>
  <c r="BU8" i="1" s="1"/>
  <c r="BF8" i="1" a="1"/>
  <c r="BF8" i="1" s="1"/>
  <c r="BA13" i="1" a="1"/>
  <c r="BA13" i="1" s="1"/>
  <c r="AK13" i="1" a="1"/>
  <c r="AK13" i="1" s="1"/>
  <c r="AO12" i="1" a="1"/>
  <c r="AO12" i="1" s="1"/>
  <c r="CX7" i="1" a="1"/>
  <c r="CX7" i="1" s="1"/>
  <c r="BJ7" i="1" a="1"/>
  <c r="BJ7" i="1" s="1"/>
  <c r="CA7" i="1" a="1"/>
  <c r="CA7" i="1" s="1"/>
  <c r="BV7" i="1" a="1"/>
  <c r="BV7" i="1" s="1"/>
  <c r="BI7" i="1" a="1"/>
  <c r="BI7" i="1" s="1"/>
  <c r="BW7" i="1" a="1"/>
  <c r="BW7" i="1" s="1"/>
  <c r="BX7" i="1" a="1"/>
  <c r="BX7" i="1" s="1"/>
  <c r="BK14" i="1" a="1"/>
  <c r="BK14" i="1" s="1"/>
  <c r="CG14" i="1" a="1"/>
  <c r="CG14" i="1" s="1"/>
  <c r="BQ14" i="1" a="1"/>
  <c r="BQ14" i="1" s="1"/>
  <c r="BK10" i="1" a="1"/>
  <c r="BK10" i="1" s="1"/>
  <c r="BN10" i="1" a="1"/>
  <c r="BN10" i="1" s="1"/>
  <c r="BM10" i="1" a="1"/>
  <c r="BM10" i="1" s="1"/>
  <c r="BJ10" i="1" a="1"/>
  <c r="BJ10" i="1" s="1"/>
  <c r="BY10" i="1" a="1"/>
  <c r="BY10" i="1" s="1"/>
  <c r="BO11" i="1" a="1"/>
  <c r="BO11" i="1" s="1"/>
  <c r="BG11" i="1" a="1"/>
  <c r="BG11" i="1" s="1"/>
  <c r="BV11" i="1" a="1"/>
  <c r="BV11" i="1" s="1"/>
  <c r="BR12" i="1" a="1"/>
  <c r="BR12" i="1" s="1"/>
  <c r="BR8" i="1" a="1"/>
  <c r="BR8" i="1" s="1"/>
  <c r="BY13" i="1" a="1"/>
  <c r="BY13" i="1" s="1"/>
  <c r="BQ9" i="1" a="1"/>
  <c r="BQ9" i="1" s="1"/>
  <c r="CF9" i="1" a="1"/>
  <c r="CF9" i="1" s="1"/>
  <c r="BP9" i="1" a="1"/>
  <c r="BP9" i="1" s="1"/>
  <c r="BQ8" i="1" a="1"/>
  <c r="BQ8" i="1" s="1"/>
  <c r="BO9" i="1" a="1"/>
  <c r="BO9" i="1" s="1"/>
  <c r="BI8" i="1" a="1"/>
  <c r="BI8" i="1" s="1"/>
  <c r="BO7" i="1" a="1"/>
  <c r="BO7" i="1" s="1"/>
  <c r="BP7" i="1" a="1"/>
  <c r="BP7" i="1" s="1"/>
  <c r="BS10" i="1" a="1"/>
  <c r="BS10" i="1" s="1"/>
  <c r="CC14" i="1" a="1"/>
  <c r="CC14" i="1" s="1"/>
  <c r="CA10" i="1" a="1"/>
  <c r="CA10" i="1" s="1"/>
  <c r="BT10" i="1" a="1"/>
  <c r="BT10" i="1" s="1"/>
  <c r="BF7" i="1" a="1"/>
  <c r="BF7" i="1" s="1"/>
  <c r="BM12" i="1" a="1"/>
  <c r="BM12" i="1" s="1"/>
  <c r="CC12" i="1" a="1"/>
  <c r="CC12" i="1" s="1"/>
  <c r="CG13" i="1" a="1"/>
  <c r="CG13" i="1" s="1"/>
  <c r="BM13" i="1" a="1"/>
  <c r="BM13" i="1" s="1"/>
  <c r="BM7" i="1" a="1"/>
  <c r="BM7" i="1" s="1"/>
  <c r="BV12" i="1" a="1"/>
  <c r="BV12" i="1" s="1"/>
  <c r="CC13" i="1" a="1"/>
  <c r="CC13" i="1" s="1"/>
  <c r="CG7" i="1" a="1"/>
  <c r="CG7" i="1" s="1"/>
  <c r="BQ7" i="1" a="1"/>
  <c r="BQ7" i="1" s="1"/>
  <c r="BZ12" i="1" a="1"/>
  <c r="BZ12" i="1" s="1"/>
  <c r="CF11" i="1" a="1"/>
  <c r="CF11" i="1" s="1"/>
  <c r="BQ13" i="1" a="1"/>
  <c r="BQ13" i="1" s="1"/>
  <c r="CC8" i="1" a="1"/>
  <c r="CC8" i="1" s="1"/>
  <c r="BR9" i="1" a="1"/>
  <c r="BR9" i="1" s="1"/>
  <c r="BM15" i="1" a="1"/>
  <c r="BM15" i="1" s="1"/>
  <c r="CG15" i="1" a="1"/>
  <c r="CG15" i="1" s="1"/>
  <c r="BY11" i="1" a="1"/>
  <c r="BY11" i="1" s="1"/>
  <c r="CF7" i="1" a="1"/>
  <c r="CF7" i="1" s="1"/>
  <c r="D11" i="2"/>
  <c r="D10" i="2"/>
  <c r="D9" i="2"/>
  <c r="D8" i="2"/>
  <c r="D7" i="2"/>
  <c r="D6" i="2"/>
  <c r="D5" i="2"/>
  <c r="D4" i="2"/>
  <c r="K13" i="2" l="1"/>
  <c r="K14" i="2"/>
  <c r="P4" i="2" l="1"/>
  <c r="Q4" i="2" s="1"/>
  <c r="P5" i="2"/>
  <c r="P6" i="2"/>
  <c r="Q6" i="2" s="1"/>
  <c r="P7" i="2"/>
  <c r="Q7" i="2" s="1"/>
  <c r="P8" i="2"/>
  <c r="P9" i="2"/>
  <c r="Q9" i="2" s="1"/>
  <c r="P10" i="2"/>
  <c r="Q10" i="2" s="1"/>
  <c r="P11" i="2"/>
  <c r="Q11" i="2" s="1"/>
  <c r="P3" i="2"/>
  <c r="Q3" i="2" s="1"/>
  <c r="N4" i="2"/>
  <c r="O4" i="2" s="1"/>
  <c r="N5" i="2"/>
  <c r="N6" i="2"/>
  <c r="O6" i="2" s="1"/>
  <c r="N7" i="2"/>
  <c r="O7" i="2" s="1"/>
  <c r="N8" i="2"/>
  <c r="N9" i="2"/>
  <c r="O9" i="2" s="1"/>
  <c r="N10" i="2"/>
  <c r="O10" i="2" s="1"/>
  <c r="N11" i="2"/>
  <c r="O11" i="2" s="1"/>
  <c r="N3" i="2"/>
  <c r="O3" i="2" s="1"/>
  <c r="M4" i="2"/>
  <c r="M5" i="2"/>
  <c r="M6" i="2"/>
  <c r="M7" i="2"/>
  <c r="M8" i="2"/>
  <c r="M9" i="2"/>
  <c r="M10" i="2"/>
  <c r="M11" i="2"/>
  <c r="M3" i="2"/>
  <c r="G3" i="2"/>
  <c r="I4" i="2"/>
  <c r="O14" i="2" l="1"/>
  <c r="O13" i="2"/>
  <c r="Q13" i="2"/>
  <c r="Q14" i="2"/>
  <c r="M13" i="2"/>
  <c r="P13" i="2"/>
  <c r="M14" i="2"/>
  <c r="P14" i="2"/>
  <c r="N14" i="2"/>
  <c r="N13" i="2"/>
  <c r="Z20" i="4"/>
  <c r="Y20" i="4"/>
  <c r="X20" i="4"/>
  <c r="W20" i="4"/>
  <c r="V20" i="4"/>
  <c r="U20" i="4"/>
  <c r="T20" i="4"/>
  <c r="S20" i="4"/>
  <c r="R20" i="4"/>
  <c r="N20" i="4"/>
  <c r="Z19" i="4"/>
  <c r="Y19" i="4"/>
  <c r="X19" i="4"/>
  <c r="W19" i="4"/>
  <c r="V19" i="4"/>
  <c r="U19" i="4"/>
  <c r="T19" i="4"/>
  <c r="S19" i="4"/>
  <c r="R19" i="4"/>
  <c r="N19" i="4"/>
  <c r="Z18" i="4"/>
  <c r="Y18" i="4"/>
  <c r="X18" i="4"/>
  <c r="W18" i="4"/>
  <c r="V18" i="4"/>
  <c r="U18" i="4"/>
  <c r="T18" i="4"/>
  <c r="S18" i="4"/>
  <c r="R18" i="4"/>
  <c r="N18" i="4"/>
  <c r="Z17" i="4"/>
  <c r="Y17" i="4"/>
  <c r="X17" i="4"/>
  <c r="W17" i="4"/>
  <c r="V17" i="4"/>
  <c r="U17" i="4"/>
  <c r="T17" i="4"/>
  <c r="S17" i="4"/>
  <c r="R17" i="4"/>
  <c r="N17" i="4"/>
  <c r="AS15" i="4"/>
  <c r="Z15" i="4"/>
  <c r="W15" i="4"/>
  <c r="CM12" i="4"/>
  <c r="CL12" i="4"/>
  <c r="CK12" i="4"/>
  <c r="CI12" i="4"/>
  <c r="CH12" i="4"/>
  <c r="CG12" i="4"/>
  <c r="CM7" i="4"/>
  <c r="CL7" i="4"/>
  <c r="CK7" i="4"/>
  <c r="CI7" i="4"/>
  <c r="CH7" i="4"/>
  <c r="CG7" i="4"/>
  <c r="BY7" i="4"/>
  <c r="BX7" i="4"/>
  <c r="BW7" i="4"/>
  <c r="BM7" i="4"/>
  <c r="BL7" i="4"/>
  <c r="BK7" i="4"/>
  <c r="BG7" i="4"/>
  <c r="BF7" i="4"/>
  <c r="BE7" i="4"/>
  <c r="AZ7" i="4"/>
  <c r="N7" i="4"/>
  <c r="I11" i="2"/>
  <c r="J11" i="2" s="1"/>
  <c r="G11" i="2"/>
  <c r="H11" i="2" s="1"/>
  <c r="E11" i="2"/>
  <c r="F11" i="2" s="1"/>
  <c r="I10" i="2"/>
  <c r="J10" i="2" s="1"/>
  <c r="G10" i="2"/>
  <c r="H10" i="2" s="1"/>
  <c r="E10" i="2"/>
  <c r="F10" i="2" s="1"/>
  <c r="I9" i="2"/>
  <c r="J9" i="2" s="1"/>
  <c r="G9" i="2"/>
  <c r="H9" i="2" s="1"/>
  <c r="E9" i="2"/>
  <c r="F9" i="2" s="1"/>
  <c r="I8" i="2"/>
  <c r="J8" i="2" s="1"/>
  <c r="G8" i="2"/>
  <c r="H8" i="2" s="1"/>
  <c r="E8" i="2"/>
  <c r="F8" i="2" s="1"/>
  <c r="I7" i="2"/>
  <c r="J7" i="2" s="1"/>
  <c r="G7" i="2"/>
  <c r="H7" i="2" s="1"/>
  <c r="E7" i="2"/>
  <c r="F7" i="2" s="1"/>
  <c r="I6" i="2"/>
  <c r="J6" i="2" s="1"/>
  <c r="G6" i="2"/>
  <c r="H6" i="2" s="1"/>
  <c r="E6" i="2"/>
  <c r="F6" i="2" s="1"/>
  <c r="I5" i="2"/>
  <c r="J5" i="2" s="1"/>
  <c r="G5" i="2"/>
  <c r="H5" i="2" s="1"/>
  <c r="E5" i="2"/>
  <c r="J4" i="2"/>
  <c r="G4" i="2"/>
  <c r="H4" i="2" s="1"/>
  <c r="E4" i="2"/>
  <c r="F4" i="2" s="1"/>
  <c r="I3" i="2"/>
  <c r="J3" i="2" s="1"/>
  <c r="H3" i="2"/>
  <c r="E3" i="2"/>
  <c r="F3" i="2" s="1"/>
  <c r="Z20" i="1"/>
  <c r="Y20" i="1"/>
  <c r="X20" i="1"/>
  <c r="W20" i="1"/>
  <c r="V20" i="1"/>
  <c r="U20" i="1"/>
  <c r="T20" i="1"/>
  <c r="S20" i="1"/>
  <c r="R20" i="1"/>
  <c r="Z19" i="1"/>
  <c r="Y19" i="1"/>
  <c r="X19" i="1"/>
  <c r="W19" i="1"/>
  <c r="V19" i="1"/>
  <c r="U19" i="1"/>
  <c r="T19" i="1"/>
  <c r="S19" i="1"/>
  <c r="R19" i="1"/>
  <c r="Z18" i="1"/>
  <c r="Y18" i="1"/>
  <c r="X18" i="1"/>
  <c r="W18" i="1"/>
  <c r="V18" i="1"/>
  <c r="U18" i="1"/>
  <c r="T18" i="1"/>
  <c r="S18" i="1"/>
  <c r="R18" i="1"/>
  <c r="Z17" i="1"/>
  <c r="Y17" i="1"/>
  <c r="X17" i="1"/>
  <c r="W17" i="1"/>
  <c r="V17" i="1"/>
  <c r="U17" i="1"/>
  <c r="T17" i="1"/>
  <c r="S17" i="1"/>
  <c r="R17" i="1"/>
  <c r="E14" i="2" l="1"/>
  <c r="F5" i="2"/>
  <c r="CS18" i="1"/>
  <c r="AE20" i="1"/>
  <c r="AQ8" i="1"/>
  <c r="AQ10" i="1"/>
  <c r="AQ14" i="1"/>
  <c r="CR18" i="1"/>
  <c r="AO19" i="1"/>
  <c r="AQ12" i="1"/>
  <c r="AJ9" i="1"/>
  <c r="AQ7" i="1"/>
  <c r="AQ19" i="1" s="1"/>
  <c r="CO20" i="1"/>
  <c r="AQ9" i="1"/>
  <c r="CW19" i="1"/>
  <c r="AQ11" i="1"/>
  <c r="CK12" i="1"/>
  <c r="AQ13" i="1"/>
  <c r="AQ15" i="1"/>
  <c r="AU19" i="1"/>
  <c r="CH9" i="1"/>
  <c r="CX20" i="1"/>
  <c r="CH13" i="1"/>
  <c r="AY14" i="1"/>
  <c r="AM17" i="1"/>
  <c r="AV18" i="1"/>
  <c r="CI7" i="1"/>
  <c r="CY20" i="1"/>
  <c r="AJ8" i="1"/>
  <c r="AH19" i="1"/>
  <c r="AD20" i="1"/>
  <c r="CI13" i="1"/>
  <c r="AX10" i="1"/>
  <c r="AJ11" i="1"/>
  <c r="AX14" i="1"/>
  <c r="AW15" i="1"/>
  <c r="AJ13" i="1"/>
  <c r="AJ15" i="1"/>
  <c r="AJ7" i="1"/>
  <c r="CM18" i="1"/>
  <c r="AI19" i="1"/>
  <c r="CN18" i="1"/>
  <c r="AN19" i="1"/>
  <c r="AX9" i="1"/>
  <c r="AJ10" i="1"/>
  <c r="AX11" i="1"/>
  <c r="AJ12" i="1"/>
  <c r="CJ12" i="1"/>
  <c r="AJ14" i="1"/>
  <c r="AG18" i="1"/>
  <c r="CH8" i="1"/>
  <c r="AX8" i="1"/>
  <c r="CI14" i="1"/>
  <c r="CI8" i="1"/>
  <c r="AY12" i="1"/>
  <c r="CK8" i="1"/>
  <c r="CK15" i="1"/>
  <c r="CK11" i="1"/>
  <c r="AW11" i="1"/>
  <c r="CJ15" i="1"/>
  <c r="CJ13" i="1"/>
  <c r="AX15" i="1"/>
  <c r="CJ8" i="1"/>
  <c r="AW10" i="1"/>
  <c r="AW14" i="1"/>
  <c r="AV19" i="1"/>
  <c r="CI9" i="1"/>
  <c r="CJ10" i="1"/>
  <c r="AY15" i="1"/>
  <c r="CJ9" i="1"/>
  <c r="CH10" i="1"/>
  <c r="CS19" i="1"/>
  <c r="CH7" i="1"/>
  <c r="CK9" i="1"/>
  <c r="CI10" i="1"/>
  <c r="AY11" i="1"/>
  <c r="AX12" i="1"/>
  <c r="AY13" i="1"/>
  <c r="AV17" i="1"/>
  <c r="AW12" i="1"/>
  <c r="CH12" i="1"/>
  <c r="CJ7" i="1"/>
  <c r="CH11" i="1"/>
  <c r="CI12" i="1"/>
  <c r="CK14" i="1"/>
  <c r="CK7" i="1"/>
  <c r="CK10" i="1"/>
  <c r="CI11" i="1"/>
  <c r="CH14" i="1"/>
  <c r="AW9" i="1"/>
  <c r="AY10" i="1"/>
  <c r="CJ11" i="1"/>
  <c r="AW13" i="1"/>
  <c r="CJ14" i="1"/>
  <c r="CL20" i="1"/>
  <c r="CL19" i="1"/>
  <c r="CL18" i="1"/>
  <c r="CL17" i="1"/>
  <c r="AW8" i="1"/>
  <c r="CP20" i="1"/>
  <c r="CP19" i="1"/>
  <c r="CP18" i="1"/>
  <c r="CP17" i="1"/>
  <c r="CO19" i="1"/>
  <c r="CO17" i="1"/>
  <c r="AY7" i="1"/>
  <c r="CQ20" i="1"/>
  <c r="CQ19" i="1"/>
  <c r="CQ18" i="1"/>
  <c r="CQ17" i="1"/>
  <c r="AH20" i="1"/>
  <c r="AH18" i="1"/>
  <c r="AH17" i="1"/>
  <c r="AO20" i="1"/>
  <c r="AW7" i="1"/>
  <c r="AY9" i="1"/>
  <c r="CN20" i="1"/>
  <c r="CN19" i="1"/>
  <c r="AX7" i="1"/>
  <c r="AN20" i="1"/>
  <c r="AN17" i="1"/>
  <c r="AI20" i="1"/>
  <c r="AY8" i="1"/>
  <c r="AS20" i="1"/>
  <c r="AS19" i="1"/>
  <c r="AS18" i="1"/>
  <c r="AS17" i="1"/>
  <c r="AE18" i="1"/>
  <c r="AM20" i="1"/>
  <c r="P20" i="1"/>
  <c r="P19" i="1"/>
  <c r="P18" i="1"/>
  <c r="P17" i="1"/>
  <c r="AT20" i="1"/>
  <c r="AT19" i="1"/>
  <c r="AT18" i="1"/>
  <c r="AT17" i="1"/>
  <c r="AU17" i="1"/>
  <c r="AF18" i="1"/>
  <c r="CR19" i="1"/>
  <c r="CW20" i="1"/>
  <c r="CW18" i="1"/>
  <c r="AU20" i="1"/>
  <c r="F13" i="2"/>
  <c r="CR17" i="1"/>
  <c r="AE19" i="1"/>
  <c r="AV20" i="1"/>
  <c r="H13" i="2"/>
  <c r="H14" i="2"/>
  <c r="CX19" i="1"/>
  <c r="CX18" i="1"/>
  <c r="CX17" i="1"/>
  <c r="CH15" i="1"/>
  <c r="CS17" i="1"/>
  <c r="AU18" i="1"/>
  <c r="AF19" i="1"/>
  <c r="CR20" i="1"/>
  <c r="I13" i="2"/>
  <c r="I14" i="2"/>
  <c r="AM18" i="1"/>
  <c r="AK20" i="1"/>
  <c r="AK19" i="1"/>
  <c r="AK18" i="1"/>
  <c r="AK17" i="1"/>
  <c r="CY19" i="1"/>
  <c r="CY18" i="1"/>
  <c r="CY17" i="1"/>
  <c r="AP20" i="1"/>
  <c r="AP19" i="1"/>
  <c r="AP18" i="1"/>
  <c r="AP17" i="1"/>
  <c r="CT20" i="1"/>
  <c r="CT19" i="1"/>
  <c r="CT18" i="1"/>
  <c r="CT17" i="1"/>
  <c r="CK13" i="1"/>
  <c r="AE17" i="1"/>
  <c r="AM19" i="1"/>
  <c r="CS20" i="1"/>
  <c r="J13" i="2"/>
  <c r="J14" i="2"/>
  <c r="F14" i="2"/>
  <c r="O20" i="1"/>
  <c r="O19" i="1"/>
  <c r="O18" i="1"/>
  <c r="O17" i="1"/>
  <c r="Q20" i="1"/>
  <c r="Q19" i="1"/>
  <c r="Q18" i="1"/>
  <c r="Q17" i="1"/>
  <c r="AL20" i="1"/>
  <c r="AL19" i="1"/>
  <c r="AL18" i="1"/>
  <c r="AL17" i="1"/>
  <c r="CU20" i="1"/>
  <c r="CU19" i="1"/>
  <c r="CU18" i="1"/>
  <c r="CU17" i="1"/>
  <c r="CI15" i="1"/>
  <c r="AF17" i="1"/>
  <c r="N20" i="1"/>
  <c r="N19" i="1"/>
  <c r="N18" i="1"/>
  <c r="N17" i="1"/>
  <c r="AR20" i="1"/>
  <c r="AR19" i="1"/>
  <c r="AR18" i="1"/>
  <c r="AR17" i="1"/>
  <c r="CV20" i="1"/>
  <c r="CV19" i="1"/>
  <c r="CV18" i="1"/>
  <c r="CV17" i="1"/>
  <c r="AX13" i="1"/>
  <c r="E13" i="2"/>
  <c r="G14" i="2"/>
  <c r="G13" i="2"/>
  <c r="AQ17" i="1" l="1"/>
  <c r="AQ20" i="1"/>
  <c r="AQ18" i="1"/>
  <c r="AD18" i="1"/>
  <c r="AD19" i="1"/>
  <c r="AJ17" i="1"/>
  <c r="AJ20" i="1"/>
  <c r="AJ19" i="1"/>
  <c r="AJ18" i="1"/>
  <c r="CW17" i="1"/>
  <c r="AN18" i="1"/>
  <c r="CO18" i="1"/>
  <c r="CM17" i="1"/>
  <c r="AF20" i="1"/>
  <c r="AI17" i="1"/>
  <c r="AO17" i="1"/>
  <c r="CM19" i="1"/>
  <c r="AD17" i="1"/>
  <c r="AI18" i="1"/>
  <c r="CN17" i="1"/>
  <c r="AO18" i="1"/>
  <c r="CM20" i="1"/>
  <c r="AG17" i="1"/>
  <c r="AG20" i="1"/>
  <c r="AG19" i="1"/>
  <c r="D13" i="2"/>
  <c r="C13" i="2"/>
  <c r="C14" i="2"/>
  <c r="D14"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<sst xmlns="http://schemas.openxmlformats.org/spreadsheetml/2006/main" count="466" uniqueCount="184">
  <si>
    <t>Currency</t>
  </si>
  <si>
    <t>HKD</t>
  </si>
  <si>
    <t>USD</t>
  </si>
  <si>
    <t>CRNCY_ADJ_MKT_CAP</t>
  </si>
  <si>
    <t>Crncy Adj Mkt Cap</t>
  </si>
  <si>
    <t>Px Last</t>
  </si>
  <si>
    <t>Net Assets</t>
  </si>
  <si>
    <t>Sales Rev Turn</t>
  </si>
  <si>
    <t>Net Income</t>
  </si>
  <si>
    <t>Gross_Margin_Adjusted</t>
  </si>
  <si>
    <t>EBITDA_MARGIN_ADJUSTED</t>
  </si>
  <si>
    <t>Prof Margin</t>
  </si>
  <si>
    <t>Sales_Growth</t>
  </si>
  <si>
    <t>Net Inc Growth</t>
  </si>
  <si>
    <t>TOT_DEBT_TO_TOT_EQY</t>
  </si>
  <si>
    <t>TOT_DEBT_TO_COM_EQY</t>
  </si>
  <si>
    <t>NET_DEBT_TO_SHRHLDR_EQTY</t>
  </si>
  <si>
    <t>TOT_DEBT_TO_TOT_ASSET</t>
  </si>
  <si>
    <t>RETURN_ON_ASSET</t>
  </si>
  <si>
    <t>RETURN_COM_EQY</t>
  </si>
  <si>
    <t>Pe Ratio</t>
  </si>
  <si>
    <t>BEST_EV_TO_BEST_EBITDA</t>
  </si>
  <si>
    <t>Px To Book Ratio</t>
  </si>
  <si>
    <t>EQY_DVD_YLD_IND</t>
  </si>
  <si>
    <t>BEST_DIV_YLD</t>
  </si>
  <si>
    <t>CIE_DES</t>
  </si>
  <si>
    <t>Company Name</t>
  </si>
  <si>
    <t>公司名</t>
  </si>
  <si>
    <t>Stock Code</t>
  </si>
  <si>
    <t>Operating Data</t>
  </si>
  <si>
    <t xml:space="preserve">Valuation </t>
  </si>
  <si>
    <t>Forecast CAGR</t>
  </si>
  <si>
    <t>Key financials (USD'b)</t>
  </si>
  <si>
    <t>Volatility</t>
  </si>
  <si>
    <t>Listing date</t>
  </si>
  <si>
    <t>Market Capitalization (HKD 'm)</t>
  </si>
  <si>
    <t>Market Capitalization (USD 'm)</t>
  </si>
  <si>
    <t>Price (Traded Currency)</t>
  </si>
  <si>
    <t>Net Assets (HKD 'm)</t>
  </si>
  <si>
    <t>Net Assets (USD 'm)</t>
  </si>
  <si>
    <t>Revenue (HKD 'm)</t>
  </si>
  <si>
    <t>Revenue (USD 'm)</t>
  </si>
  <si>
    <t>Net Profit (HKD 'm)</t>
  </si>
  <si>
    <t>Net Profit (USD 'm)</t>
  </si>
  <si>
    <t>GP Margin (%)</t>
  </si>
  <si>
    <t>EBITDA Margin
(%)</t>
  </si>
  <si>
    <t>NP Margin (%)</t>
  </si>
  <si>
    <t>Revenue Growth (%)</t>
  </si>
  <si>
    <t>NP Growth (%)</t>
  </si>
  <si>
    <t>Debt to equity</t>
  </si>
  <si>
    <t>Debt to common equity</t>
  </si>
  <si>
    <t>Net debt To Shareholders Equity</t>
  </si>
  <si>
    <t>Total Debt to Total Assets</t>
  </si>
  <si>
    <t>ROA</t>
  </si>
  <si>
    <t>EV 
(HKD'm)</t>
  </si>
  <si>
    <t>EV 
(USD'm)</t>
  </si>
  <si>
    <t>ROE</t>
  </si>
  <si>
    <t>TTM Sales Profit (HKD 'm)</t>
  </si>
  <si>
    <t>TTM Net Profit (HKD 'm)</t>
  </si>
  <si>
    <t>TTM EBITDA (HKD 'm)</t>
  </si>
  <si>
    <t>PE Ratio (x)</t>
  </si>
  <si>
    <t>PS Ratio (x)</t>
  </si>
  <si>
    <t>EV/EBITDA (x)</t>
  </si>
  <si>
    <t>PB Ratio (x)</t>
  </si>
  <si>
    <t>ROE (%)</t>
  </si>
  <si>
    <t>Dividend Yield (x)</t>
  </si>
  <si>
    <t>Revenue</t>
  </si>
  <si>
    <t>EBITDA</t>
  </si>
  <si>
    <t>Net profit</t>
  </si>
  <si>
    <t>cash flow from operations (USD'b)</t>
  </si>
  <si>
    <t>Free cash flow (USD'b)</t>
  </si>
  <si>
    <t>Dividend</t>
  </si>
  <si>
    <t>Dividend yield</t>
  </si>
  <si>
    <t>5D Avg ADTV
(HKD'm)</t>
  </si>
  <si>
    <t>10D Avg ADTV
(HKD'm)</t>
  </si>
  <si>
    <t>20D Avg ADTV
(HKD'm)</t>
  </si>
  <si>
    <t>1M Avg ADTV
(HKD'm)</t>
  </si>
  <si>
    <t>3M Avg ADTV
(HKD'm)</t>
  </si>
  <si>
    <t>6M Avg ADTV
(HKD'm)</t>
  </si>
  <si>
    <t>1M Return</t>
  </si>
  <si>
    <t>3M Return</t>
  </si>
  <si>
    <t>6M Return</t>
  </si>
  <si>
    <t>1Y Return</t>
  </si>
  <si>
    <t>YTD Return</t>
  </si>
  <si>
    <t>30-day volatility
(%)</t>
  </si>
  <si>
    <t>90-day volatility
(%)</t>
  </si>
  <si>
    <t>180-day volatility
(%)</t>
  </si>
  <si>
    <t>TTM</t>
  </si>
  <si>
    <t>2026F</t>
  </si>
  <si>
    <t>2027F</t>
  </si>
  <si>
    <t>2026 vs 2024</t>
  </si>
  <si>
    <t>CY2022A</t>
  </si>
  <si>
    <t>CY2023A</t>
  </si>
  <si>
    <t>CY2024A</t>
  </si>
  <si>
    <t>CY2025F</t>
  </si>
  <si>
    <t>CY2026F</t>
  </si>
  <si>
    <t>CY2027F</t>
  </si>
  <si>
    <t>pdsl in Equity</t>
  </si>
  <si>
    <t>wmt us Equity</t>
  </si>
  <si>
    <t>aeo us Equity</t>
  </si>
  <si>
    <t>cost us Equity</t>
  </si>
  <si>
    <t>abf ln EQUITY</t>
  </si>
  <si>
    <t>MANH US EQUITY</t>
  </si>
  <si>
    <t>CHRW US EQUITY</t>
  </si>
  <si>
    <t>cvs us EQUITY</t>
  </si>
  <si>
    <t>hmb ss EQUITY</t>
  </si>
  <si>
    <t>HK</t>
  </si>
  <si>
    <t>Max</t>
  </si>
  <si>
    <t>NY</t>
  </si>
  <si>
    <t>Median</t>
  </si>
  <si>
    <t>LN</t>
  </si>
  <si>
    <t>Mean</t>
  </si>
  <si>
    <t>INDIA</t>
  </si>
  <si>
    <t>Min</t>
  </si>
  <si>
    <t>STOCKHOLM</t>
  </si>
  <si>
    <t>NASDAQ</t>
  </si>
  <si>
    <t>PE (TTM) 
Original</t>
  </si>
  <si>
    <t>PE (TTM) 
(Normalised to HK)</t>
  </si>
  <si>
    <t>PE (2026F) 
Original</t>
  </si>
  <si>
    <t>PE (2026F) 
(Normalised to HK)</t>
  </si>
  <si>
    <t>PE (2027F) 
Original</t>
  </si>
  <si>
    <t>PE (2027F) 
(Normalised to HK)</t>
  </si>
  <si>
    <t>PDS Ltd</t>
  </si>
  <si>
    <t>沃尔玛股份有限公司</t>
  </si>
  <si>
    <r>
      <rPr>
        <sz val="11"/>
        <color rgb="FFFF0000"/>
        <rFont val="DejaVu Sans"/>
        <family val="2"/>
      </rPr>
      <t>美鹰傲飞</t>
    </r>
    <r>
      <rPr>
        <sz val="11"/>
        <color rgb="FFFF0000"/>
        <rFont val="DejaVu Sans"/>
        <family val="2"/>
        <charset val="1"/>
      </rPr>
      <t>AEO</t>
    </r>
    <r>
      <rPr>
        <sz val="11"/>
        <color rgb="FFFF0000"/>
        <rFont val="DejaVu Sans"/>
        <family val="2"/>
      </rPr>
      <t>有限公司</t>
    </r>
  </si>
  <si>
    <t>开市客公司</t>
  </si>
  <si>
    <t>英国联合食品公共有限公司</t>
  </si>
  <si>
    <r>
      <rPr>
        <sz val="11"/>
        <color rgb="FF7030A0"/>
        <rFont val="Aptos Narrow"/>
        <family val="2"/>
        <charset val="1"/>
      </rPr>
      <t>CVS</t>
    </r>
    <r>
      <rPr>
        <sz val="11"/>
        <color rgb="FF7030A0"/>
        <rFont val="DejaVu Sans"/>
        <family val="2"/>
      </rPr>
      <t>健康公司</t>
    </r>
  </si>
  <si>
    <t>海恩斯莫里斯公司</t>
  </si>
  <si>
    <t>曼哈顿联合软件公司</t>
  </si>
  <si>
    <t>罗宾逊全球物流有限公司</t>
  </si>
  <si>
    <t>median</t>
  </si>
  <si>
    <t>average</t>
  </si>
  <si>
    <t>(2) </t>
  </si>
  <si>
    <t>If after expanding search scope of Comp using "AI-enabled B2B supply chain service providers" on 15 May 2026,</t>
  </si>
  <si>
    <t>(a) software centric e.g. Oracle/SAP --&gt; suggest we add Manhattan Associates, P/E TTM close to 40) :</t>
  </si>
  <si>
    <t>(b) logistic centric e.g. UPS / Fedex --&gt; suggest you add CWRW.nasdaq, P/E TTM close to 35 :</t>
  </si>
  <si>
    <t>10/21/2014</t>
  </si>
  <si>
    <t>#N/A</t>
  </si>
  <si>
    <t>#N/A N/A</t>
  </si>
  <si>
    <t>PDS Limited is a consumer-driven manufacturing and sourcing company. The Company designs, produces, and markets blazers, school wear, shirts, softs, and footwear products, as well as invests in sustainability, technology, and direct to consumer digital brands. PDS serves brand agencies and retailers worldwide.</t>
  </si>
  <si>
    <t>Walmart Inc</t>
  </si>
  <si>
    <t>#N/A Field Not Applicable</t>
  </si>
  <si>
    <t>Walmart Inc. operates discount stores, supercenters, and neighborhood markets. The Company offers merchandise such as apparel, house wares, small appliances, electronics, musical instruments, books, home improvement, shoes, jewelry, toddler, games, household essentials, pets, pharmaceutical products, party supplies, and automotive tools. Walmart serves customers worldwide.</t>
  </si>
  <si>
    <t>American Eagle Outfitters Inc</t>
  </si>
  <si>
    <r>
      <rPr>
        <b/>
        <sz val="12"/>
        <rFont val="DejaVu Sans"/>
        <family val="2"/>
      </rPr>
      <t>美鹰傲飞</t>
    </r>
    <r>
      <rPr>
        <b/>
        <sz val="12"/>
        <rFont val="DejaVu Sans"/>
        <family val="2"/>
        <charset val="1"/>
      </rPr>
      <t>AEO</t>
    </r>
    <r>
      <rPr>
        <b/>
        <sz val="12"/>
        <rFont val="DejaVu Sans"/>
        <family val="2"/>
      </rPr>
      <t>有限公司</t>
    </r>
  </si>
  <si>
    <t>American Eagle Outfitters, Inc. retails men's and women's casual apparel, footwear, outerwear, and accessories. The Company provides products include jeans, khakis, t-shirts, and other similar apparel. American Eagle serves customers in the United States.</t>
  </si>
  <si>
    <t>Costco Wholesale Corp</t>
  </si>
  <si>
    <t>12/5/1985</t>
  </si>
  <si>
    <t>Costco Wholesale Corporation is a membership warehouse club The Company sells all kinds of food, automotive supplies, toys, hardware, sporting goods, jewelry, electronics, apparel, health, and beauty aids, as well as other goods. Costco Wholesale serves customers worldwide.</t>
  </si>
  <si>
    <t>Associated British Foods PLC</t>
  </si>
  <si>
    <t>Associated British Foods PLC operates as a group company. The Company, through its subsidiaries, offers groceries, clothing, and household products, as well as produces sugar and baker's yeast ingredients including emulsifiers, enzymes, and lactose. Associated British Foods serves customers worldwide.</t>
  </si>
  <si>
    <t>Manhattan Associates Inc</t>
  </si>
  <si>
    <t>4/23/1998</t>
  </si>
  <si>
    <t>Manhattan Associates, Inc. provides information technology solutions for distribution centers. The solutions are designed to enable the efficient movement of goods through the supply chain. The Company offers solutions optimize the receipt, storage, and distribution of inventory, as well as manage equipment and personnel within a distribution center.</t>
  </si>
  <si>
    <t>CH Robinson Worldwide Inc</t>
  </si>
  <si>
    <t>10/15/1997</t>
  </si>
  <si>
    <t>C.H. Robinson Worldwide, Inc. operates as a logistics company. The Company freight, supply chain, and logistics services. C.H. Robinson Worldwide serves clients worldwide.</t>
  </si>
  <si>
    <t>CVS Health Corp</t>
  </si>
  <si>
    <r>
      <rPr>
        <b/>
        <sz val="12"/>
        <rFont val="Aptos Narrow"/>
        <family val="2"/>
        <charset val="1"/>
      </rPr>
      <t>CVS</t>
    </r>
    <r>
      <rPr>
        <b/>
        <sz val="12"/>
        <rFont val="DejaVu Sans"/>
        <family val="2"/>
      </rPr>
      <t>健康公司</t>
    </r>
  </si>
  <si>
    <t>10/1/1952</t>
  </si>
  <si>
    <t>CVS Health Corporation provides health care and retail pharmacy services. The Company offers prescription medications, beauty, personal care, cosmetics, and health care products, as well as pharmacy benefit management (PBM), disease management, and administrative services. CVS Health operates in the United States and Puerto Rico.</t>
  </si>
  <si>
    <t>H &amp; M Hennes &amp; Mauritz AB</t>
  </si>
  <si>
    <t>H &amp; M Hennes &amp; Mauritz AB designs and retails fashions for women, men, teens, and children. The Company sells a variety trendy, sporty, and classic garments in addition to accessories such as jewelery, bags, scarves, and cosmetics. H &amp; M Hennes &amp; Mauritz serves customers worldwide.</t>
  </si>
  <si>
    <t>PS TTM</t>
  </si>
  <si>
    <t>PS 2026</t>
  </si>
  <si>
    <t>PS T2027</t>
  </si>
  <si>
    <t>2025A</t>
  </si>
  <si>
    <t>IF(AB7&lt;0,"N/A",$E7/AB7)</t>
  </si>
  <si>
    <t>$E7/AA7</t>
  </si>
  <si>
    <t xml:space="preserve">TTM PS = </t>
  </si>
  <si>
    <t>TTM PE =</t>
  </si>
  <si>
    <t>PS 2025</t>
  </si>
  <si>
    <t>PE (2025) 
Original</t>
  </si>
  <si>
    <t>PE (2025) 
(Normalised to HK)</t>
  </si>
  <si>
    <t>pe</t>
  </si>
  <si>
    <t>ps</t>
  </si>
  <si>
    <t>\</t>
  </si>
  <si>
    <t>HK local PS 2025</t>
  </si>
  <si>
    <t>HK local PS 2026</t>
  </si>
  <si>
    <t>HK local PS 2027</t>
  </si>
  <si>
    <t>EV/EBITDA 2026</t>
  </si>
  <si>
    <t>HK Local EV/EBITDA 2026</t>
  </si>
  <si>
    <t>HK Local EV/EBITDA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</si>
</sst>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_);_(@_)"/>
    <numFmt numFmtId="165" formatCode="0.0%"/>
    <numFmt numFmtId="166" formatCode="0.0"/>
    <numFmt numFmtId="167" formatCode="_(* #,##0_);_(* \(#,##0\);_(* \-??_);_(@_)"/>
    <numFmt numFmtId="168" formatCode="#,##0.0_);\(#,##0.0\)"/>
    <numFmt numFmtId="169" formatCode="_(* #,##0.0_);_(* \(#,##0.0\);_(* \-??_);_(@_)"/>
  </numFmts>
  <fonts count="22">
    <font>
      <sz val="11"/>
      <color theme="1"/>
      <name val="Aptos Narrow"/>
      <family val="2"/>
      <charset val="1"/>
    </font>
    <font>
      <sz val="10"/>
      <name val="Aptos Narrow"/>
      <family val="2"/>
      <charset val="1"/>
    </font>
    <font>
      <b/>
      <sz val="10"/>
      <name val="Aptos Narrow"/>
      <family val="2"/>
      <charset val="1"/>
    </font>
    <font>
      <b/>
      <sz val="11"/>
      <name val="Aptos Narrow"/>
      <family val="2"/>
      <charset val="1"/>
    </font>
    <font>
      <b/>
      <sz val="12"/>
      <color rgb="FFFFFFFF"/>
      <name val="Aptos Narrow"/>
      <family val="2"/>
      <charset val="1"/>
    </font>
    <font>
      <b/>
      <sz val="12"/>
      <color rgb="FFFFFFFF"/>
      <name val="DejaVu Sans"/>
      <family val="2"/>
    </font>
    <font>
      <b/>
      <sz val="10"/>
      <color rgb="FFFFFFFF"/>
      <name val="Aptos Narrow"/>
      <family val="2"/>
      <charset val="1"/>
    </font>
    <font>
      <sz val="12"/>
      <name val="Aptos Narrow"/>
      <family val="2"/>
      <charset val="1"/>
    </font>
    <font>
      <b/>
      <sz val="12"/>
      <name val="Aptos Narrow"/>
      <family val="2"/>
      <charset val="1"/>
    </font>
    <font>
      <b/>
      <sz val="12"/>
      <color theme="0"/>
      <name val="Aptos Narrow"/>
      <family val="2"/>
      <charset val="1"/>
    </font>
    <font>
      <sz val="11"/>
      <name val="Aptos"/>
      <family val="2"/>
      <charset val="1"/>
    </font>
    <font>
      <sz val="12"/>
      <color rgb="FF000000"/>
      <name val="Aptos Narrow"/>
      <family val="2"/>
      <charset val="1"/>
    </font>
    <font>
      <b/>
      <sz val="11"/>
      <color theme="1"/>
      <name val="Aptos Narrow"/>
      <family val="2"/>
      <charset val="1"/>
    </font>
    <font>
      <sz val="11"/>
      <color rgb="FFFF0000"/>
      <name val="Aptos Narrow"/>
      <family val="2"/>
      <charset val="1"/>
    </font>
    <font>
      <sz val="11"/>
      <color rgb="FFFF0000"/>
      <name val="DejaVu Sans"/>
      <family val="2"/>
    </font>
    <font>
      <sz val="11"/>
      <color rgb="FFFF0000"/>
      <name val="DejaVu Sans"/>
      <family val="2"/>
      <charset val="1"/>
    </font>
    <font>
      <sz val="11"/>
      <color rgb="FF7030A0"/>
      <name val="DejaVu Sans"/>
      <family val="2"/>
    </font>
    <font>
      <sz val="11"/>
      <color rgb="FF7030A0"/>
      <name val="Aptos Narrow"/>
      <family val="2"/>
      <charset val="1"/>
    </font>
    <font>
      <sz val="11"/>
      <color theme="7" tint="0.39988402966399123"/>
      <name val="Aptos Narrow"/>
      <family val="2"/>
      <charset val="1"/>
    </font>
    <font>
      <sz val="11"/>
      <color theme="7" tint="0.39988402966399123"/>
      <name val="DejaVu Sans"/>
      <family val="2"/>
    </font>
    <font>
      <b/>
      <sz val="12"/>
      <name val="DejaVu Sans"/>
      <family val="2"/>
    </font>
    <font>
      <b/>
      <sz val="12"/>
      <name val="DejaVu Sans"/>
      <family val="2"/>
      <charset val="1"/>
    </font>
  </fonts>
  <fills count="7">
    <fill>
      <patternFill patternType="none"/>
    </fill>
    <fill>
      <patternFill patternType="gray125"/>
    </fill>
    <fill>
      <patternFill patternType="solid">
        <fgColor rgb="FFFFFF00"/>
        <bgColor rgb="FFFFFF00"/>
      </patternFill>
    </fill>
    <fill>
      <patternFill patternType="solid">
        <fgColor rgb="FF800000"/>
        <bgColor rgb="FF800000"/>
      </patternFill>
    </fill>
    <fill>
      <patternFill patternType="solid">
        <fgColor rgb="FFC0C0C0"/>
        <bgColor rgb="FFD9D9D9"/>
      </patternFill>
    </fill>
    <fill>
      <patternFill patternType="solid">
        <fgColor theme="1" tint="0.24988555558946501"/>
        <bgColor rgb="FF333300"/>
      </patternFill>
    </fill>
    <fill>
      <patternFill patternType="solid">
        <fgColor rgb="FFD9D9D9"/>
        <bgColor rgb="FFC0C0C0"/>
      </patternFill>
    </fill>
  </fills>
  <borders count="16">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top/>
      <bottom style="thick">
        <color theme="0"/>
      </bottom>
      <diagonal/>
    </border>
    <border>
      <left style="thick">
        <color theme="0"/>
      </left>
      <right style="thick">
        <color theme="0"/>
      </right>
      <top style="thick">
        <color theme="0"/>
      </top>
      <bottom/>
      <diagonal/>
    </border>
    <border>
      <left style="thick">
        <color theme="0"/>
      </left>
      <right style="thick">
        <color theme="0"/>
      </right>
      <top style="thick">
        <color theme="0"/>
      </top>
      <bottom style="hair">
        <color auto="1"/>
      </bottom>
      <diagonal/>
    </border>
    <border>
      <left style="thick">
        <color theme="0"/>
      </left>
      <right style="thick">
        <color theme="0"/>
      </right>
      <top style="thick">
        <color theme="0"/>
      </top>
      <bottom style="thick">
        <color theme="0"/>
      </bottom>
      <diagonal/>
    </border>
    <border>
      <left style="medium">
        <color theme="0"/>
      </left>
      <right style="medium">
        <color theme="0"/>
      </right>
      <top style="medium">
        <color theme="0"/>
      </top>
      <bottom style="medium">
        <color theme="0"/>
      </bottom>
      <diagonal/>
    </border>
    <border>
      <left style="thick">
        <color theme="0"/>
      </left>
      <right/>
      <top style="thick">
        <color theme="0"/>
      </top>
      <bottom style="thick">
        <color theme="0"/>
      </bottom>
      <diagonal/>
    </border>
    <border>
      <left style="thick">
        <color theme="0"/>
      </left>
      <right style="thick">
        <color theme="0"/>
      </right>
      <top/>
      <bottom/>
      <diagonal/>
    </border>
    <border>
      <left style="thin">
        <color theme="0"/>
      </left>
      <right style="thin">
        <color theme="0"/>
      </right>
      <top style="medium">
        <color theme="0"/>
      </top>
      <bottom style="hair">
        <color auto="1"/>
      </bottom>
      <diagonal/>
    </border>
    <border>
      <left/>
      <right/>
      <top style="hair">
        <color auto="1"/>
      </top>
      <bottom style="hair">
        <color auto="1"/>
      </bottom>
      <diagonal/>
    </border>
    <border>
      <left/>
      <right/>
      <top/>
      <bottom style="hair">
        <color auto="1"/>
      </bottom>
      <diagonal/>
    </border>
    <border>
      <left/>
      <right/>
      <top style="thin">
        <color auto="1"/>
      </top>
      <bottom/>
      <diagonal/>
    </border>
    <border>
      <left/>
      <right/>
      <top/>
      <bottom style="thin">
        <color auto="1"/>
      </bottom>
      <diagonal/>
    </border>
  </borders>
  <cellStyleXfs count="1">
    <xf numFmtId="0" fontId="0" fillId="0" borderId="0"/>
  </cellStyleXfs>
  <cellXfs count="112">
    <xf numFmtId="0" fontId="0" fillId="0" borderId="0" xfId="0"/>
    <xf numFmtId="164" fontId="9" fillId="3" borderId="8" xfId="0" applyNumberFormat="1"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1" fillId="0" borderId="0" xfId="0" applyFont="1" applyAlignment="1">
      <alignment vertical="center" wrapText="1"/>
    </xf>
    <xf numFmtId="164" fontId="1" fillId="0" borderId="0" xfId="0" applyNumberFormat="1" applyFont="1" applyAlignment="1">
      <alignment vertical="center" wrapText="1"/>
    </xf>
    <xf numFmtId="9" fontId="1" fillId="0" borderId="0" xfId="0" applyNumberFormat="1" applyFont="1" applyAlignment="1">
      <alignment vertical="center" wrapText="1"/>
    </xf>
    <xf numFmtId="165" fontId="1" fillId="0" borderId="0" xfId="0" applyNumberFormat="1" applyFont="1" applyAlignment="1">
      <alignment vertical="center" wrapText="1"/>
    </xf>
    <xf numFmtId="0" fontId="1" fillId="0" borderId="0" xfId="0" applyFont="1" applyAlignment="1">
      <alignment horizontal="left" vertical="center" wrapText="1"/>
    </xf>
    <xf numFmtId="0" fontId="1" fillId="0" borderId="0" xfId="0" applyFont="1" applyAlignment="1">
      <alignment vertical="center"/>
    </xf>
    <xf numFmtId="0" fontId="2" fillId="2" borderId="0" xfId="0" applyFont="1" applyFill="1" applyAlignment="1">
      <alignment vertical="center" wrapText="1"/>
    </xf>
    <xf numFmtId="0" fontId="2" fillId="0" borderId="0" xfId="0" applyFont="1" applyAlignment="1">
      <alignment vertical="center"/>
    </xf>
    <xf numFmtId="0" fontId="3" fillId="0" borderId="0" xfId="0" applyFont="1" applyAlignment="1">
      <alignment vertical="center"/>
    </xf>
    <xf numFmtId="164" fontId="2" fillId="0" borderId="0" xfId="0" applyNumberFormat="1" applyFont="1" applyAlignment="1">
      <alignment vertical="center"/>
    </xf>
    <xf numFmtId="164" fontId="3" fillId="0" borderId="0" xfId="0" applyNumberFormat="1" applyFont="1" applyAlignment="1">
      <alignment vertical="center"/>
    </xf>
    <xf numFmtId="165" fontId="3" fillId="0" borderId="0" xfId="0" applyNumberFormat="1" applyFont="1" applyAlignment="1">
      <alignment vertical="center"/>
    </xf>
    <xf numFmtId="9" fontId="3" fillId="0" borderId="0" xfId="0" applyNumberFormat="1" applyFont="1" applyAlignment="1">
      <alignment vertical="center"/>
    </xf>
    <xf numFmtId="0" fontId="2" fillId="0" borderId="0" xfId="0" applyFont="1" applyAlignment="1">
      <alignment horizontal="left" vertical="center" wrapText="1"/>
    </xf>
    <xf numFmtId="0" fontId="4" fillId="3" borderId="3" xfId="0" applyFont="1" applyFill="1" applyBorder="1" applyAlignment="1">
      <alignment horizontal="center" vertical="center" wrapText="1"/>
    </xf>
    <xf numFmtId="0" fontId="6" fillId="3" borderId="0" xfId="0" applyFont="1" applyFill="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vertical="center"/>
    </xf>
    <xf numFmtId="0" fontId="4" fillId="3" borderId="5" xfId="0" applyFont="1" applyFill="1" applyBorder="1" applyAlignment="1">
      <alignment vertical="center" wrapText="1"/>
    </xf>
    <xf numFmtId="0" fontId="4" fillId="3" borderId="10" xfId="0" applyFont="1" applyFill="1" applyBorder="1" applyAlignment="1">
      <alignment vertical="center" wrapText="1"/>
    </xf>
    <xf numFmtId="0" fontId="8" fillId="4" borderId="5" xfId="0" applyFont="1" applyFill="1" applyBorder="1" applyAlignment="1">
      <alignment horizontal="center" vertical="center" wrapText="1"/>
    </xf>
    <xf numFmtId="164" fontId="8" fillId="4" borderId="5" xfId="0" applyNumberFormat="1" applyFont="1" applyFill="1" applyBorder="1" applyAlignment="1">
      <alignment horizontal="center" vertical="center" wrapText="1"/>
    </xf>
    <xf numFmtId="0" fontId="2" fillId="4" borderId="10" xfId="0"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9" fillId="5" borderId="12" xfId="0" applyFont="1" applyFill="1" applyBorder="1" applyAlignment="1">
      <alignment vertical="center"/>
    </xf>
    <xf numFmtId="0" fontId="8" fillId="5" borderId="12" xfId="0" applyFont="1" applyFill="1" applyBorder="1" applyAlignment="1">
      <alignment vertical="center" wrapText="1"/>
    </xf>
    <xf numFmtId="0" fontId="8" fillId="5" borderId="0" xfId="0" applyFont="1" applyFill="1" applyAlignment="1">
      <alignment horizontal="center" vertical="center"/>
    </xf>
    <xf numFmtId="39" fontId="7" fillId="5" borderId="0" xfId="0" applyNumberFormat="1" applyFont="1" applyFill="1" applyAlignment="1">
      <alignment horizontal="center" vertical="center"/>
    </xf>
    <xf numFmtId="166" fontId="7" fillId="5" borderId="0" xfId="0" applyNumberFormat="1" applyFont="1" applyFill="1" applyAlignment="1">
      <alignment horizontal="center" vertical="center"/>
    </xf>
    <xf numFmtId="164" fontId="7" fillId="5" borderId="0" xfId="0" applyNumberFormat="1" applyFont="1" applyFill="1" applyAlignment="1">
      <alignment horizontal="center" vertical="center"/>
    </xf>
    <xf numFmtId="9" fontId="7" fillId="5" borderId="0" xfId="0" applyNumberFormat="1" applyFont="1" applyFill="1" applyAlignment="1">
      <alignment horizontal="center" vertical="center"/>
    </xf>
    <xf numFmtId="0" fontId="7" fillId="0" borderId="0" xfId="0" applyFont="1" applyAlignment="1">
      <alignment horizontal="left" vertical="center"/>
    </xf>
    <xf numFmtId="0" fontId="8" fillId="0" borderId="12" xfId="0" applyFont="1" applyBorder="1" applyAlignment="1">
      <alignment vertical="center"/>
    </xf>
    <xf numFmtId="0" fontId="7" fillId="0" borderId="13" xfId="0" applyFont="1" applyBorder="1" applyAlignment="1">
      <alignment vertical="center" wrapText="1"/>
    </xf>
    <xf numFmtId="37" fontId="7" fillId="0" borderId="12" xfId="0" applyNumberFormat="1" applyFont="1" applyBorder="1" applyAlignment="1">
      <alignment horizontal="center" vertical="center" wrapText="1"/>
    </xf>
    <xf numFmtId="39" fontId="7" fillId="0" borderId="12" xfId="0" applyNumberFormat="1" applyFont="1" applyBorder="1" applyAlignment="1">
      <alignment horizontal="center" vertical="center" wrapText="1"/>
    </xf>
    <xf numFmtId="165" fontId="7" fillId="0" borderId="12" xfId="0" applyNumberFormat="1" applyFont="1" applyBorder="1" applyAlignment="1">
      <alignment horizontal="center" vertical="center" wrapText="1"/>
    </xf>
    <xf numFmtId="167" fontId="7" fillId="0" borderId="12" xfId="0" applyNumberFormat="1" applyFont="1" applyBorder="1" applyAlignment="1">
      <alignment horizontal="center" vertical="center" wrapText="1"/>
    </xf>
    <xf numFmtId="166" fontId="7" fillId="0" borderId="12" xfId="0" applyNumberFormat="1" applyFont="1" applyBorder="1" applyAlignment="1">
      <alignment horizontal="center" vertical="center" wrapText="1"/>
    </xf>
    <xf numFmtId="164" fontId="7" fillId="0" borderId="12" xfId="0" applyNumberFormat="1" applyFont="1" applyBorder="1" applyAlignment="1">
      <alignment horizontal="center" vertical="center" wrapText="1"/>
    </xf>
    <xf numFmtId="2" fontId="1" fillId="0" borderId="12" xfId="0" applyNumberFormat="1" applyFont="1" applyBorder="1" applyAlignment="1">
      <alignment horizontal="center" vertical="center" wrapText="1"/>
    </xf>
    <xf numFmtId="165" fontId="1" fillId="0" borderId="12" xfId="0" applyNumberFormat="1" applyFont="1" applyBorder="1" applyAlignment="1">
      <alignment horizontal="center" vertical="center" wrapText="1"/>
    </xf>
    <xf numFmtId="9" fontId="7" fillId="0" borderId="12" xfId="0" applyNumberFormat="1" applyFont="1" applyBorder="1" applyAlignment="1">
      <alignment horizontal="center" vertical="center" wrapText="1"/>
    </xf>
    <xf numFmtId="39" fontId="7" fillId="0" borderId="12" xfId="0" applyNumberFormat="1" applyFont="1" applyBorder="1" applyAlignment="1">
      <alignment horizontal="left" vertical="center" wrapText="1"/>
    </xf>
    <xf numFmtId="0" fontId="7" fillId="0" borderId="12" xfId="0" applyFont="1" applyBorder="1" applyAlignment="1">
      <alignment horizontal="center" vertical="center"/>
    </xf>
    <xf numFmtId="0" fontId="0" fillId="0" borderId="0" xfId="0" applyAlignment="1">
      <alignment vertical="center"/>
    </xf>
    <xf numFmtId="0" fontId="8" fillId="0" borderId="0" xfId="0" applyFont="1" applyAlignment="1">
      <alignment vertical="center"/>
    </xf>
    <xf numFmtId="0" fontId="10" fillId="0" borderId="0" xfId="0" applyFont="1" applyAlignment="1">
      <alignment vertical="center"/>
    </xf>
    <xf numFmtId="37" fontId="7" fillId="0" borderId="0" xfId="0" applyNumberFormat="1" applyFont="1" applyAlignment="1">
      <alignment horizontal="center" vertical="center" wrapText="1"/>
    </xf>
    <xf numFmtId="39" fontId="7" fillId="0" borderId="0" xfId="0" applyNumberFormat="1" applyFont="1" applyAlignment="1">
      <alignment horizontal="center" vertical="center" wrapText="1"/>
    </xf>
    <xf numFmtId="0" fontId="11" fillId="6" borderId="14" xfId="0" applyFont="1" applyFill="1" applyBorder="1" applyAlignment="1">
      <alignment horizontal="center" vertical="center" wrapText="1" readingOrder="1"/>
    </xf>
    <xf numFmtId="165" fontId="7" fillId="6" borderId="14" xfId="0" applyNumberFormat="1" applyFont="1" applyFill="1" applyBorder="1" applyAlignment="1">
      <alignment horizontal="center" vertical="center" wrapText="1"/>
    </xf>
    <xf numFmtId="167" fontId="7" fillId="6" borderId="14" xfId="0" applyNumberFormat="1" applyFont="1" applyFill="1" applyBorder="1" applyAlignment="1">
      <alignment horizontal="center" vertical="center" wrapText="1"/>
    </xf>
    <xf numFmtId="2" fontId="7" fillId="6" borderId="14" xfId="0" applyNumberFormat="1" applyFont="1" applyFill="1" applyBorder="1" applyAlignment="1">
      <alignment horizontal="center" vertical="center" wrapText="1"/>
    </xf>
    <xf numFmtId="168" fontId="7" fillId="6" borderId="14" xfId="0" applyNumberFormat="1" applyFont="1" applyFill="1" applyBorder="1" applyAlignment="1">
      <alignment horizontal="center" vertical="center" wrapText="1"/>
    </xf>
    <xf numFmtId="169" fontId="7" fillId="6" borderId="14" xfId="0" applyNumberFormat="1" applyFont="1" applyFill="1" applyBorder="1" applyAlignment="1">
      <alignment horizontal="center" vertical="center" wrapText="1"/>
    </xf>
    <xf numFmtId="9" fontId="7" fillId="6" borderId="14" xfId="0" applyNumberFormat="1" applyFont="1" applyFill="1" applyBorder="1" applyAlignment="1">
      <alignment horizontal="center" vertical="center" wrapText="1"/>
    </xf>
    <xf numFmtId="39" fontId="7" fillId="0" borderId="0" xfId="0" applyNumberFormat="1" applyFont="1" applyAlignment="1">
      <alignment horizontal="left" vertical="center" wrapText="1"/>
    </xf>
    <xf numFmtId="0" fontId="11" fillId="6" borderId="0" xfId="0" applyFont="1" applyFill="1" applyAlignment="1">
      <alignment horizontal="center" vertical="center" wrapText="1" readingOrder="1"/>
    </xf>
    <xf numFmtId="165" fontId="7" fillId="6" borderId="0" xfId="0" applyNumberFormat="1" applyFont="1" applyFill="1" applyAlignment="1">
      <alignment horizontal="center" vertical="center" wrapText="1"/>
    </xf>
    <xf numFmtId="167" fontId="7" fillId="6" borderId="0" xfId="0" applyNumberFormat="1" applyFont="1" applyFill="1" applyAlignment="1">
      <alignment horizontal="center" vertical="center" wrapText="1"/>
    </xf>
    <xf numFmtId="2" fontId="7" fillId="6" borderId="0" xfId="0" applyNumberFormat="1" applyFont="1" applyFill="1" applyAlignment="1">
      <alignment horizontal="center" vertical="center" wrapText="1"/>
    </xf>
    <xf numFmtId="168" fontId="7" fillId="6" borderId="0" xfId="0" applyNumberFormat="1" applyFont="1" applyFill="1" applyAlignment="1">
      <alignment horizontal="center" vertical="center" wrapText="1"/>
    </xf>
    <xf numFmtId="169" fontId="7" fillId="6" borderId="0" xfId="0" applyNumberFormat="1" applyFont="1" applyFill="1" applyAlignment="1">
      <alignment horizontal="center" vertical="center" wrapText="1"/>
    </xf>
    <xf numFmtId="9" fontId="7" fillId="6" borderId="0" xfId="0" applyNumberFormat="1" applyFont="1" applyFill="1" applyAlignment="1">
      <alignment horizontal="center" vertical="center" wrapText="1"/>
    </xf>
    <xf numFmtId="0" fontId="11" fillId="6" borderId="15" xfId="0" applyFont="1" applyFill="1" applyBorder="1" applyAlignment="1">
      <alignment horizontal="center" vertical="center" wrapText="1" readingOrder="1"/>
    </xf>
    <xf numFmtId="165" fontId="7" fillId="6" borderId="15" xfId="0" applyNumberFormat="1" applyFont="1" applyFill="1" applyBorder="1" applyAlignment="1">
      <alignment horizontal="center" vertical="center" wrapText="1"/>
    </xf>
    <xf numFmtId="167" fontId="7" fillId="6" borderId="15" xfId="0" applyNumberFormat="1" applyFont="1" applyFill="1" applyBorder="1" applyAlignment="1">
      <alignment horizontal="center" vertical="center" wrapText="1"/>
    </xf>
    <xf numFmtId="2" fontId="7" fillId="6" borderId="15" xfId="0" applyNumberFormat="1" applyFont="1" applyFill="1" applyBorder="1" applyAlignment="1">
      <alignment horizontal="center" vertical="center" wrapText="1"/>
    </xf>
    <xf numFmtId="168" fontId="7" fillId="6" borderId="15" xfId="0" applyNumberFormat="1" applyFont="1" applyFill="1" applyBorder="1" applyAlignment="1">
      <alignment horizontal="center" vertical="center" wrapText="1"/>
    </xf>
    <xf numFmtId="169" fontId="7" fillId="6" borderId="15" xfId="0" applyNumberFormat="1" applyFont="1" applyFill="1" applyBorder="1" applyAlignment="1">
      <alignment horizontal="center" vertical="center" wrapText="1"/>
    </xf>
    <xf numFmtId="9" fontId="7" fillId="6" borderId="15" xfId="0" applyNumberFormat="1" applyFont="1" applyFill="1" applyBorder="1" applyAlignment="1">
      <alignment horizontal="center" vertical="center" wrapText="1"/>
    </xf>
    <xf numFmtId="165" fontId="7" fillId="0" borderId="0" xfId="0" applyNumberFormat="1" applyFont="1" applyAlignment="1">
      <alignment horizontal="center" vertical="center" wrapText="1"/>
    </xf>
    <xf numFmtId="166" fontId="7" fillId="0" borderId="0" xfId="0" applyNumberFormat="1" applyFont="1" applyAlignment="1">
      <alignment horizontal="center" vertical="center" wrapText="1"/>
    </xf>
    <xf numFmtId="164" fontId="7" fillId="0" borderId="0" xfId="0" applyNumberFormat="1" applyFont="1" applyAlignment="1">
      <alignment horizontal="center" vertical="center" wrapText="1"/>
    </xf>
    <xf numFmtId="9" fontId="7" fillId="0" borderId="0" xfId="0" applyNumberFormat="1" applyFont="1" applyAlignment="1">
      <alignment horizontal="center" vertical="center" wrapText="1"/>
    </xf>
    <xf numFmtId="169" fontId="0" fillId="0" borderId="0" xfId="0" applyNumberFormat="1"/>
    <xf numFmtId="169" fontId="0" fillId="2" borderId="0" xfId="0" applyNumberFormat="1" applyFill="1" applyAlignment="1">
      <alignment wrapText="1"/>
    </xf>
    <xf numFmtId="169" fontId="0" fillId="0" borderId="0" xfId="0" applyNumberFormat="1" applyAlignment="1">
      <alignment wrapText="1"/>
    </xf>
    <xf numFmtId="169" fontId="12" fillId="2" borderId="0" xfId="0" applyNumberFormat="1" applyFont="1" applyFill="1" applyAlignment="1">
      <alignment wrapText="1"/>
    </xf>
    <xf numFmtId="0" fontId="13" fillId="0" borderId="0" xfId="0" applyFont="1"/>
    <xf numFmtId="169" fontId="13" fillId="0" borderId="0" xfId="0" applyNumberFormat="1" applyFont="1"/>
    <xf numFmtId="0" fontId="14" fillId="0" borderId="0" xfId="0" applyFont="1"/>
    <xf numFmtId="0" fontId="16" fillId="0" borderId="0" xfId="0" applyFont="1"/>
    <xf numFmtId="169" fontId="17" fillId="0" borderId="0" xfId="0" applyNumberFormat="1" applyFont="1"/>
    <xf numFmtId="0" fontId="17" fillId="0" borderId="0" xfId="0" applyFont="1"/>
    <xf numFmtId="0" fontId="18" fillId="0" borderId="0" xfId="0" applyFont="1"/>
    <xf numFmtId="0" fontId="19" fillId="0" borderId="0" xfId="0" applyFont="1"/>
    <xf numFmtId="169" fontId="18" fillId="0" borderId="0" xfId="0" applyNumberFormat="1" applyFont="1"/>
    <xf numFmtId="0" fontId="0" fillId="2" borderId="0" xfId="0" applyFill="1"/>
    <xf numFmtId="169" fontId="0" fillId="2" borderId="0" xfId="0" applyNumberFormat="1" applyFill="1"/>
    <xf numFmtId="0" fontId="20" fillId="0" borderId="12" xfId="0" applyFont="1" applyBorder="1" applyAlignment="1">
      <alignment vertical="center"/>
    </xf>
    <xf numFmtId="2" fontId="13" fillId="0" borderId="0" xfId="0" applyNumberFormat="1" applyFont="1"/>
    <xf numFmtId="0" fontId="2" fillId="4" borderId="7" xfId="0" applyFont="1" applyFill="1" applyBorder="1" applyAlignment="1">
      <alignment horizontal="center" vertical="center" wrapText="1"/>
    </xf>
    <xf numFmtId="9" fontId="2" fillId="4" borderId="7" xfId="0" applyNumberFormat="1" applyFont="1" applyFill="1" applyBorder="1" applyAlignment="1">
      <alignment horizontal="center" vertical="center" wrapText="1"/>
    </xf>
    <xf numFmtId="14" fontId="8" fillId="4" borderId="11" xfId="0" applyNumberFormat="1" applyFont="1" applyFill="1" applyBorder="1" applyAlignment="1">
      <alignment horizontal="center" vertical="center" wrapText="1"/>
    </xf>
    <xf numFmtId="9" fontId="2" fillId="4" borderId="9" xfId="0" applyNumberFormat="1" applyFont="1" applyFill="1" applyBorder="1" applyAlignment="1">
      <alignment horizontal="center" vertical="center" wrapText="1"/>
    </xf>
    <xf numFmtId="164" fontId="9" fillId="3" borderId="8" xfId="0" applyNumberFormat="1" applyFont="1" applyFill="1" applyBorder="1" applyAlignment="1">
      <alignment horizontal="center" vertical="center" wrapText="1"/>
    </xf>
    <xf numFmtId="0" fontId="4" fillId="3" borderId="7" xfId="0" applyFont="1" applyFill="1" applyBorder="1" applyAlignment="1">
      <alignment horizontal="center" vertical="center" wrapText="1"/>
    </xf>
    <xf numFmtId="164" fontId="4" fillId="3" borderId="7" xfId="0" applyNumberFormat="1" applyFont="1" applyFill="1" applyBorder="1" applyAlignment="1">
      <alignment horizontal="center" vertical="center" wrapText="1"/>
    </xf>
    <xf numFmtId="0" fontId="8" fillId="4" borderId="6"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61CBF4"/>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L36"/>
  <sheetViews>
    <sheetView topLeftCell="B13" zoomScaleNormal="100" workbookViewId="0">
      <selection activeCell="E31" sqref="E31:E36"/>
    </sheetView>
  </sheetViews>
  <sheetFormatPr defaultColWidth="10.26953125" defaultRowHeight="13" outlineLevelCol="1"/>
  <cols>
    <col min="1" max="1" width="41.453125" style="4" hidden="1" customWidth="1"/>
    <col min="2" max="2" width="27.26953125" style="4" customWidth="1"/>
    <col min="3" max="3" width="20.54296875" style="4" customWidth="1"/>
    <col min="4" max="4" width="20.54296875" style="4" hidden="1" customWidth="1"/>
    <col min="5" max="5" width="12.54296875" style="4" customWidth="1"/>
    <col min="6" max="6" width="12.54296875" style="4" hidden="1" customWidth="1" outlineLevel="1"/>
    <col min="7" max="9" width="12" style="4" hidden="1" customWidth="1" outlineLevel="1"/>
    <col min="10" max="10" width="13.7265625" style="4" customWidth="1" collapsed="1"/>
    <col min="11" max="11" width="10.1796875" style="4" hidden="1" customWidth="1" outlineLevel="1"/>
    <col min="12" max="12" width="10.1796875" style="4" customWidth="1" collapsed="1"/>
    <col min="13" max="13" width="10.1796875" style="4" hidden="1" customWidth="1" outlineLevel="1"/>
    <col min="14" max="14" width="10.1796875" style="4" customWidth="1" collapsed="1"/>
    <col min="15" max="15" width="10.1796875" style="4" hidden="1" customWidth="1" outlineLevel="1"/>
    <col min="16" max="16" width="10.1796875" style="4" customWidth="1" collapsed="1"/>
    <col min="17" max="17" width="12.1796875" style="4" customWidth="1"/>
    <col min="18" max="22" width="13.26953125" style="4" hidden="1" customWidth="1" outlineLevel="1"/>
    <col min="23" max="23" width="10.1796875" style="4" hidden="1" customWidth="1" outlineLevel="1"/>
    <col min="24" max="25" width="12.1796875" style="4" hidden="1" customWidth="1" outlineLevel="1"/>
    <col min="26" max="26" width="10.1796875" style="4" hidden="1" customWidth="1" outlineLevel="1"/>
    <col min="27" max="27" width="13.1796875" style="4" customWidth="1" collapsed="1"/>
    <col min="28" max="29" width="10.1796875" style="4" customWidth="1"/>
    <col min="30" max="30" width="8.81640625" style="4" customWidth="1"/>
    <col min="31" max="35" width="9" style="4" customWidth="1"/>
    <col min="36" max="36" width="12.1796875" style="4" customWidth="1"/>
    <col min="37" max="41" width="9" style="4" customWidth="1"/>
    <col min="42" max="42" width="9" style="4" hidden="1" customWidth="1"/>
    <col min="43" max="45" width="9" style="4" customWidth="1"/>
    <col min="46" max="46" width="10" style="5" hidden="1" customWidth="1"/>
    <col min="47" max="89" width="9" style="5" hidden="1" customWidth="1"/>
    <col min="90" max="95" width="12.26953125" style="4" hidden="1" customWidth="1"/>
    <col min="96" max="100" width="9" style="6" hidden="1" customWidth="1"/>
    <col min="101" max="103" width="10.54296875" style="4" hidden="1" customWidth="1"/>
    <col min="104" max="104" width="175.26953125" style="7" customWidth="1"/>
    <col min="105" max="105" width="9.81640625" style="7" customWidth="1"/>
    <col min="106" max="108" width="10.453125" style="4" customWidth="1"/>
    <col min="109" max="110" width="9" style="4" customWidth="1"/>
    <col min="111" max="111" width="12.453125" style="4" customWidth="1"/>
    <col min="112" max="114" width="9" style="4" customWidth="1"/>
    <col min="115" max="115" width="9.81640625" style="4" customWidth="1"/>
    <col min="116" max="116" width="99.453125" style="8" customWidth="1"/>
    <col min="117" max="16384" width="10.26953125" style="9"/>
  </cols>
  <sheetData>
    <row r="1" spans="1:116" s="11" customFormat="1" ht="15" customHeight="1">
      <c r="A1" s="10" t="s">
        <v>0</v>
      </c>
      <c r="B1" s="10" t="s">
        <v>1</v>
      </c>
      <c r="C1" s="10" t="s">
        <v>2</v>
      </c>
      <c r="D1" s="10"/>
      <c r="E1" s="11" t="s">
        <v>3</v>
      </c>
      <c r="F1" s="11" t="s">
        <v>4</v>
      </c>
      <c r="G1" s="11" t="s">
        <v>5</v>
      </c>
      <c r="H1" s="11" t="s">
        <v>6</v>
      </c>
      <c r="I1" s="11" t="s">
        <v>6</v>
      </c>
      <c r="J1" s="11" t="s">
        <v>7</v>
      </c>
      <c r="K1" s="11" t="s">
        <v>7</v>
      </c>
      <c r="L1" s="11" t="s">
        <v>8</v>
      </c>
      <c r="M1" s="11" t="s">
        <v>8</v>
      </c>
      <c r="N1" s="11" t="s">
        <v>9</v>
      </c>
      <c r="O1" s="11" t="s">
        <v>10</v>
      </c>
      <c r="P1" s="11" t="s">
        <v>11</v>
      </c>
      <c r="Q1" s="11" t="s">
        <v>12</v>
      </c>
      <c r="R1" s="12" t="s">
        <v>13</v>
      </c>
      <c r="S1" s="12" t="s">
        <v>14</v>
      </c>
      <c r="T1" s="12" t="s">
        <v>15</v>
      </c>
      <c r="U1" s="12" t="s">
        <v>16</v>
      </c>
      <c r="V1" s="12" t="s">
        <v>17</v>
      </c>
      <c r="W1" s="12" t="s">
        <v>18</v>
      </c>
      <c r="X1" s="12"/>
      <c r="Y1" s="12"/>
      <c r="Z1" s="12" t="s">
        <v>19</v>
      </c>
      <c r="AA1" s="12"/>
      <c r="AB1" s="12"/>
      <c r="AC1" s="12"/>
      <c r="AD1" s="11" t="s">
        <v>20</v>
      </c>
      <c r="AJ1" s="11" t="s">
        <v>21</v>
      </c>
      <c r="AM1" s="12" t="s">
        <v>22</v>
      </c>
      <c r="AT1" s="13" t="s">
        <v>23</v>
      </c>
      <c r="AU1" s="14" t="s">
        <v>24</v>
      </c>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5"/>
      <c r="CM1" s="15"/>
      <c r="CN1" s="15"/>
      <c r="CO1" s="15"/>
      <c r="CP1" s="15"/>
      <c r="CQ1" s="15"/>
      <c r="CR1" s="16"/>
      <c r="CS1" s="16"/>
      <c r="CT1" s="16"/>
      <c r="CU1" s="16"/>
      <c r="CV1" s="16"/>
      <c r="CW1" s="15"/>
      <c r="CX1" s="15"/>
      <c r="CY1" s="15"/>
      <c r="CZ1" s="17" t="s">
        <v>25</v>
      </c>
    </row>
    <row r="2" spans="1:116" ht="13.5" customHeight="1">
      <c r="AC2" s="4" t="s">
        <v>171</v>
      </c>
      <c r="AD2" s="4" t="s">
        <v>168</v>
      </c>
      <c r="AF2" s="4" t="s">
        <v>170</v>
      </c>
      <c r="AG2" s="4" t="s">
        <v>169</v>
      </c>
      <c r="CZ2" s="8"/>
      <c r="DA2" s="9"/>
      <c r="DB2" s="9"/>
      <c r="DC2" s="9"/>
      <c r="DD2" s="9"/>
      <c r="DE2" s="9"/>
      <c r="DF2" s="9"/>
      <c r="DG2" s="9"/>
      <c r="DH2" s="9"/>
      <c r="DI2" s="9"/>
      <c r="DJ2" s="9"/>
      <c r="DK2" s="9"/>
      <c r="DL2" s="9"/>
    </row>
    <row r="3" spans="1:116" s="21" customFormat="1" ht="16.5" customHeight="1">
      <c r="A3" s="109" t="s">
        <v>26</v>
      </c>
      <c r="B3" s="110" t="s">
        <v>27</v>
      </c>
      <c r="C3" s="111" t="s">
        <v>28</v>
      </c>
      <c r="D3" s="18"/>
      <c r="E3" s="111" t="s">
        <v>29</v>
      </c>
      <c r="F3" s="111"/>
      <c r="G3" s="111"/>
      <c r="H3" s="111"/>
      <c r="I3" s="111"/>
      <c r="J3" s="111"/>
      <c r="K3" s="111"/>
      <c r="L3" s="111"/>
      <c r="M3" s="111"/>
      <c r="N3" s="111"/>
      <c r="O3" s="111"/>
      <c r="P3" s="111"/>
      <c r="Q3" s="111"/>
      <c r="R3" s="111"/>
      <c r="S3" s="111"/>
      <c r="T3" s="111"/>
      <c r="U3" s="111"/>
      <c r="V3" s="111"/>
      <c r="W3" s="111"/>
      <c r="X3" s="111"/>
      <c r="Y3" s="111"/>
      <c r="Z3" s="111"/>
      <c r="AA3" s="3"/>
      <c r="AB3" s="3"/>
      <c r="AC3" s="3"/>
      <c r="AD3" s="111" t="s">
        <v>30</v>
      </c>
      <c r="AE3" s="111"/>
      <c r="AF3" s="111"/>
      <c r="AG3" s="111"/>
      <c r="AH3" s="111"/>
      <c r="AI3" s="111"/>
      <c r="AJ3" s="111"/>
      <c r="AK3" s="111"/>
      <c r="AL3" s="111"/>
      <c r="AM3" s="111"/>
      <c r="AN3" s="111"/>
      <c r="AO3" s="111"/>
      <c r="AP3" s="111"/>
      <c r="AQ3" s="111"/>
      <c r="AR3" s="111"/>
      <c r="AS3" s="111"/>
      <c r="AT3" s="111"/>
      <c r="AU3" s="111"/>
      <c r="AV3" s="111"/>
      <c r="AW3" s="106" t="s">
        <v>31</v>
      </c>
      <c r="AX3" s="106"/>
      <c r="AY3" s="106"/>
      <c r="AZ3" s="107" t="s">
        <v>32</v>
      </c>
      <c r="BA3" s="107"/>
      <c r="BB3" s="107"/>
      <c r="BC3" s="107"/>
      <c r="BD3" s="107"/>
      <c r="BE3" s="107"/>
      <c r="BF3" s="107"/>
      <c r="BG3" s="107"/>
      <c r="BH3" s="107"/>
      <c r="BI3" s="107"/>
      <c r="BJ3" s="107"/>
      <c r="BK3" s="107"/>
      <c r="BL3" s="107"/>
      <c r="BM3" s="107"/>
      <c r="BN3" s="107"/>
      <c r="BO3" s="107"/>
      <c r="BP3" s="107"/>
      <c r="BQ3" s="107"/>
      <c r="BR3" s="107"/>
      <c r="BS3" s="107"/>
      <c r="BT3" s="107"/>
      <c r="BU3" s="107"/>
      <c r="BV3" s="107"/>
      <c r="BW3" s="107"/>
      <c r="BX3" s="107"/>
      <c r="BY3" s="107"/>
      <c r="BZ3" s="107"/>
      <c r="CA3" s="107"/>
      <c r="CB3" s="107"/>
      <c r="CC3" s="107"/>
      <c r="CD3" s="107"/>
      <c r="CE3" s="107"/>
      <c r="CF3" s="107"/>
      <c r="CG3" s="107"/>
      <c r="CH3" s="3"/>
      <c r="CI3" s="3"/>
      <c r="CJ3" s="3"/>
      <c r="CK3" s="3"/>
      <c r="CL3" s="3"/>
      <c r="CM3" s="3"/>
      <c r="CN3" s="3"/>
      <c r="CO3" s="108"/>
      <c r="CP3" s="108"/>
      <c r="CQ3" s="108"/>
      <c r="CR3" s="108"/>
      <c r="CS3" s="108"/>
      <c r="CT3" s="108"/>
      <c r="CU3" s="108"/>
      <c r="CV3" s="108"/>
      <c r="CW3" s="19" t="s">
        <v>33</v>
      </c>
      <c r="CX3" s="19"/>
      <c r="CY3" s="19"/>
      <c r="CZ3" s="20"/>
    </row>
    <row r="4" spans="1:116" s="21" customFormat="1" ht="33" customHeight="1">
      <c r="A4" s="109"/>
      <c r="B4" s="110"/>
      <c r="C4" s="110"/>
      <c r="D4" s="22" t="s">
        <v>34</v>
      </c>
      <c r="E4" s="105" t="s">
        <v>35</v>
      </c>
      <c r="F4" s="105" t="s">
        <v>36</v>
      </c>
      <c r="G4" s="105" t="s">
        <v>37</v>
      </c>
      <c r="H4" s="105" t="s">
        <v>38</v>
      </c>
      <c r="I4" s="105" t="s">
        <v>39</v>
      </c>
      <c r="J4" s="105" t="s">
        <v>40</v>
      </c>
      <c r="K4" s="105" t="s">
        <v>41</v>
      </c>
      <c r="L4" s="105" t="s">
        <v>42</v>
      </c>
      <c r="M4" s="105" t="s">
        <v>43</v>
      </c>
      <c r="N4" s="105" t="s">
        <v>44</v>
      </c>
      <c r="O4" s="105" t="s">
        <v>45</v>
      </c>
      <c r="P4" s="105" t="s">
        <v>46</v>
      </c>
      <c r="Q4" s="105" t="s">
        <v>47</v>
      </c>
      <c r="R4" s="105" t="s">
        <v>48</v>
      </c>
      <c r="S4" s="105" t="s">
        <v>49</v>
      </c>
      <c r="T4" s="105" t="s">
        <v>50</v>
      </c>
      <c r="U4" s="105" t="s">
        <v>51</v>
      </c>
      <c r="V4" s="105" t="s">
        <v>52</v>
      </c>
      <c r="W4" s="105" t="s">
        <v>53</v>
      </c>
      <c r="X4" s="105" t="s">
        <v>54</v>
      </c>
      <c r="Y4" s="105" t="s">
        <v>55</v>
      </c>
      <c r="Z4" s="105" t="s">
        <v>56</v>
      </c>
      <c r="AA4" s="105" t="s">
        <v>57</v>
      </c>
      <c r="AB4" s="105" t="s">
        <v>58</v>
      </c>
      <c r="AC4" s="105" t="s">
        <v>59</v>
      </c>
      <c r="AD4" s="103" t="s">
        <v>60</v>
      </c>
      <c r="AE4" s="103"/>
      <c r="AF4" s="103"/>
      <c r="AG4" s="103" t="s">
        <v>61</v>
      </c>
      <c r="AH4" s="103"/>
      <c r="AI4" s="103"/>
      <c r="AJ4" s="103" t="s">
        <v>62</v>
      </c>
      <c r="AK4" s="103"/>
      <c r="AL4" s="103"/>
      <c r="AM4" s="103" t="s">
        <v>63</v>
      </c>
      <c r="AN4" s="103"/>
      <c r="AO4" s="103"/>
      <c r="AP4" s="103"/>
      <c r="AQ4" s="103" t="s">
        <v>64</v>
      </c>
      <c r="AR4" s="103"/>
      <c r="AS4" s="103"/>
      <c r="AT4" s="104" t="s">
        <v>65</v>
      </c>
      <c r="AU4" s="104"/>
      <c r="AV4" s="104"/>
      <c r="AW4" s="1" t="s">
        <v>66</v>
      </c>
      <c r="AX4" s="1" t="s">
        <v>67</v>
      </c>
      <c r="AY4" s="1" t="s">
        <v>68</v>
      </c>
      <c r="AZ4" s="102" t="s">
        <v>69</v>
      </c>
      <c r="BA4" s="102"/>
      <c r="BB4" s="102"/>
      <c r="BC4" s="102"/>
      <c r="BD4" s="102"/>
      <c r="BE4" s="102"/>
      <c r="BF4" s="102" t="s">
        <v>70</v>
      </c>
      <c r="BG4" s="102"/>
      <c r="BH4" s="102"/>
      <c r="BI4" s="102"/>
      <c r="BJ4" s="102"/>
      <c r="BK4" s="102"/>
      <c r="BL4" s="102" t="s">
        <v>66</v>
      </c>
      <c r="BM4" s="102"/>
      <c r="BN4" s="102"/>
      <c r="BO4" s="102"/>
      <c r="BP4" s="102"/>
      <c r="BQ4" s="102"/>
      <c r="BR4" s="102" t="s">
        <v>67</v>
      </c>
      <c r="BS4" s="102"/>
      <c r="BT4" s="102"/>
      <c r="BU4" s="102"/>
      <c r="BV4" s="102"/>
      <c r="BW4" s="102"/>
      <c r="BX4" s="102" t="s">
        <v>68</v>
      </c>
      <c r="BY4" s="102"/>
      <c r="BZ4" s="102"/>
      <c r="CA4" s="102"/>
      <c r="CB4" s="102"/>
      <c r="CC4" s="102"/>
      <c r="CD4" s="102" t="s">
        <v>71</v>
      </c>
      <c r="CE4" s="102"/>
      <c r="CF4" s="102"/>
      <c r="CG4" s="102"/>
      <c r="CH4" s="102" t="s">
        <v>72</v>
      </c>
      <c r="CI4" s="102"/>
      <c r="CJ4" s="102"/>
      <c r="CK4" s="102"/>
      <c r="CL4" s="99" t="s">
        <v>73</v>
      </c>
      <c r="CM4" s="99" t="s">
        <v>74</v>
      </c>
      <c r="CN4" s="99" t="s">
        <v>75</v>
      </c>
      <c r="CO4" s="99" t="s">
        <v>76</v>
      </c>
      <c r="CP4" s="99" t="s">
        <v>77</v>
      </c>
      <c r="CQ4" s="99" t="s">
        <v>78</v>
      </c>
      <c r="CR4" s="99" t="s">
        <v>79</v>
      </c>
      <c r="CS4" s="99" t="s">
        <v>80</v>
      </c>
      <c r="CT4" s="99" t="s">
        <v>81</v>
      </c>
      <c r="CU4" s="101" t="s">
        <v>82</v>
      </c>
      <c r="CV4" s="99" t="s">
        <v>83</v>
      </c>
      <c r="CW4" s="98" t="s">
        <v>84</v>
      </c>
      <c r="CX4" s="98" t="s">
        <v>85</v>
      </c>
      <c r="CY4" s="98" t="s">
        <v>86</v>
      </c>
      <c r="CZ4" s="20"/>
    </row>
    <row r="5" spans="1:116" s="28" customFormat="1" ht="16.5" customHeight="1">
      <c r="A5" s="109"/>
      <c r="B5" s="110"/>
      <c r="C5" s="110"/>
      <c r="D5" s="23"/>
      <c r="E5" s="105"/>
      <c r="F5" s="105"/>
      <c r="G5" s="105"/>
      <c r="H5" s="105"/>
      <c r="I5" s="105"/>
      <c r="J5" s="105"/>
      <c r="K5" s="105"/>
      <c r="L5" s="105"/>
      <c r="M5" s="105"/>
      <c r="N5" s="105"/>
      <c r="O5" s="105"/>
      <c r="P5" s="105"/>
      <c r="Q5" s="105"/>
      <c r="R5" s="105"/>
      <c r="S5" s="105"/>
      <c r="T5" s="105"/>
      <c r="U5" s="105"/>
      <c r="V5" s="105"/>
      <c r="W5" s="105"/>
      <c r="X5" s="105"/>
      <c r="Y5" s="105"/>
      <c r="Z5" s="105"/>
      <c r="AA5" s="105"/>
      <c r="AB5" s="105"/>
      <c r="AC5" s="105"/>
      <c r="AD5" s="24" t="s">
        <v>167</v>
      </c>
      <c r="AE5" s="24" t="s">
        <v>88</v>
      </c>
      <c r="AF5" s="24" t="s">
        <v>89</v>
      </c>
      <c r="AG5" s="24" t="s">
        <v>167</v>
      </c>
      <c r="AH5" s="24" t="s">
        <v>88</v>
      </c>
      <c r="AI5" s="24" t="s">
        <v>89</v>
      </c>
      <c r="AJ5" s="24" t="s">
        <v>87</v>
      </c>
      <c r="AK5" s="24" t="s">
        <v>88</v>
      </c>
      <c r="AL5" s="24" t="s">
        <v>89</v>
      </c>
      <c r="AM5" s="24" t="s">
        <v>87</v>
      </c>
      <c r="AN5" s="24" t="s">
        <v>88</v>
      </c>
      <c r="AO5" s="24" t="s">
        <v>89</v>
      </c>
      <c r="AP5" s="24" t="s">
        <v>89</v>
      </c>
      <c r="AQ5" s="24" t="s">
        <v>87</v>
      </c>
      <c r="AR5" s="24" t="s">
        <v>88</v>
      </c>
      <c r="AS5" s="24" t="s">
        <v>89</v>
      </c>
      <c r="AT5" s="25" t="s">
        <v>87</v>
      </c>
      <c r="AU5" s="24" t="s">
        <v>88</v>
      </c>
      <c r="AV5" s="24" t="s">
        <v>89</v>
      </c>
      <c r="AW5" s="100" t="s">
        <v>90</v>
      </c>
      <c r="AX5" s="100"/>
      <c r="AY5" s="100"/>
      <c r="AZ5" s="26" t="s">
        <v>91</v>
      </c>
      <c r="BA5" s="26" t="s">
        <v>92</v>
      </c>
      <c r="BB5" s="26" t="s">
        <v>93</v>
      </c>
      <c r="BC5" s="26" t="s">
        <v>94</v>
      </c>
      <c r="BD5" s="26" t="s">
        <v>95</v>
      </c>
      <c r="BE5" s="26" t="s">
        <v>96</v>
      </c>
      <c r="BF5" s="26" t="s">
        <v>91</v>
      </c>
      <c r="BG5" s="26" t="s">
        <v>92</v>
      </c>
      <c r="BH5" s="26" t="s">
        <v>93</v>
      </c>
      <c r="BI5" s="26" t="s">
        <v>94</v>
      </c>
      <c r="BJ5" s="26" t="s">
        <v>95</v>
      </c>
      <c r="BK5" s="26" t="s">
        <v>96</v>
      </c>
      <c r="BL5" s="26" t="s">
        <v>91</v>
      </c>
      <c r="BM5" s="26" t="s">
        <v>92</v>
      </c>
      <c r="BN5" s="26" t="s">
        <v>93</v>
      </c>
      <c r="BO5" s="26" t="s">
        <v>94</v>
      </c>
      <c r="BP5" s="26" t="s">
        <v>95</v>
      </c>
      <c r="BQ5" s="26" t="s">
        <v>96</v>
      </c>
      <c r="BR5" s="26" t="s">
        <v>91</v>
      </c>
      <c r="BS5" s="26" t="s">
        <v>92</v>
      </c>
      <c r="BT5" s="26" t="s">
        <v>93</v>
      </c>
      <c r="BU5" s="26" t="s">
        <v>94</v>
      </c>
      <c r="BV5" s="26" t="s">
        <v>95</v>
      </c>
      <c r="BW5" s="26" t="s">
        <v>96</v>
      </c>
      <c r="BX5" s="26" t="s">
        <v>91</v>
      </c>
      <c r="BY5" s="26" t="s">
        <v>92</v>
      </c>
      <c r="BZ5" s="26" t="s">
        <v>93</v>
      </c>
      <c r="CA5" s="26" t="s">
        <v>94</v>
      </c>
      <c r="CB5" s="26" t="s">
        <v>95</v>
      </c>
      <c r="CC5" s="26" t="s">
        <v>96</v>
      </c>
      <c r="CD5" s="26" t="s">
        <v>93</v>
      </c>
      <c r="CE5" s="26" t="s">
        <v>94</v>
      </c>
      <c r="CF5" s="26" t="s">
        <v>95</v>
      </c>
      <c r="CG5" s="26" t="s">
        <v>96</v>
      </c>
      <c r="CH5" s="26" t="s">
        <v>93</v>
      </c>
      <c r="CI5" s="26" t="s">
        <v>94</v>
      </c>
      <c r="CJ5" s="26" t="s">
        <v>95</v>
      </c>
      <c r="CK5" s="26" t="s">
        <v>96</v>
      </c>
      <c r="CL5" s="99"/>
      <c r="CM5" s="99"/>
      <c r="CN5" s="99"/>
      <c r="CO5" s="99"/>
      <c r="CP5" s="99"/>
      <c r="CQ5" s="99"/>
      <c r="CR5" s="99"/>
      <c r="CS5" s="99"/>
      <c r="CT5" s="99"/>
      <c r="CU5" s="101"/>
      <c r="CV5" s="99"/>
      <c r="CW5" s="99"/>
      <c r="CX5" s="99"/>
      <c r="CY5" s="99"/>
      <c r="CZ5" s="20"/>
      <c r="DA5" s="27"/>
      <c r="DB5" s="27"/>
      <c r="DC5" s="27"/>
    </row>
    <row r="6" spans="1:116" s="28" customFormat="1" ht="15.75" customHeight="1">
      <c r="A6" s="29"/>
      <c r="B6" s="30"/>
      <c r="C6" s="30"/>
      <c r="D6" s="30"/>
      <c r="E6" s="30"/>
      <c r="F6" s="30"/>
      <c r="G6" s="30"/>
      <c r="H6" s="31"/>
      <c r="I6" s="31"/>
      <c r="J6" s="31"/>
      <c r="K6" s="31"/>
      <c r="L6" s="31"/>
      <c r="M6" s="31"/>
      <c r="N6" s="31"/>
      <c r="O6" s="31"/>
      <c r="P6" s="32"/>
      <c r="Q6" s="32"/>
      <c r="R6" s="32"/>
      <c r="S6" s="32"/>
      <c r="T6" s="32"/>
      <c r="U6" s="32"/>
      <c r="V6" s="32"/>
      <c r="W6" s="32"/>
      <c r="X6" s="32"/>
      <c r="Y6" s="32"/>
      <c r="Z6" s="32"/>
      <c r="AA6" s="32"/>
      <c r="AB6" s="32"/>
      <c r="AC6" s="32"/>
      <c r="AD6" s="33"/>
      <c r="AE6" s="33"/>
      <c r="AF6" s="33"/>
      <c r="AG6" s="33"/>
      <c r="AH6" s="33"/>
      <c r="AI6" s="33"/>
      <c r="AJ6" s="33"/>
      <c r="AK6" s="33"/>
      <c r="AL6" s="33"/>
      <c r="AM6" s="33"/>
      <c r="AN6" s="33"/>
      <c r="AO6" s="33"/>
      <c r="AP6" s="33"/>
      <c r="AQ6" s="33"/>
      <c r="AR6" s="33"/>
      <c r="AS6" s="33"/>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3"/>
      <c r="CM6" s="33"/>
      <c r="CN6" s="33"/>
      <c r="CO6" s="33"/>
      <c r="CP6" s="33"/>
      <c r="CQ6" s="33"/>
      <c r="CR6" s="35"/>
      <c r="CS6" s="35"/>
      <c r="CT6" s="35"/>
      <c r="CU6" s="35"/>
      <c r="CV6" s="35"/>
      <c r="CW6" s="33"/>
      <c r="CX6" s="33"/>
      <c r="CY6" s="33"/>
      <c r="CZ6" s="36"/>
    </row>
    <row r="7" spans="1:116" s="49" customFormat="1" ht="31.5" customHeight="1">
      <c r="A7" s="37" t="e">
        <f ca="1">_xll.BDP($C7,"security name")</f>
        <v>#NAME?</v>
      </c>
      <c r="B7" s="37" t="e">
        <f ca="1">_xll.BDP($C7,"NAME_CHINESE_SIMPLIFIED")</f>
        <v>#NAME?</v>
      </c>
      <c r="C7" s="38" t="s">
        <v>97</v>
      </c>
      <c r="D7" s="39" t="e">
        <f ca="1">_xll.BDP($C7,"LISTING_DATE")</f>
        <v>#NAME?</v>
      </c>
      <c r="E7" s="39" t="e">
        <f ca="1">_xll.BDP($C7,E$1,"EQY_FUND_CRNCY="&amp;$B$1)</f>
        <v>#NAME?</v>
      </c>
      <c r="F7" s="39" t="e">
        <f ca="1">_xll.BDP($C7,F$1,"EQY_FUND_CRNCY="&amp;$C$1)</f>
        <v>#NAME?</v>
      </c>
      <c r="G7" s="40" t="e">
        <f ca="1">_xll.BDP($C7,G$1)</f>
        <v>#NAME?</v>
      </c>
      <c r="H7" s="39" t="e">
        <f ca="1">_xll.BDP($C7,H$1,"EQY_FUND_CRNCY="&amp;$B$1)</f>
        <v>#NAME?</v>
      </c>
      <c r="I7" s="39" t="e">
        <f ca="1">_xll.BDP($C7,I$1,"EQY_FUND_CRNCY="&amp;$C$1)</f>
        <v>#NAME?</v>
      </c>
      <c r="J7" s="39" t="e">
        <f ca="1">_xll.BDP($C7,J$1,"EQY_FUND_CRNCY="&amp;$B$1)</f>
        <v>#NAME?</v>
      </c>
      <c r="K7" s="39" t="e">
        <f ca="1">_xll.BDP($C7,K$1,"EQY_FUND_CRNCY="&amp;$C$1)</f>
        <v>#NAME?</v>
      </c>
      <c r="L7" s="39" t="e">
        <f ca="1">_xll.BDP($C7,L$1,"EQY_FUND_CRNCY="&amp;$B$1)</f>
        <v>#NAME?</v>
      </c>
      <c r="M7" s="39" t="e">
        <f ca="1">_xll.BDP($C7,M$1,"EQY_FUND_CRNCY="&amp;$C$1)</f>
        <v>#NAME?</v>
      </c>
      <c r="N7" s="41" t="e">
        <f ca="1">_xll.BDP($C7,N$1)/100</f>
        <v>#NAME?</v>
      </c>
      <c r="O7" s="41" t="e">
        <f ca="1">_xll.BDP($C7,O$1)/100</f>
        <v>#NAME?</v>
      </c>
      <c r="P7" s="41" t="e">
        <f ca="1">_xll.BDP($C7,P$1)/100</f>
        <v>#NAME?</v>
      </c>
      <c r="Q7" s="41" t="e">
        <f ca="1">_xll.BDP($C7,Q$1)/100</f>
        <v>#NAME?</v>
      </c>
      <c r="R7" s="41" t="e">
        <f ca="1">_xll.BDP($C7,R$1)/100</f>
        <v>#NAME?</v>
      </c>
      <c r="S7" s="41" t="e">
        <f ca="1">_xll.BDP($C7,S$1)/100</f>
        <v>#NAME?</v>
      </c>
      <c r="T7" s="41" t="e">
        <f ca="1">_xll.BDP($C7,T$1)/100</f>
        <v>#NAME?</v>
      </c>
      <c r="U7" s="41" t="e">
        <f ca="1">_xll.BDP($C7,U$1)/100</f>
        <v>#NAME?</v>
      </c>
      <c r="V7" s="41" t="e">
        <f ca="1">_xll.BDP($C7,V$1)/100</f>
        <v>#NAME?</v>
      </c>
      <c r="W7" s="41" t="e">
        <f ca="1">_xll.BDP($C7,W$1)/100</f>
        <v>#NAME?</v>
      </c>
      <c r="X7" s="42" t="e">
        <f t="array" aca="1" ref="X7" ca="1">_xll.BDP($C7,"CRNCY_ADJ_CURR_EV", "EQY_FUND_CRNCY=HKD")</f>
        <v>#NAME?</v>
      </c>
      <c r="Y7" s="42" t="e">
        <f t="array" aca="1" ref="Y7" ca="1">_xll.BDP($C7,"CRNCY_ADJ_CURR_EV", "EQY_FUND_CRNCY=USD")</f>
        <v>#NAME?</v>
      </c>
      <c r="Z7" s="41" t="e">
        <f ca="1">_xll.BDP($C7,Z$1)/100</f>
        <v>#NAME?</v>
      </c>
      <c r="AA7" s="42" t="e">
        <f ca="1">_xll.BDP($C7,"TRAIL_12M_NET_SALES","EQY_FUND_CRNCY=HKD")</f>
        <v>#NAME?</v>
      </c>
      <c r="AB7" s="42" t="e">
        <f ca="1">_xll.BDP($C7,"TRAIL_12M_NET_INC","EQY_FUND_CRNCY=HKD")</f>
        <v>#NAME?</v>
      </c>
      <c r="AC7" s="42" t="e">
        <f ca="1">_xll.BDP($C7,"TRAIL_12M_EBITDA","EQY_FUND_CRNCY=HKD")</f>
        <v>#NAME?</v>
      </c>
      <c r="AD7" s="43" t="e" cm="1">
        <f t="array" aca="1" ref="AD7" ca="1">_xll.BQL($C7, "PE_RATIO(FPT=BA, FPR=2025, FYE=C1231, AE=E)")</f>
        <v>#NAME?</v>
      </c>
      <c r="AE7" s="43" t="e">
        <f t="array" aca="1" ref="AE7" ca="1">_xll.BQL($C7, "PE_RATIO(FPT=BA, FPR=2026, FYE=C1231, AE=E)")</f>
        <v>#NAME?</v>
      </c>
      <c r="AF7" s="43" t="e">
        <f t="array" aca="1" ref="AF7" ca="1">_xll.BQL($C7, "PE_RATIO(FPT=BA, FPR=2027, FYE=C1231, AE=E)")</f>
        <v>#NAME?</v>
      </c>
      <c r="AG7" s="43" t="e" cm="1">
        <f t="array" aca="1" ref="AG7" ca="1">_xll.BQL($C7, "PX_TO_SALES_RATIO(FPT=BA, FPR=2025, FYE=C1231, AE=E)")</f>
        <v>#NAME?</v>
      </c>
      <c r="AH7" s="43" t="e">
        <f t="array" aca="1" ref="AH7" ca="1">_xll.BQL($C7, "PX_TO_SALES_RATIO(FPT=BA, FPR=2026, FYE=C1231, AE=E)")</f>
        <v>#NAME?</v>
      </c>
      <c r="AI7" s="43" t="e">
        <f t="array" aca="1" ref="AI7" ca="1">_xll.BQL($C7, "PX_TO_SALES_RATIO(FPT=BA, FPR=2027, FYE=C1231, AE=E)")</f>
        <v>#NAME?</v>
      </c>
      <c r="AJ7" s="43" t="e">
        <f t="shared" ref="AJ7:AJ15" ca="1" si="0">IF(AC7&lt;0,"N/A",$X7/AC7)</f>
        <v>#NAME?</v>
      </c>
      <c r="AK7" s="43" t="e">
        <f t="array" aca="1" ref="AK7" ca="1">IF(_xll.BQL($C7, "CURR_ENTP_VAL(FPT=A,FPO=0)/EBITDA(FPT=BA, FPR=2026, FYE=C1231, AE=E)")&lt;0,"N/A",_xll.BQL($C7, "CURR_ENTP_VAL(FPT=A,FPO=0)/EBITDA(FPT=BA, FPR=2026, FYE=C1231, AE=E)"))</f>
        <v>#NAME?</v>
      </c>
      <c r="AL7" s="43" t="e">
        <f t="array" aca="1" ref="AL7" ca="1">IF(_xll.BQL($C7, "CURR_ENTP_VAL(FPT=A,FPO=0)/EBITDA(FPT=BA, FPR=2027, FYE=C1231, AE=E)")&lt;0,"N/A",_xll.BQL($C7, "CURR_ENTP_VAL(FPT=A,FPO=0)/EBITDA(FPT=BA, FPR=2027, FYE=C1231, AE=E)"))</f>
        <v>#NAME?</v>
      </c>
      <c r="AM7" s="43" t="e">
        <f ca="1">_xll.BDP($C7,AM$1)</f>
        <v>#NAME?</v>
      </c>
      <c r="AN7" s="43" t="e">
        <f t="array" aca="1" ref="AN7" ca="1">_xll.BQL($C7, "PX_TO_BOOK_RATIO(FPT=BA, FPR=2026, FYE=C1231, AE=E)")</f>
        <v>#NAME?</v>
      </c>
      <c r="AO7" s="43" t="e">
        <f t="array" aca="1" ref="AO7" ca="1">_xll.BQL($C7, "PX_TO_BOOK_RATIO(FPT=BA, FPR=2027, FYE=C1231, AE=E)")</f>
        <v>#NAME?</v>
      </c>
      <c r="AP7" s="43" t="e">
        <f ca="1">_xll.BDP($C7,"BEST Px bps ratio","BEST fperiod override","27Y")</f>
        <v>#NAME?</v>
      </c>
      <c r="AQ7" s="41" t="e">
        <f t="shared" ref="AQ7:AQ15" ca="1" si="1">Z7</f>
        <v>#NAME?</v>
      </c>
      <c r="AR7" s="41" t="e">
        <f ca="1">_xll.BDP($C7,"BEST_ROE","BEST fperiod override","26Y")/100</f>
        <v>#NAME?</v>
      </c>
      <c r="AS7" s="41" t="e">
        <f ca="1">_xll.BDP($C7,"BEST_ROE","BEST fperiod override","27Y")/100</f>
        <v>#NAME?</v>
      </c>
      <c r="AT7" s="44" t="e">
        <f ca="1">_xll.BDP($C7,AT$1)</f>
        <v>#NAME?</v>
      </c>
      <c r="AU7" s="44" t="e">
        <f ca="1">_xll.BDP($C7,$AU$1,"BEST fperiod override","26Y")</f>
        <v>#NAME?</v>
      </c>
      <c r="AV7" s="44" t="e">
        <f ca="1">_xll.BDP($C7,$AU$1,"BEST fperiod override","27Y")</f>
        <v>#NAME?</v>
      </c>
      <c r="AW7" s="44" t="e">
        <f t="shared" ref="AW7:AW15" ca="1" si="2">(BP7/BN7)^(1/2)-1</f>
        <v>#NAME?</v>
      </c>
      <c r="AX7" s="44" t="e">
        <f t="shared" ref="AX7:AX15" ca="1" si="3">(BV7/BT7)^(1/2)-1</f>
        <v>#NAME?</v>
      </c>
      <c r="AY7" s="44" t="e">
        <f t="shared" ref="AY7:AY15" ca="1" si="4">(CB7/BZ7)^(1/2)-1</f>
        <v>#NAME?</v>
      </c>
      <c r="AZ7" s="45" t="e">
        <f t="array" aca="1" ref="AZ7" ca="1">_xll.BQL($C7, "CF_CASH_FROM_OPER(FPT=BA, FPR=2022, FYE=C1231, AE=A)", "currency=USD")/1000000000</f>
        <v>#NAME?</v>
      </c>
      <c r="BA7" s="45" t="e">
        <f t="array" aca="1" ref="BA7" ca="1">_xll.BQL($C7, "CF_CASH_FROM_OPER(FPT=BA, FPR=2023, FYE=C1231, AE=A)", "currency=USD")/1000000000</f>
        <v>#NAME?</v>
      </c>
      <c r="BB7" s="45" t="e">
        <f t="array" aca="1" ref="BB7" ca="1">_xll.BQL($C7, "CF_CASH_FROM_OPER(FPT=BA, FPR=2024, FYE=C1231, AE=A)", "currency=USD")/1000000000</f>
        <v>#NAME?</v>
      </c>
      <c r="BC7" s="45" t="e">
        <f t="array" aca="1" ref="BC7" ca="1">_xll.BQL($C7, "CF_CASH_FROM_OPER(FPT=BA, FPR=2025, FYE=C1231, AE=E)", "currency=USD")/1000000000</f>
        <v>#NAME?</v>
      </c>
      <c r="BD7" s="45" t="e">
        <f t="array" aca="1" ref="BD7" ca="1">_xll.BQL($C7, "CF_CASH_FROM_OPER(FPT=BA, FPR=2026, FYE=C1231, AE=E)", "currency=USD")/1000000000</f>
        <v>#NAME?</v>
      </c>
      <c r="BE7" s="45" t="e">
        <f t="array" aca="1" ref="BE7" ca="1">_xll.BQL($C7, "CF_CASH_FROM_OPER(FPT=BA, FPR=2027, FYE=C1231, AE=E)", "currency=USD")/1000000000</f>
        <v>#NAME?</v>
      </c>
      <c r="BF7" s="45" t="e">
        <f t="array" aca="1" ref="BF7" ca="1">_xll.BQL($C7, "CF_FREE_CASH_FLOW(FPT=BA, FPR=2022, FYE=C1231, AE=A)", "currency=USD")/1000000000</f>
        <v>#NAME?</v>
      </c>
      <c r="BG7" s="45" t="e">
        <f t="array" aca="1" ref="BG7" ca="1">_xll.BQL($C7, "CF_FREE_CASH_FLOW(FPT=BA, FPR=2023, FYE=C1231, AE=A)", "currency=USD")/1000000000</f>
        <v>#NAME?</v>
      </c>
      <c r="BH7" s="45" t="e">
        <f t="array" aca="1" ref="BH7" ca="1">_xll.BQL($C7, "CF_FREE_CASH_FLOW(FPT=BA, FPR=2024, FYE=C1231, AE=A)", "currency=USD")/1000000000</f>
        <v>#NAME?</v>
      </c>
      <c r="BI7" s="45" t="e">
        <f t="array" aca="1" ref="BI7" ca="1">_xll.BQL($C7, "CF_FREE_CASH_FLOW(FPT=BA, FPR=2025, FYE=C1231, AE=E)", "currency=USD")/1000000000</f>
        <v>#NAME?</v>
      </c>
      <c r="BJ7" s="45" t="e">
        <f t="array" aca="1" ref="BJ7" ca="1">_xll.BQL($C7, "CF_FREE_CASH_FLOW(FPT=BA, FPR=2026, FYE=C1231, AE=E)", "currency=USD")/1000000000</f>
        <v>#NAME?</v>
      </c>
      <c r="BK7" s="45" t="e">
        <f t="array" aca="1" ref="BK7" ca="1">_xll.BQL($C7, "CF_FREE_CASH_FLOW(FPT=BA, FPR=2027, FYE=C1231, AE=E)", "currency=USD")/1000000000</f>
        <v>#NAME?</v>
      </c>
      <c r="BL7" s="45" t="e">
        <f t="array" aca="1" ref="BL7" ca="1">_xll.BQL($C7, "SALES_REV_TURN(FPT=BA, FPR=2022, FYE=C1231, AE=A)", "currency=USD")/1000000000</f>
        <v>#NAME?</v>
      </c>
      <c r="BM7" s="45" t="e">
        <f t="array" aca="1" ref="BM7" ca="1">_xll.BQL($C7, "SALES_REV_TURN(FPT=BA, FPR=2023, FYE=C1231, AE=A)", "currency=USD")/1000000000</f>
        <v>#NAME?</v>
      </c>
      <c r="BN7" s="45" t="e">
        <f t="array" aca="1" ref="BN7" ca="1">_xll.BQL($C7, "SALES_REV_TURN(FPT=BA, FPR=2024, FYE=C1231, AE=A)", "currency=USD")/1000000000</f>
        <v>#NAME?</v>
      </c>
      <c r="BO7" s="45" t="e">
        <f t="array" aca="1" ref="BO7" ca="1">_xll.BQL($C7, "SALES_REV_TURN(FPT=BA, FPR=2025, FYE=C1231, AE=E)", "currency=USD")/1000000000</f>
        <v>#NAME?</v>
      </c>
      <c r="BP7" s="45" t="e">
        <f t="array" aca="1" ref="BP7" ca="1">_xll.BQL($C7, "SALES_REV_TURN(FPT=BA, FPR=2026, FYE=C1231, AE=E)", "currency=USD")/1000000000</f>
        <v>#NAME?</v>
      </c>
      <c r="BQ7" s="45" t="e">
        <f t="array" aca="1" ref="BQ7" ca="1">_xll.BQL($C7, "SALES_REV_TURN(FPT=BA, FPR=2027, FYE=C1231, AE=E)", "currency=USD")/1000000000</f>
        <v>#NAME?</v>
      </c>
      <c r="BR7" s="45" t="e">
        <f t="array" aca="1" ref="BR7" ca="1">_xll.BQL($C7, "EBITDA(FPT=BA, FPR=2022, FYE=C1231, AE=A)", "currency=USD")/1000000000</f>
        <v>#NAME?</v>
      </c>
      <c r="BS7" s="45" t="e">
        <f t="array" aca="1" ref="BS7" ca="1">_xll.BQL($C7, "EBITDA(FPT=BA, FPR=2023, FYE=C1231, AE=A)", "currency=USD")/1000000000</f>
        <v>#NAME?</v>
      </c>
      <c r="BT7" s="45" t="e">
        <f t="array" aca="1" ref="BT7" ca="1">_xll.BQL($C7, "EBITDA(FPT=BA, FPR=2024, FYE=C1231, AE=A)", "currency=USD")/1000000000</f>
        <v>#NAME?</v>
      </c>
      <c r="BU7" s="45" t="e">
        <f t="array" aca="1" ref="BU7" ca="1">_xll.BQL($C7, "EBITDA(FPT=BA, FPR=2025, FYE=C1231, AE=E)", "currency=USD")/1000000000</f>
        <v>#NAME?</v>
      </c>
      <c r="BV7" s="45" t="e">
        <f t="array" aca="1" ref="BV7" ca="1">_xll.BQL($C7, "EBITDA(FPT=BA, FPR=2026, FYE=C1231, AE=E)", "currency=USD")/1000000000</f>
        <v>#NAME?</v>
      </c>
      <c r="BW7" s="45" t="e">
        <f t="array" aca="1" ref="BW7" ca="1">_xll.BQL($C7, "EBITDA(FPT=BA, FPR=2027, FYE=C1231, AE=E)", "currency=USD")/1000000000</f>
        <v>#NAME?</v>
      </c>
      <c r="BX7" s="45" t="e">
        <f t="array" aca="1" ref="BX7" ca="1">_xll.BQL($C7, "NET_INCOME(FPT=BA, FPR=2022, FYE=C1231, AE=A)", "currency=USD")/1000000000</f>
        <v>#NAME?</v>
      </c>
      <c r="BY7" s="45" t="e">
        <f t="array" aca="1" ref="BY7" ca="1">_xll.BQL($C7, "NET_INCOME(FPT=BA, FPR=2023, FYE=C1231, AE=A)", "currency=USD")/1000000000</f>
        <v>#NAME?</v>
      </c>
      <c r="BZ7" s="45" t="e">
        <f t="array" aca="1" ref="BZ7" ca="1">_xll.BQL($C7, "NET_INCOME(FPT=BA, FPR=2024, FYE=C1231, AE=A)", "currency=USD")/1000000000</f>
        <v>#NAME?</v>
      </c>
      <c r="CA7" s="45" t="e">
        <f t="array" aca="1" ref="CA7" ca="1">_xll.BQL($C7, "NET_INCOME(FPT=BA, FPR=2025, FYE=C1231, AE=E)", "currency=USD")/1000000000</f>
        <v>#NAME?</v>
      </c>
      <c r="CB7" s="45" t="e">
        <f t="array" aca="1" ref="CB7" ca="1">_xll.BQL($C7, "NET_INCOME(FPT=BA, FPR=2026, FYE=C1231, AE=E)", "currency=USD")/1000000000</f>
        <v>#NAME?</v>
      </c>
      <c r="CC7" s="45" t="e">
        <f t="array" aca="1" ref="CC7" ca="1">_xll.BQL($C7, "NET_INCOME(FPT=BA, FPR=2027, FYE=C1231, AE=E)", "currency=USD")/1000000000</f>
        <v>#NAME?</v>
      </c>
      <c r="CD7" s="45" t="e">
        <f t="array" aca="1" ref="CD7" ca="1">-_xll.BQL($C7, "CF_DVD_PAID(FPT=BA, FPR=2024, FYE=C1231, AE=A)", "currency=USD")/1000000000</f>
        <v>#NAME?</v>
      </c>
      <c r="CE7" s="45" t="e">
        <f t="array" aca="1" ref="CE7" ca="1">-_xll.BQL($C7, "CF_DVD_PAID(FPT=BA, FPR=2025, FYE=C1231, AE=E)", "currency=USD")/1000000000</f>
        <v>#NAME?</v>
      </c>
      <c r="CF7" s="45" t="e">
        <f t="array" aca="1" ref="CF7" ca="1">-_xll.BQL($C7, "CF_DVD_PAID(FPT=BA, FPR=2026, FYE=C1231, AE=E)", "currency=USD")/1000000000</f>
        <v>#NAME?</v>
      </c>
      <c r="CG7" s="45" t="e">
        <f t="array" aca="1" ref="CG7" ca="1">-_xll.BQL($C7, "CF_DVD_PAID(FPT=BA, FPR=2027, FYE=C1231, AE=E)", "currency=USD")/1000000000</f>
        <v>#NAME?</v>
      </c>
      <c r="CH7" s="46" t="e">
        <f t="shared" ref="CH7:CH15" ca="1" si="5">CD7/$F7</f>
        <v>#NAME?</v>
      </c>
      <c r="CI7" s="46" t="e">
        <f t="shared" ref="CI7:CI15" ca="1" si="6">CE7/$F7</f>
        <v>#NAME?</v>
      </c>
      <c r="CJ7" s="46" t="e">
        <f t="shared" ref="CJ7:CJ15" ca="1" si="7">CF7/$F7</f>
        <v>#NAME?</v>
      </c>
      <c r="CK7" s="46" t="e">
        <f t="shared" ref="CK7:CK15" ca="1" si="8">CG7/$F7</f>
        <v>#NAME?</v>
      </c>
      <c r="CL7" s="43" t="e">
        <f t="array" aca="1" ref="CL7" ca="1">_xll.BDP($C7,"INTERVAL_AVG", "MARKET_DATA_OVERRIDE=turnover", "CALC_INTERVAL=5D","CRNCY=HKD")/1000000</f>
        <v>#NAME?</v>
      </c>
      <c r="CM7" s="43" t="e">
        <f t="array" aca="1" ref="CM7" ca="1">_xll.BDP($C7,"INTERVAL_AVG", "MARKET_DATA_OVERRIDE=turnover", "CALC_INTERVAL=10D","CRNCY=HKD")/1000000</f>
        <v>#NAME?</v>
      </c>
      <c r="CN7" s="43" t="e">
        <f t="array" aca="1" ref="CN7" ca="1">_xll.BDP($C7,"INTERVAL_AVG", "MARKET_DATA_OVERRIDE=turnover", "CALC_INTERVAL=20D","CRNCY=HKD")/1000000</f>
        <v>#NAME?</v>
      </c>
      <c r="CO7" s="43" t="e">
        <f t="array" aca="1" ref="CO7" ca="1">_xll.BDP($C7,"INTERVAL_AVG", "MARKET_DATA_OVERRIDE=turnover", "CALC_INTERVAL=1m","CRNCY=HKD")/1000000</f>
        <v>#NAME?</v>
      </c>
      <c r="CP7" s="43" t="e">
        <f t="array" aca="1" ref="CP7" ca="1">_xll.BDP($C7,"INTERVAL_AVG", "MARKET_DATA_OVERRIDE=turnover", "CALC_INTERVAL=3M","CRNCY=HKD")/1000000</f>
        <v>#NAME?</v>
      </c>
      <c r="CQ7" s="43" t="e">
        <f t="array" aca="1" ref="CQ7" ca="1">_xll.BDP($C7,"INTERVAL_AVG", "MARKET_DATA_OVERRIDE=turnover", "CALC_INTERVAL=6M","CRNCY=HKD")/1000000</f>
        <v>#NAME?</v>
      </c>
      <c r="CR7" s="47" t="e">
        <f ca="1">_xll.BDP($C7,"chg pct 1m")/100</f>
        <v>#NAME?</v>
      </c>
      <c r="CS7" s="47" t="e">
        <f ca="1">_xll.BDP($C7,"chg pct 3m")/100</f>
        <v>#NAME?</v>
      </c>
      <c r="CT7" s="47" t="e">
        <f ca="1">_xll.BDP($C7,"chg pct 6m")/100</f>
        <v>#NAME?</v>
      </c>
      <c r="CU7" s="47" t="e">
        <f ca="1">_xll.BDP($C7,"chg pct 1yr")/100</f>
        <v>#NAME?</v>
      </c>
      <c r="CV7" s="47" t="e">
        <f ca="1">_xll.BDP($C7,"chg pct ytd")/100</f>
        <v>#NAME?</v>
      </c>
      <c r="CW7" s="41" t="e">
        <f t="array" aca="1" ref="CW7" ca="1">_xll.BQL($C7, "volatility(calc_interval=range(-1M, 0D))")</f>
        <v>#NAME?</v>
      </c>
      <c r="CX7" s="41" t="e">
        <f t="array" aca="1" ref="CX7" ca="1">_xll.BQL($C7, "volatility(calc_interval=range(-3M, 0D))")</f>
        <v>#NAME?</v>
      </c>
      <c r="CY7" s="41" t="e">
        <f t="array" aca="1" ref="CY7" ca="1">_xll.BQL($C7, "volatility(calc_interval=range(-6M, 0D))")</f>
        <v>#NAME?</v>
      </c>
      <c r="CZ7" s="48" t="e">
        <f ca="1">_xll.BDP($C7,CZ$1)</f>
        <v>#NAME?</v>
      </c>
    </row>
    <row r="8" spans="1:116" s="49" customFormat="1" ht="47.25" customHeight="1">
      <c r="A8" s="37" t="e">
        <f ca="1">_xll.BDP($C8,"security name")</f>
        <v>#NAME?</v>
      </c>
      <c r="B8" s="37" t="e">
        <f ca="1">_xll.BDP($C8,"NAME_CHINESE_SIMPLIFIED")</f>
        <v>#NAME?</v>
      </c>
      <c r="C8" s="38" t="s">
        <v>98</v>
      </c>
      <c r="D8" s="39" t="e">
        <f ca="1">_xll.BDP($C8,"LISTING_DATE")</f>
        <v>#NAME?</v>
      </c>
      <c r="E8" s="39" t="e">
        <f ca="1">_xll.BDP($C8,E$1,"EQY_FUND_CRNCY="&amp;$B$1)</f>
        <v>#NAME?</v>
      </c>
      <c r="F8" s="39" t="e">
        <f ca="1">_xll.BDP($C8,F$1,"EQY_FUND_CRNCY="&amp;$C$1)</f>
        <v>#NAME?</v>
      </c>
      <c r="G8" s="40" t="e">
        <f ca="1">_xll.BDP($C8,G$1)</f>
        <v>#NAME?</v>
      </c>
      <c r="H8" s="39" t="e">
        <f ca="1">_xll.BDP($C8,H$1,"EQY_FUND_CRNCY="&amp;$B$1)</f>
        <v>#NAME?</v>
      </c>
      <c r="I8" s="39" t="e">
        <f ca="1">_xll.BDP($C8,I$1,"EQY_FUND_CRNCY="&amp;$C$1)</f>
        <v>#NAME?</v>
      </c>
      <c r="J8" s="39" t="e">
        <f ca="1">_xll.BDP($C8,J$1,"EQY_FUND_CRNCY="&amp;$B$1)</f>
        <v>#NAME?</v>
      </c>
      <c r="K8" s="39" t="e">
        <f ca="1">_xll.BDP($C8,K$1,"EQY_FUND_CRNCY="&amp;$C$1)</f>
        <v>#NAME?</v>
      </c>
      <c r="L8" s="39" t="e">
        <f ca="1">_xll.BDP($C8,L$1,"EQY_FUND_CRNCY="&amp;$B$1)</f>
        <v>#NAME?</v>
      </c>
      <c r="M8" s="39" t="e">
        <f ca="1">_xll.BDP($C8,M$1,"EQY_FUND_CRNCY="&amp;$C$1)</f>
        <v>#NAME?</v>
      </c>
      <c r="N8" s="41" t="e">
        <f ca="1">_xll.BDP($C8,N$1)/100</f>
        <v>#NAME?</v>
      </c>
      <c r="O8" s="41" t="e">
        <f ca="1">_xll.BDP($C8,O$1)/100</f>
        <v>#NAME?</v>
      </c>
      <c r="P8" s="41" t="e">
        <f ca="1">_xll.BDP($C8,P$1)/100</f>
        <v>#NAME?</v>
      </c>
      <c r="Q8" s="41" t="e">
        <f ca="1">_xll.BDP($C8,Q$1)/100</f>
        <v>#NAME?</v>
      </c>
      <c r="R8" s="41" t="e">
        <f ca="1">_xll.BDP($C8,R$1)/100</f>
        <v>#NAME?</v>
      </c>
      <c r="S8" s="41" t="e">
        <f ca="1">_xll.BDP($C8,S$1)/100</f>
        <v>#NAME?</v>
      </c>
      <c r="T8" s="41" t="e">
        <f ca="1">_xll.BDP($C8,T$1)/100</f>
        <v>#NAME?</v>
      </c>
      <c r="U8" s="41" t="e">
        <f ca="1">_xll.BDP($C8,U$1)/100</f>
        <v>#NAME?</v>
      </c>
      <c r="V8" s="41" t="e">
        <f ca="1">_xll.BDP($C8,V$1)/100</f>
        <v>#NAME?</v>
      </c>
      <c r="W8" s="41" t="e">
        <f ca="1">_xll.BDP($C8,W$1)/100</f>
        <v>#NAME?</v>
      </c>
      <c r="X8" s="42" t="e">
        <f t="array" aca="1" ref="X8" ca="1">_xll.BDP($C8,"CRNCY_ADJ_CURR_EV", "EQY_FUND_CRNCY=HKD")</f>
        <v>#NAME?</v>
      </c>
      <c r="Y8" s="42" t="e">
        <f t="array" aca="1" ref="Y8" ca="1">_xll.BDP($C8,"CRNCY_ADJ_CURR_EV", "EQY_FUND_CRNCY=USD")</f>
        <v>#NAME?</v>
      </c>
      <c r="Z8" s="41" t="e">
        <f ca="1">_xll.BDP($C8,Z$1)/100</f>
        <v>#NAME?</v>
      </c>
      <c r="AA8" s="42" t="e">
        <f ca="1">_xll.BDP($C8,"TRAIL_12M_NET_SALES","EQY_FUND_CRNCY=HKD")</f>
        <v>#NAME?</v>
      </c>
      <c r="AB8" s="42" t="e">
        <f ca="1">_xll.BDP($C8,"TRAIL_12M_NET_INC","EQY_FUND_CRNCY=HKD")</f>
        <v>#NAME?</v>
      </c>
      <c r="AC8" s="42" t="e">
        <f ca="1">_xll.BDP($C8,"TRAIL_12M_EBITDA","EQY_FUND_CRNCY=HKD")</f>
        <v>#NAME?</v>
      </c>
      <c r="AD8" s="43" t="e" cm="1">
        <f t="array" aca="1" ref="AD8" ca="1">_xll.BQL($C8, "PE_RATIO(FPT=BA, FPR=2025, FYE=C1231, AE=E)")</f>
        <v>#NAME?</v>
      </c>
      <c r="AE8" s="43" t="e">
        <f t="array" aca="1" ref="AE8" ca="1">_xll.BQL($C8, "PE_RATIO(FPT=BA, FPR=2026, FYE=C1231, AE=E)")</f>
        <v>#NAME?</v>
      </c>
      <c r="AF8" s="43" t="e">
        <f t="array" aca="1" ref="AF8" ca="1">_xll.BQL($C8, "PE_RATIO(FPT=BA, FPR=2027, FYE=C1231, AE=E)")</f>
        <v>#NAME?</v>
      </c>
      <c r="AG8" s="43" t="e" cm="1">
        <f t="array" aca="1" ref="AG8" ca="1">_xll.BQL($C8, "PX_TO_SALES_RATIO(FPT=BA, FPR=2025, FYE=C1231, AE=E)")</f>
        <v>#NAME?</v>
      </c>
      <c r="AH8" s="43" t="e">
        <f t="array" aca="1" ref="AH8" ca="1">_xll.BQL($C8, "PX_TO_SALES_RATIO(FPT=BA, FPR=2026, FYE=C1231, AE=E)")</f>
        <v>#NAME?</v>
      </c>
      <c r="AI8" s="43" t="e">
        <f t="array" aca="1" ref="AI8" ca="1">_xll.BQL($C8, "PX_TO_SALES_RATIO(FPT=BA, FPR=2027, FYE=C1231, AE=E)")</f>
        <v>#NAME?</v>
      </c>
      <c r="AJ8" s="43" t="e">
        <f t="shared" ca="1" si="0"/>
        <v>#NAME?</v>
      </c>
      <c r="AK8" s="43" t="e">
        <f t="array" aca="1" ref="AK8" ca="1">IF(_xll.BQL($C8, "CURR_ENTP_VAL(FPT=A,FPO=0)/EBITDA(FPT=BA, FPR=2026, FYE=C1231, AE=E)")&lt;0,"N/A",_xll.BQL($C8, "CURR_ENTP_VAL(FPT=A,FPO=0)/EBITDA(FPT=BA, FPR=2026, FYE=C1231, AE=E)"))</f>
        <v>#NAME?</v>
      </c>
      <c r="AL8" s="43" t="e">
        <f t="array" aca="1" ref="AL8" ca="1">IF(_xll.BQL($C8, "CURR_ENTP_VAL(FPT=A,FPO=0)/EBITDA(FPT=BA, FPR=2027, FYE=C1231, AE=E)")&lt;0,"N/A",_xll.BQL($C8, "CURR_ENTP_VAL(FPT=A,FPO=0)/EBITDA(FPT=BA, FPR=2027, FYE=C1231, AE=E)"))</f>
        <v>#NAME?</v>
      </c>
      <c r="AM8" s="43" t="e">
        <f ca="1">_xll.BDP($C8,AM$1)</f>
        <v>#NAME?</v>
      </c>
      <c r="AN8" s="43" t="e">
        <f t="array" aca="1" ref="AN8" ca="1">_xll.BQL($C8, "PX_TO_BOOK_RATIO(FPT=BA, FPR=2026, FYE=C1231, AE=E)")</f>
        <v>#NAME?</v>
      </c>
      <c r="AO8" s="43" t="e">
        <f t="array" aca="1" ref="AO8" ca="1">_xll.BQL($C8, "PX_TO_BOOK_RATIO(FPT=BA, FPR=2027, FYE=C1231, AE=E)")</f>
        <v>#NAME?</v>
      </c>
      <c r="AP8" s="43" t="e">
        <f ca="1">_xll.BDP($C8,"BEST Px bps ratio","BEST fperiod override","27Y")</f>
        <v>#NAME?</v>
      </c>
      <c r="AQ8" s="41" t="e">
        <f t="shared" ca="1" si="1"/>
        <v>#NAME?</v>
      </c>
      <c r="AR8" s="41" t="e">
        <f ca="1">_xll.BDP($C8,"BEST_ROE","BEST fperiod override","26Y")/100</f>
        <v>#NAME?</v>
      </c>
      <c r="AS8" s="41" t="e">
        <f ca="1">_xll.BDP($C8,"BEST_ROE","BEST fperiod override","27Y")/100</f>
        <v>#NAME?</v>
      </c>
      <c r="AT8" s="44" t="e">
        <f ca="1">_xll.BDP($C8,AT$1)</f>
        <v>#NAME?</v>
      </c>
      <c r="AU8" s="44" t="e">
        <f ca="1">_xll.BDP($C8,$AU$1,"BEST fperiod override","26Y")</f>
        <v>#NAME?</v>
      </c>
      <c r="AV8" s="44" t="e">
        <f ca="1">_xll.BDP($C8,$AU$1,"BEST fperiod override","27Y")</f>
        <v>#NAME?</v>
      </c>
      <c r="AW8" s="44" t="e">
        <f t="shared" ca="1" si="2"/>
        <v>#NAME?</v>
      </c>
      <c r="AX8" s="44" t="e">
        <f t="shared" ca="1" si="3"/>
        <v>#NAME?</v>
      </c>
      <c r="AY8" s="44" t="e">
        <f t="shared" ca="1" si="4"/>
        <v>#NAME?</v>
      </c>
      <c r="AZ8" s="45" t="e">
        <f t="array" aca="1" ref="AZ8" ca="1">_xll.BQL($C8, "CF_CASH_FROM_OPER(FPT=BA, FPR=2022, FYE=C1231, AE=A)", "currency=USD")/1000000000</f>
        <v>#NAME?</v>
      </c>
      <c r="BA8" s="45" t="e">
        <f t="array" aca="1" ref="BA8" ca="1">_xll.BQL($C8, "CF_CASH_FROM_OPER(FPT=BA, FPR=2023, FYE=C1231, AE=A)", "currency=USD")/1000000000</f>
        <v>#NAME?</v>
      </c>
      <c r="BB8" s="45" t="e">
        <f t="array" aca="1" ref="BB8" ca="1">_xll.BQL($C8, "CF_CASH_FROM_OPER(FPT=BA, FPR=2024, FYE=C1231, AE=A)", "currency=USD")/1000000000</f>
        <v>#NAME?</v>
      </c>
      <c r="BC8" s="45" t="e">
        <f t="array" aca="1" ref="BC8" ca="1">_xll.BQL($C8, "CF_CASH_FROM_OPER(FPT=BA, FPR=2025, FYE=C1231, AE=E)", "currency=USD")/1000000000</f>
        <v>#NAME?</v>
      </c>
      <c r="BD8" s="45" t="e">
        <f t="array" aca="1" ref="BD8" ca="1">_xll.BQL($C8, "CF_CASH_FROM_OPER(FPT=BA, FPR=2026, FYE=C1231, AE=E)", "currency=USD")/1000000000</f>
        <v>#NAME?</v>
      </c>
      <c r="BE8" s="45" t="e">
        <f t="array" aca="1" ref="BE8" ca="1">_xll.BQL($C8, "CF_CASH_FROM_OPER(FPT=BA, FPR=2027, FYE=C1231, AE=E)", "currency=USD")/1000000000</f>
        <v>#NAME?</v>
      </c>
      <c r="BF8" s="45" t="e">
        <f t="array" aca="1" ref="BF8" ca="1">_xll.BQL($C8, "CF_FREE_CASH_FLOW(FPT=BA, FPR=2022, FYE=C1231, AE=A)", "currency=USD")/1000000000</f>
        <v>#NAME?</v>
      </c>
      <c r="BG8" s="45" t="e">
        <f t="array" aca="1" ref="BG8" ca="1">_xll.BQL($C8, "CF_FREE_CASH_FLOW(FPT=BA, FPR=2023, FYE=C1231, AE=A)", "currency=USD")/1000000000</f>
        <v>#NAME?</v>
      </c>
      <c r="BH8" s="45" t="e">
        <f t="array" aca="1" ref="BH8" ca="1">_xll.BQL($C8, "CF_FREE_CASH_FLOW(FPT=BA, FPR=2024, FYE=C1231, AE=A)", "currency=USD")/1000000000</f>
        <v>#NAME?</v>
      </c>
      <c r="BI8" s="45" t="e">
        <f t="array" aca="1" ref="BI8" ca="1">_xll.BQL($C8, "CF_FREE_CASH_FLOW(FPT=BA, FPR=2025, FYE=C1231, AE=E)", "currency=USD")/1000000000</f>
        <v>#NAME?</v>
      </c>
      <c r="BJ8" s="45" t="e">
        <f t="array" aca="1" ref="BJ8" ca="1">_xll.BQL($C8, "CF_FREE_CASH_FLOW(FPT=BA, FPR=2026, FYE=C1231, AE=E)", "currency=USD")/1000000000</f>
        <v>#NAME?</v>
      </c>
      <c r="BK8" s="45" t="e">
        <f t="array" aca="1" ref="BK8" ca="1">_xll.BQL($C8, "CF_FREE_CASH_FLOW(FPT=BA, FPR=2027, FYE=C1231, AE=E)", "currency=USD")/1000000000</f>
        <v>#NAME?</v>
      </c>
      <c r="BL8" s="45" t="e">
        <f t="array" aca="1" ref="BL8" ca="1">_xll.BQL($C8, "SALES_REV_TURN(FPT=BA, FPR=2022, FYE=C1231, AE=A)", "currency=USD")/1000000000</f>
        <v>#NAME?</v>
      </c>
      <c r="BM8" s="45" t="e">
        <f t="array" aca="1" ref="BM8" ca="1">_xll.BQL($C8, "SALES_REV_TURN(FPT=BA, FPR=2023, FYE=C1231, AE=A)", "currency=USD")/1000000000</f>
        <v>#NAME?</v>
      </c>
      <c r="BN8" s="45" t="e">
        <f t="array" aca="1" ref="BN8" ca="1">_xll.BQL($C8, "SALES_REV_TURN(FPT=BA, FPR=2024, FYE=C1231, AE=A)", "currency=USD")/1000000000</f>
        <v>#NAME?</v>
      </c>
      <c r="BO8" s="45" t="e">
        <f t="array" aca="1" ref="BO8" ca="1">_xll.BQL($C8, "SALES_REV_TURN(FPT=BA, FPR=2025, FYE=C1231, AE=E)", "currency=USD")/1000000000</f>
        <v>#NAME?</v>
      </c>
      <c r="BP8" s="45" t="e">
        <f t="array" aca="1" ref="BP8" ca="1">_xll.BQL($C8, "SALES_REV_TURN(FPT=BA, FPR=2026, FYE=C1231, AE=E)", "currency=USD")/1000000000</f>
        <v>#NAME?</v>
      </c>
      <c r="BQ8" s="45" t="e">
        <f t="array" aca="1" ref="BQ8" ca="1">_xll.BQL($C8, "SALES_REV_TURN(FPT=BA, FPR=2027, FYE=C1231, AE=E)", "currency=USD")/1000000000</f>
        <v>#NAME?</v>
      </c>
      <c r="BR8" s="45" t="e">
        <f t="array" aca="1" ref="BR8" ca="1">_xll.BQL($C8, "EBITDA(FPT=BA, FPR=2022, FYE=C1231, AE=A)", "currency=USD")/1000000000</f>
        <v>#NAME?</v>
      </c>
      <c r="BS8" s="45" t="e">
        <f t="array" aca="1" ref="BS8" ca="1">_xll.BQL($C8, "EBITDA(FPT=BA, FPR=2023, FYE=C1231, AE=A)", "currency=USD")/1000000000</f>
        <v>#NAME?</v>
      </c>
      <c r="BT8" s="45" t="e">
        <f t="array" aca="1" ref="BT8" ca="1">_xll.BQL($C8, "EBITDA(FPT=BA, FPR=2024, FYE=C1231, AE=A)", "currency=USD")/1000000000</f>
        <v>#NAME?</v>
      </c>
      <c r="BU8" s="45" t="e">
        <f t="array" aca="1" ref="BU8" ca="1">_xll.BQL($C8, "EBITDA(FPT=BA, FPR=2025, FYE=C1231, AE=E)", "currency=USD")/1000000000</f>
        <v>#NAME?</v>
      </c>
      <c r="BV8" s="45" t="e">
        <f t="array" aca="1" ref="BV8" ca="1">_xll.BQL($C8, "EBITDA(FPT=BA, FPR=2026, FYE=C1231, AE=E)", "currency=USD")/1000000000</f>
        <v>#NAME?</v>
      </c>
      <c r="BW8" s="45" t="e">
        <f t="array" aca="1" ref="BW8" ca="1">_xll.BQL($C8, "EBITDA(FPT=BA, FPR=2027, FYE=C1231, AE=E)", "currency=USD")/1000000000</f>
        <v>#NAME?</v>
      </c>
      <c r="BX8" s="45" t="e">
        <f t="array" aca="1" ref="BX8" ca="1">_xll.BQL($C8, "NET_INCOME(FPT=BA, FPR=2022, FYE=C1231, AE=A)", "currency=USD")/1000000000</f>
        <v>#NAME?</v>
      </c>
      <c r="BY8" s="45" t="e">
        <f t="array" aca="1" ref="BY8" ca="1">_xll.BQL($C8, "NET_INCOME(FPT=BA, FPR=2023, FYE=C1231, AE=A)", "currency=USD")/1000000000</f>
        <v>#NAME?</v>
      </c>
      <c r="BZ8" s="45" t="e">
        <f t="array" aca="1" ref="BZ8" ca="1">_xll.BQL($C8, "NET_INCOME(FPT=BA, FPR=2024, FYE=C1231, AE=A)", "currency=USD")/1000000000</f>
        <v>#NAME?</v>
      </c>
      <c r="CA8" s="45" t="e">
        <f t="array" aca="1" ref="CA8" ca="1">_xll.BQL($C8, "NET_INCOME(FPT=BA, FPR=2025, FYE=C1231, AE=E)", "currency=USD")/1000000000</f>
        <v>#NAME?</v>
      </c>
      <c r="CB8" s="45" t="e">
        <f t="array" aca="1" ref="CB8" ca="1">_xll.BQL($C8, "NET_INCOME(FPT=BA, FPR=2026, FYE=C1231, AE=E)", "currency=USD")/1000000000</f>
        <v>#NAME?</v>
      </c>
      <c r="CC8" s="45" t="e">
        <f t="array" aca="1" ref="CC8" ca="1">_xll.BQL($C8, "NET_INCOME(FPT=BA, FPR=2027, FYE=C1231, AE=E)", "currency=USD")/1000000000</f>
        <v>#NAME?</v>
      </c>
      <c r="CD8" s="45" t="e">
        <f t="array" aca="1" ref="CD8" ca="1">-_xll.BQL($C8, "CF_DVD_PAID(FPT=BA, FPR=2024, FYE=C1231, AE=A)", "currency=USD")/1000000000</f>
        <v>#NAME?</v>
      </c>
      <c r="CE8" s="45" t="e">
        <f t="array" aca="1" ref="CE8" ca="1">-_xll.BQL($C8, "CF_DVD_PAID(FPT=BA, FPR=2025, FYE=C1231, AE=E)", "currency=USD")/1000000000</f>
        <v>#NAME?</v>
      </c>
      <c r="CF8" s="45" t="e">
        <f t="array" aca="1" ref="CF8" ca="1">-_xll.BQL($C8, "CF_DVD_PAID(FPT=BA, FPR=2026, FYE=C1231, AE=E)", "currency=USD")/1000000000</f>
        <v>#NAME?</v>
      </c>
      <c r="CG8" s="45" t="e">
        <f t="array" aca="1" ref="CG8" ca="1">-_xll.BQL($C8, "CF_DVD_PAID(FPT=BA, FPR=2027, FYE=C1231, AE=E)", "currency=USD")/1000000000</f>
        <v>#NAME?</v>
      </c>
      <c r="CH8" s="46" t="e">
        <f t="shared" ca="1" si="5"/>
        <v>#NAME?</v>
      </c>
      <c r="CI8" s="46" t="e">
        <f t="shared" ca="1" si="6"/>
        <v>#NAME?</v>
      </c>
      <c r="CJ8" s="46" t="e">
        <f t="shared" ca="1" si="7"/>
        <v>#NAME?</v>
      </c>
      <c r="CK8" s="46" t="e">
        <f t="shared" ca="1" si="8"/>
        <v>#NAME?</v>
      </c>
      <c r="CL8" s="43" t="e">
        <f t="array" aca="1" ref="CL8" ca="1">_xll.BDP($C8,"INTERVAL_AVG", "MARKET_DATA_OVERRIDE=turnover", "CALC_INTERVAL=5D","CRNCY=HKD")/1000000</f>
        <v>#NAME?</v>
      </c>
      <c r="CM8" s="43" t="e">
        <f t="array" aca="1" ref="CM8" ca="1">_xll.BDP($C8,"INTERVAL_AVG", "MARKET_DATA_OVERRIDE=turnover", "CALC_INTERVAL=10D","CRNCY=HKD")/1000000</f>
        <v>#NAME?</v>
      </c>
      <c r="CN8" s="43" t="e">
        <f t="array" aca="1" ref="CN8" ca="1">_xll.BDP($C8,"INTERVAL_AVG", "MARKET_DATA_OVERRIDE=turnover", "CALC_INTERVAL=20D","CRNCY=HKD")/1000000</f>
        <v>#NAME?</v>
      </c>
      <c r="CO8" s="43" t="e">
        <f t="array" aca="1" ref="CO8" ca="1">_xll.BDP($C8,"INTERVAL_AVG", "MARKET_DATA_OVERRIDE=turnover", "CALC_INTERVAL=1m","CRNCY=HKD")/1000000</f>
        <v>#NAME?</v>
      </c>
      <c r="CP8" s="43" t="e">
        <f t="array" aca="1" ref="CP8" ca="1">_xll.BDP($C8,"INTERVAL_AVG", "MARKET_DATA_OVERRIDE=turnover", "CALC_INTERVAL=3M","CRNCY=HKD")/1000000</f>
        <v>#NAME?</v>
      </c>
      <c r="CQ8" s="43" t="e">
        <f t="array" aca="1" ref="CQ8" ca="1">_xll.BDP($C8,"INTERVAL_AVG", "MARKET_DATA_OVERRIDE=turnover", "CALC_INTERVAL=6M","CRNCY=HKD")/1000000</f>
        <v>#NAME?</v>
      </c>
      <c r="CR8" s="47" t="e">
        <f ca="1">_xll.BDP($C8,"chg pct 1m")/100</f>
        <v>#NAME?</v>
      </c>
      <c r="CS8" s="47" t="e">
        <f ca="1">_xll.BDP($C8,"chg pct 3m")/100</f>
        <v>#NAME?</v>
      </c>
      <c r="CT8" s="47" t="e">
        <f ca="1">_xll.BDP($C8,"chg pct 6m")/100</f>
        <v>#NAME?</v>
      </c>
      <c r="CU8" s="47" t="e">
        <f ca="1">_xll.BDP($C8,"chg pct 1yr")/100</f>
        <v>#NAME?</v>
      </c>
      <c r="CV8" s="47" t="e">
        <f ca="1">_xll.BDP($C8,"chg pct ytd")/100</f>
        <v>#NAME?</v>
      </c>
      <c r="CW8" s="41" t="e">
        <f t="array" aca="1" ref="CW8" ca="1">_xll.BQL($C8, "volatility(calc_interval=range(-1M, 0D))")</f>
        <v>#NAME?</v>
      </c>
      <c r="CX8" s="41" t="e">
        <f t="array" aca="1" ref="CX8" ca="1">_xll.BQL($C8, "volatility(calc_interval=range(-3M, 0D))")</f>
        <v>#NAME?</v>
      </c>
      <c r="CY8" s="41" t="e">
        <f t="array" aca="1" ref="CY8" ca="1">_xll.BQL($C8, "volatility(calc_interval=range(-6M, 0D))")</f>
        <v>#NAME?</v>
      </c>
      <c r="CZ8" s="48" t="e">
        <f ca="1">_xll.BDP($C8,CZ$1)</f>
        <v>#NAME?</v>
      </c>
    </row>
    <row r="9" spans="1:116" s="49" customFormat="1" ht="31.5" customHeight="1">
      <c r="A9" s="37" t="e">
        <f ca="1">_xll.BDP($C9,"security name")</f>
        <v>#NAME?</v>
      </c>
      <c r="B9" s="37" t="e">
        <f ca="1">_xll.BDP($C9,"NAME_CHINESE_SIMPLIFIED")</f>
        <v>#NAME?</v>
      </c>
      <c r="C9" s="38" t="s">
        <v>99</v>
      </c>
      <c r="D9" s="39" t="e">
        <f ca="1">_xll.BDP($C9,"LISTING_DATE")</f>
        <v>#NAME?</v>
      </c>
      <c r="E9" s="39" t="e">
        <f ca="1">_xll.BDP($C9,E$1,"EQY_FUND_CRNCY="&amp;$B$1)</f>
        <v>#NAME?</v>
      </c>
      <c r="F9" s="39" t="e">
        <f ca="1">_xll.BDP($C9,F$1,"EQY_FUND_CRNCY="&amp;$C$1)</f>
        <v>#NAME?</v>
      </c>
      <c r="G9" s="40" t="e">
        <f ca="1">_xll.BDP($C9,G$1)</f>
        <v>#NAME?</v>
      </c>
      <c r="H9" s="39" t="e">
        <f ca="1">_xll.BDP($C9,H$1,"EQY_FUND_CRNCY="&amp;$B$1)</f>
        <v>#NAME?</v>
      </c>
      <c r="I9" s="39" t="e">
        <f ca="1">_xll.BDP($C9,I$1,"EQY_FUND_CRNCY="&amp;$C$1)</f>
        <v>#NAME?</v>
      </c>
      <c r="J9" s="39" t="e">
        <f ca="1">_xll.BDP($C9,J$1,"EQY_FUND_CRNCY="&amp;$B$1)</f>
        <v>#NAME?</v>
      </c>
      <c r="K9" s="39" t="e">
        <f ca="1">_xll.BDP($C9,K$1,"EQY_FUND_CRNCY="&amp;$C$1)</f>
        <v>#NAME?</v>
      </c>
      <c r="L9" s="39" t="e">
        <f ca="1">_xll.BDP($C9,L$1,"EQY_FUND_CRNCY="&amp;$B$1)</f>
        <v>#NAME?</v>
      </c>
      <c r="M9" s="39" t="e">
        <f ca="1">_xll.BDP($C9,M$1,"EQY_FUND_CRNCY="&amp;$C$1)</f>
        <v>#NAME?</v>
      </c>
      <c r="N9" s="41" t="e">
        <f ca="1">_xll.BDP($C9,N$1)/100</f>
        <v>#NAME?</v>
      </c>
      <c r="O9" s="41" t="e">
        <f ca="1">_xll.BDP($C9,O$1)/100</f>
        <v>#NAME?</v>
      </c>
      <c r="P9" s="41" t="e">
        <f ca="1">_xll.BDP($C9,P$1)/100</f>
        <v>#NAME?</v>
      </c>
      <c r="Q9" s="41" t="e">
        <f ca="1">_xll.BDP($C9,Q$1)/100</f>
        <v>#NAME?</v>
      </c>
      <c r="R9" s="41" t="e">
        <f ca="1">_xll.BDP($C9,R$1)/100</f>
        <v>#NAME?</v>
      </c>
      <c r="S9" s="41" t="e">
        <f ca="1">_xll.BDP($C9,S$1)/100</f>
        <v>#NAME?</v>
      </c>
      <c r="T9" s="41" t="e">
        <f ca="1">_xll.BDP($C9,T$1)/100</f>
        <v>#NAME?</v>
      </c>
      <c r="U9" s="41" t="e">
        <f ca="1">_xll.BDP($C9,U$1)/100</f>
        <v>#NAME?</v>
      </c>
      <c r="V9" s="41" t="e">
        <f ca="1">_xll.BDP($C9,V$1)/100</f>
        <v>#NAME?</v>
      </c>
      <c r="W9" s="41" t="e">
        <f ca="1">_xll.BDP($C9,W$1)/100</f>
        <v>#NAME?</v>
      </c>
      <c r="X9" s="42" t="e">
        <f t="array" aca="1" ref="X9" ca="1">_xll.BDP($C9,"CRNCY_ADJ_CURR_EV", "EQY_FUND_CRNCY=HKD")</f>
        <v>#NAME?</v>
      </c>
      <c r="Y9" s="42" t="e">
        <f t="array" aca="1" ref="Y9" ca="1">_xll.BDP($C9,"CRNCY_ADJ_CURR_EV", "EQY_FUND_CRNCY=USD")</f>
        <v>#NAME?</v>
      </c>
      <c r="Z9" s="41" t="e">
        <f ca="1">_xll.BDP($C9,Z$1)/100</f>
        <v>#NAME?</v>
      </c>
      <c r="AA9" s="42" t="e">
        <f ca="1">_xll.BDP($C9,"TRAIL_12M_NET_SALES","EQY_FUND_CRNCY=HKD")</f>
        <v>#NAME?</v>
      </c>
      <c r="AB9" s="42" t="e">
        <f ca="1">_xll.BDP($C9,"TRAIL_12M_NET_INC","EQY_FUND_CRNCY=HKD")</f>
        <v>#NAME?</v>
      </c>
      <c r="AC9" s="42" t="e">
        <f ca="1">_xll.BDP($C9,"TRAIL_12M_EBITDA","EQY_FUND_CRNCY=HKD")</f>
        <v>#NAME?</v>
      </c>
      <c r="AD9" s="43" t="e" cm="1">
        <f t="array" aca="1" ref="AD9" ca="1">_xll.BQL($C9, "PE_RATIO(FPT=BA, FPR=2025, FYE=C1231, AE=E)")</f>
        <v>#NAME?</v>
      </c>
      <c r="AE9" s="43" t="e">
        <f t="array" aca="1" ref="AE9" ca="1">_xll.BQL($C9, "PE_RATIO(FPT=BA, FPR=2026, FYE=C1231, AE=E)")</f>
        <v>#NAME?</v>
      </c>
      <c r="AF9" s="43" t="e">
        <f t="array" aca="1" ref="AF9" ca="1">_xll.BQL($C9, "PE_RATIO(FPT=BA, FPR=2027, FYE=C1231, AE=E)")</f>
        <v>#NAME?</v>
      </c>
      <c r="AG9" s="43" t="e" cm="1">
        <f t="array" aca="1" ref="AG9" ca="1">_xll.BQL($C9, "PX_TO_SALES_RATIO(FPT=BA, FPR=2025, FYE=C1231, AE=E)")</f>
        <v>#NAME?</v>
      </c>
      <c r="AH9" s="43" t="e">
        <f t="array" aca="1" ref="AH9" ca="1">_xll.BQL($C9, "PX_TO_SALES_RATIO(FPT=BA, FPR=2026, FYE=C1231, AE=E)")</f>
        <v>#NAME?</v>
      </c>
      <c r="AI9" s="43" t="e">
        <f t="array" aca="1" ref="AI9" ca="1">_xll.BQL($C9, "PX_TO_SALES_RATIO(FPT=BA, FPR=2027, FYE=C1231, AE=E)")</f>
        <v>#NAME?</v>
      </c>
      <c r="AJ9" s="43" t="e">
        <f t="shared" ca="1" si="0"/>
        <v>#NAME?</v>
      </c>
      <c r="AK9" s="43" t="e">
        <f t="array" aca="1" ref="AK9" ca="1">IF(_xll.BQL($C9, "CURR_ENTP_VAL(FPT=A,FPO=0)/EBITDA(FPT=BA, FPR=2026, FYE=C1231, AE=E)")&lt;0,"N/A",_xll.BQL($C9, "CURR_ENTP_VAL(FPT=A,FPO=0)/EBITDA(FPT=BA, FPR=2026, FYE=C1231, AE=E)"))</f>
        <v>#NAME?</v>
      </c>
      <c r="AL9" s="43" t="e">
        <f t="array" aca="1" ref="AL9" ca="1">IF(_xll.BQL($C9, "CURR_ENTP_VAL(FPT=A,FPO=0)/EBITDA(FPT=BA, FPR=2027, FYE=C1231, AE=E)")&lt;0,"N/A",_xll.BQL($C9, "CURR_ENTP_VAL(FPT=A,FPO=0)/EBITDA(FPT=BA, FPR=2027, FYE=C1231, AE=E)"))</f>
        <v>#NAME?</v>
      </c>
      <c r="AM9" s="43" t="e">
        <f ca="1">_xll.BDP($C9,AM$1)</f>
        <v>#NAME?</v>
      </c>
      <c r="AN9" s="43" t="e">
        <f t="array" aca="1" ref="AN9" ca="1">_xll.BQL($C9, "PX_TO_BOOK_RATIO(FPT=BA, FPR=2026, FYE=C1231, AE=E)")</f>
        <v>#NAME?</v>
      </c>
      <c r="AO9" s="43" t="e">
        <f t="array" aca="1" ref="AO9" ca="1">_xll.BQL($C9, "PX_TO_BOOK_RATIO(FPT=BA, FPR=2027, FYE=C1231, AE=E)")</f>
        <v>#NAME?</v>
      </c>
      <c r="AP9" s="43" t="e">
        <f ca="1">_xll.BDP($C9,"BEST Px bps ratio","BEST fperiod override","27Y")</f>
        <v>#NAME?</v>
      </c>
      <c r="AQ9" s="41" t="e">
        <f t="shared" ca="1" si="1"/>
        <v>#NAME?</v>
      </c>
      <c r="AR9" s="41" t="e">
        <f ca="1">_xll.BDP($C9,"BEST_ROE","BEST fperiod override","26Y")/100</f>
        <v>#NAME?</v>
      </c>
      <c r="AS9" s="41" t="e">
        <f ca="1">_xll.BDP($C9,"BEST_ROE","BEST fperiod override","27Y")/100</f>
        <v>#NAME?</v>
      </c>
      <c r="AT9" s="44" t="e">
        <f ca="1">_xll.BDP($C9,AT$1)</f>
        <v>#NAME?</v>
      </c>
      <c r="AU9" s="44" t="e">
        <f ca="1">_xll.BDP($C9,$AU$1,"BEST fperiod override","26Y")</f>
        <v>#NAME?</v>
      </c>
      <c r="AV9" s="44" t="e">
        <f ca="1">_xll.BDP($C9,$AU$1,"BEST fperiod override","27Y")</f>
        <v>#NAME?</v>
      </c>
      <c r="AW9" s="44" t="e">
        <f t="shared" ca="1" si="2"/>
        <v>#NAME?</v>
      </c>
      <c r="AX9" s="44" t="e">
        <f t="shared" ca="1" si="3"/>
        <v>#NAME?</v>
      </c>
      <c r="AY9" s="44" t="e">
        <f t="shared" ca="1" si="4"/>
        <v>#NAME?</v>
      </c>
      <c r="AZ9" s="45" t="e">
        <f t="array" aca="1" ref="AZ9" ca="1">_xll.BQL($C9, "CF_CASH_FROM_OPER(FPT=BA, FPR=2022, FYE=C1231, AE=A)", "currency=USD")/1000000000</f>
        <v>#NAME?</v>
      </c>
      <c r="BA9" s="45" t="e">
        <f t="array" aca="1" ref="BA9" ca="1">_xll.BQL($C9, "CF_CASH_FROM_OPER(FPT=BA, FPR=2023, FYE=C1231, AE=A)", "currency=USD")/1000000000</f>
        <v>#NAME?</v>
      </c>
      <c r="BB9" s="45" t="e">
        <f t="array" aca="1" ref="BB9" ca="1">_xll.BQL($C9, "CF_CASH_FROM_OPER(FPT=BA, FPR=2024, FYE=C1231, AE=A)", "currency=USD")/1000000000</f>
        <v>#NAME?</v>
      </c>
      <c r="BC9" s="45" t="e">
        <f t="array" aca="1" ref="BC9" ca="1">_xll.BQL($C9, "CF_CASH_FROM_OPER(FPT=BA, FPR=2025, FYE=C1231, AE=E)", "currency=USD")/1000000000</f>
        <v>#NAME?</v>
      </c>
      <c r="BD9" s="45" t="e">
        <f t="array" aca="1" ref="BD9" ca="1">_xll.BQL($C9, "CF_CASH_FROM_OPER(FPT=BA, FPR=2026, FYE=C1231, AE=E)", "currency=USD")/1000000000</f>
        <v>#NAME?</v>
      </c>
      <c r="BE9" s="45" t="e">
        <f t="array" aca="1" ref="BE9" ca="1">_xll.BQL($C9, "CF_CASH_FROM_OPER(FPT=BA, FPR=2027, FYE=C1231, AE=E)", "currency=USD")/1000000000</f>
        <v>#NAME?</v>
      </c>
      <c r="BF9" s="45" t="e">
        <f t="array" aca="1" ref="BF9" ca="1">_xll.BQL($C9, "CF_FREE_CASH_FLOW(FPT=BA, FPR=2022, FYE=C1231, AE=A)", "currency=USD")/1000000000</f>
        <v>#NAME?</v>
      </c>
      <c r="BG9" s="45" t="e">
        <f t="array" aca="1" ref="BG9" ca="1">_xll.BQL($C9, "CF_FREE_CASH_FLOW(FPT=BA, FPR=2023, FYE=C1231, AE=A)", "currency=USD")/1000000000</f>
        <v>#NAME?</v>
      </c>
      <c r="BH9" s="45" t="e">
        <f t="array" aca="1" ref="BH9" ca="1">_xll.BQL($C9, "CF_FREE_CASH_FLOW(FPT=BA, FPR=2024, FYE=C1231, AE=A)", "currency=USD")/1000000000</f>
        <v>#NAME?</v>
      </c>
      <c r="BI9" s="45" t="e">
        <f t="array" aca="1" ref="BI9" ca="1">_xll.BQL($C9, "CF_FREE_CASH_FLOW(FPT=BA, FPR=2025, FYE=C1231, AE=E)", "currency=USD")/1000000000</f>
        <v>#NAME?</v>
      </c>
      <c r="BJ9" s="45" t="e">
        <f t="array" aca="1" ref="BJ9" ca="1">_xll.BQL($C9, "CF_FREE_CASH_FLOW(FPT=BA, FPR=2026, FYE=C1231, AE=E)", "currency=USD")/1000000000</f>
        <v>#NAME?</v>
      </c>
      <c r="BK9" s="45" t="e">
        <f t="array" aca="1" ref="BK9" ca="1">_xll.BQL($C9, "CF_FREE_CASH_FLOW(FPT=BA, FPR=2027, FYE=C1231, AE=E)", "currency=USD")/1000000000</f>
        <v>#NAME?</v>
      </c>
      <c r="BL9" s="45" t="e">
        <f t="array" aca="1" ref="BL9" ca="1">_xll.BQL($C9, "SALES_REV_TURN(FPT=BA, FPR=2022, FYE=C1231, AE=A)", "currency=USD")/1000000000</f>
        <v>#NAME?</v>
      </c>
      <c r="BM9" s="45" t="e">
        <f t="array" aca="1" ref="BM9" ca="1">_xll.BQL($C9, "SALES_REV_TURN(FPT=BA, FPR=2023, FYE=C1231, AE=A)", "currency=USD")/1000000000</f>
        <v>#NAME?</v>
      </c>
      <c r="BN9" s="45" t="e">
        <f t="array" aca="1" ref="BN9" ca="1">_xll.BQL($C9, "SALES_REV_TURN(FPT=BA, FPR=2024, FYE=C1231, AE=A)", "currency=USD")/1000000000</f>
        <v>#NAME?</v>
      </c>
      <c r="BO9" s="45" t="e">
        <f t="array" aca="1" ref="BO9" ca="1">_xll.BQL($C9, "SALES_REV_TURN(FPT=BA, FPR=2025, FYE=C1231, AE=E)", "currency=USD")/1000000000</f>
        <v>#NAME?</v>
      </c>
      <c r="BP9" s="45" t="e">
        <f t="array" aca="1" ref="BP9" ca="1">_xll.BQL($C9, "SALES_REV_TURN(FPT=BA, FPR=2026, FYE=C1231, AE=E)", "currency=USD")/1000000000</f>
        <v>#NAME?</v>
      </c>
      <c r="BQ9" s="45" t="e">
        <f t="array" aca="1" ref="BQ9" ca="1">_xll.BQL($C9, "SALES_REV_TURN(FPT=BA, FPR=2027, FYE=C1231, AE=E)", "currency=USD")/1000000000</f>
        <v>#NAME?</v>
      </c>
      <c r="BR9" s="45" t="e">
        <f t="array" aca="1" ref="BR9" ca="1">_xll.BQL($C9, "EBITDA(FPT=BA, FPR=2022, FYE=C1231, AE=A)", "currency=USD")/1000000000</f>
        <v>#NAME?</v>
      </c>
      <c r="BS9" s="45" t="e">
        <f t="array" aca="1" ref="BS9" ca="1">_xll.BQL($C9, "EBITDA(FPT=BA, FPR=2023, FYE=C1231, AE=A)", "currency=USD")/1000000000</f>
        <v>#NAME?</v>
      </c>
      <c r="BT9" s="45" t="e">
        <f t="array" aca="1" ref="BT9" ca="1">_xll.BQL($C9, "EBITDA(FPT=BA, FPR=2024, FYE=C1231, AE=A)", "currency=USD")/1000000000</f>
        <v>#NAME?</v>
      </c>
      <c r="BU9" s="45" t="e">
        <f t="array" aca="1" ref="BU9" ca="1">_xll.BQL($C9, "EBITDA(FPT=BA, FPR=2025, FYE=C1231, AE=E)", "currency=USD")/1000000000</f>
        <v>#NAME?</v>
      </c>
      <c r="BV9" s="45" t="e">
        <f t="array" aca="1" ref="BV9" ca="1">_xll.BQL($C9, "EBITDA(FPT=BA, FPR=2026, FYE=C1231, AE=E)", "currency=USD")/1000000000</f>
        <v>#NAME?</v>
      </c>
      <c r="BW9" s="45" t="e">
        <f t="array" aca="1" ref="BW9" ca="1">_xll.BQL($C9, "EBITDA(FPT=BA, FPR=2027, FYE=C1231, AE=E)", "currency=USD")/1000000000</f>
        <v>#NAME?</v>
      </c>
      <c r="BX9" s="45" t="e">
        <f t="array" aca="1" ref="BX9" ca="1">_xll.BQL($C9, "NET_INCOME(FPT=BA, FPR=2022, FYE=C1231, AE=A)", "currency=USD")/1000000000</f>
        <v>#NAME?</v>
      </c>
      <c r="BY9" s="45" t="e">
        <f t="array" aca="1" ref="BY9" ca="1">_xll.BQL($C9, "NET_INCOME(FPT=BA, FPR=2023, FYE=C1231, AE=A)", "currency=USD")/1000000000</f>
        <v>#NAME?</v>
      </c>
      <c r="BZ9" s="45" t="e">
        <f t="array" aca="1" ref="BZ9" ca="1">_xll.BQL($C9, "NET_INCOME(FPT=BA, FPR=2024, FYE=C1231, AE=A)", "currency=USD")/1000000000</f>
        <v>#NAME?</v>
      </c>
      <c r="CA9" s="45" t="e">
        <f t="array" aca="1" ref="CA9" ca="1">_xll.BQL($C9, "NET_INCOME(FPT=BA, FPR=2025, FYE=C1231, AE=E)", "currency=USD")/1000000000</f>
        <v>#NAME?</v>
      </c>
      <c r="CB9" s="45" t="e">
        <f t="array" aca="1" ref="CB9" ca="1">_xll.BQL($C9, "NET_INCOME(FPT=BA, FPR=2026, FYE=C1231, AE=E)", "currency=USD")/1000000000</f>
        <v>#NAME?</v>
      </c>
      <c r="CC9" s="45" t="e">
        <f t="array" aca="1" ref="CC9" ca="1">_xll.BQL($C9, "NET_INCOME(FPT=BA, FPR=2027, FYE=C1231, AE=E)", "currency=USD")/1000000000</f>
        <v>#NAME?</v>
      </c>
      <c r="CD9" s="45" t="e">
        <f t="array" aca="1" ref="CD9" ca="1">-_xll.BQL($C9, "CF_DVD_PAID(FPT=BA, FPR=2024, FYE=C1231, AE=A)", "currency=USD")/1000000000</f>
        <v>#NAME?</v>
      </c>
      <c r="CE9" s="45" t="e">
        <f t="array" aca="1" ref="CE9" ca="1">-_xll.BQL($C9, "CF_DVD_PAID(FPT=BA, FPR=2025, FYE=C1231, AE=E)", "currency=USD")/1000000000</f>
        <v>#NAME?</v>
      </c>
      <c r="CF9" s="45" t="e">
        <f t="array" aca="1" ref="CF9" ca="1">-_xll.BQL($C9, "CF_DVD_PAID(FPT=BA, FPR=2026, FYE=C1231, AE=E)", "currency=USD")/1000000000</f>
        <v>#NAME?</v>
      </c>
      <c r="CG9" s="45" t="e">
        <f t="array" aca="1" ref="CG9" ca="1">-_xll.BQL($C9, "CF_DVD_PAID(FPT=BA, FPR=2027, FYE=C1231, AE=E)", "currency=USD")/1000000000</f>
        <v>#NAME?</v>
      </c>
      <c r="CH9" s="46" t="e">
        <f t="shared" ca="1" si="5"/>
        <v>#NAME?</v>
      </c>
      <c r="CI9" s="46" t="e">
        <f t="shared" ca="1" si="6"/>
        <v>#NAME?</v>
      </c>
      <c r="CJ9" s="46" t="e">
        <f t="shared" ca="1" si="7"/>
        <v>#NAME?</v>
      </c>
      <c r="CK9" s="46" t="e">
        <f t="shared" ca="1" si="8"/>
        <v>#NAME?</v>
      </c>
      <c r="CL9" s="43" t="e">
        <f t="array" aca="1" ref="CL9" ca="1">_xll.BDP($C9,"INTERVAL_AVG", "MARKET_DATA_OVERRIDE=turnover", "CALC_INTERVAL=5D","CRNCY=HKD")/1000000</f>
        <v>#NAME?</v>
      </c>
      <c r="CM9" s="43" t="e">
        <f t="array" aca="1" ref="CM9" ca="1">_xll.BDP($C9,"INTERVAL_AVG", "MARKET_DATA_OVERRIDE=turnover", "CALC_INTERVAL=10D","CRNCY=HKD")/1000000</f>
        <v>#NAME?</v>
      </c>
      <c r="CN9" s="43" t="e">
        <f t="array" aca="1" ref="CN9" ca="1">_xll.BDP($C9,"INTERVAL_AVG", "MARKET_DATA_OVERRIDE=turnover", "CALC_INTERVAL=20D","CRNCY=HKD")/1000000</f>
        <v>#NAME?</v>
      </c>
      <c r="CO9" s="43" t="e">
        <f t="array" aca="1" ref="CO9" ca="1">_xll.BDP($C9,"INTERVAL_AVG", "MARKET_DATA_OVERRIDE=turnover", "CALC_INTERVAL=1m","CRNCY=HKD")/1000000</f>
        <v>#NAME?</v>
      </c>
      <c r="CP9" s="43" t="e">
        <f t="array" aca="1" ref="CP9" ca="1">_xll.BDP($C9,"INTERVAL_AVG", "MARKET_DATA_OVERRIDE=turnover", "CALC_INTERVAL=3M","CRNCY=HKD")/1000000</f>
        <v>#NAME?</v>
      </c>
      <c r="CQ9" s="43" t="e">
        <f t="array" aca="1" ref="CQ9" ca="1">_xll.BDP($C9,"INTERVAL_AVG", "MARKET_DATA_OVERRIDE=turnover", "CALC_INTERVAL=6M","CRNCY=HKD")/1000000</f>
        <v>#NAME?</v>
      </c>
      <c r="CR9" s="47" t="e">
        <f ca="1">_xll.BDP($C9,"chg pct 1m")/100</f>
        <v>#NAME?</v>
      </c>
      <c r="CS9" s="47" t="e">
        <f ca="1">_xll.BDP($C9,"chg pct 3m")/100</f>
        <v>#NAME?</v>
      </c>
      <c r="CT9" s="47" t="e">
        <f ca="1">_xll.BDP($C9,"chg pct 6m")/100</f>
        <v>#NAME?</v>
      </c>
      <c r="CU9" s="47" t="e">
        <f ca="1">_xll.BDP($C9,"chg pct 1yr")/100</f>
        <v>#NAME?</v>
      </c>
      <c r="CV9" s="47" t="e">
        <f ca="1">_xll.BDP($C9,"chg pct ytd")/100</f>
        <v>#NAME?</v>
      </c>
      <c r="CW9" s="41" t="e">
        <f t="array" aca="1" ref="CW9" ca="1">_xll.BQL($C9, "volatility(calc_interval=range(-1M, 0D))")</f>
        <v>#NAME?</v>
      </c>
      <c r="CX9" s="41" t="e">
        <f t="array" aca="1" ref="CX9" ca="1">_xll.BQL($C9, "volatility(calc_interval=range(-3M, 0D))")</f>
        <v>#NAME?</v>
      </c>
      <c r="CY9" s="41" t="e">
        <f t="array" aca="1" ref="CY9" ca="1">_xll.BQL($C9, "volatility(calc_interval=range(-6M, 0D))")</f>
        <v>#NAME?</v>
      </c>
      <c r="CZ9" s="48" t="e">
        <f ca="1">_xll.BDP($C9,CZ$1)</f>
        <v>#NAME?</v>
      </c>
    </row>
    <row r="10" spans="1:116" s="49" customFormat="1" ht="31.5" customHeight="1">
      <c r="A10" s="37" t="e">
        <f ca="1">_xll.BDP($C10,"security name")</f>
        <v>#NAME?</v>
      </c>
      <c r="B10" s="37" t="e">
        <f ca="1">_xll.BDP($C10,"NAME_CHINESE_SIMPLIFIED")</f>
        <v>#NAME?</v>
      </c>
      <c r="C10" s="38" t="s">
        <v>100</v>
      </c>
      <c r="D10" s="39" t="e">
        <f ca="1">_xll.BDP($C10,"LISTING_DATE")</f>
        <v>#NAME?</v>
      </c>
      <c r="E10" s="39" t="e">
        <f ca="1">_xll.BDP($C10,E$1,"EQY_FUND_CRNCY="&amp;$B$1)</f>
        <v>#NAME?</v>
      </c>
      <c r="F10" s="39" t="e">
        <f ca="1">_xll.BDP($C10,F$1,"EQY_FUND_CRNCY="&amp;$C$1)</f>
        <v>#NAME?</v>
      </c>
      <c r="G10" s="40" t="e">
        <f ca="1">_xll.BDP($C10,G$1)</f>
        <v>#NAME?</v>
      </c>
      <c r="H10" s="39" t="e">
        <f ca="1">_xll.BDP($C10,H$1,"EQY_FUND_CRNCY="&amp;$B$1)</f>
        <v>#NAME?</v>
      </c>
      <c r="I10" s="39" t="e">
        <f ca="1">_xll.BDP($C10,I$1,"EQY_FUND_CRNCY="&amp;$C$1)</f>
        <v>#NAME?</v>
      </c>
      <c r="J10" s="39" t="e">
        <f ca="1">_xll.BDP($C10,J$1,"EQY_FUND_CRNCY="&amp;$B$1)</f>
        <v>#NAME?</v>
      </c>
      <c r="K10" s="39" t="e">
        <f ca="1">_xll.BDP($C10,K$1,"EQY_FUND_CRNCY="&amp;$C$1)</f>
        <v>#NAME?</v>
      </c>
      <c r="L10" s="39" t="e">
        <f ca="1">_xll.BDP($C10,L$1,"EQY_FUND_CRNCY="&amp;$B$1)</f>
        <v>#NAME?</v>
      </c>
      <c r="M10" s="39" t="e">
        <f ca="1">_xll.BDP($C10,M$1,"EQY_FUND_CRNCY="&amp;$C$1)</f>
        <v>#NAME?</v>
      </c>
      <c r="N10" s="41" t="e">
        <f ca="1">_xll.BDP($C10,N$1)/100</f>
        <v>#NAME?</v>
      </c>
      <c r="O10" s="41" t="e">
        <f ca="1">_xll.BDP($C10,O$1)/100</f>
        <v>#NAME?</v>
      </c>
      <c r="P10" s="41" t="e">
        <f ca="1">_xll.BDP($C10,P$1)/100</f>
        <v>#NAME?</v>
      </c>
      <c r="Q10" s="41" t="e">
        <f ca="1">_xll.BDP($C10,Q$1)/100</f>
        <v>#NAME?</v>
      </c>
      <c r="R10" s="41" t="e">
        <f ca="1">_xll.BDP($C10,R$1)/100</f>
        <v>#NAME?</v>
      </c>
      <c r="S10" s="41" t="e">
        <f ca="1">_xll.BDP($C10,S$1)/100</f>
        <v>#NAME?</v>
      </c>
      <c r="T10" s="41" t="e">
        <f ca="1">_xll.BDP($C10,T$1)/100</f>
        <v>#NAME?</v>
      </c>
      <c r="U10" s="41" t="e">
        <f ca="1">_xll.BDP($C10,U$1)/100</f>
        <v>#NAME?</v>
      </c>
      <c r="V10" s="41" t="e">
        <f ca="1">_xll.BDP($C10,V$1)/100</f>
        <v>#NAME?</v>
      </c>
      <c r="W10" s="41" t="e">
        <f ca="1">_xll.BDP($C10,W$1)/100</f>
        <v>#NAME?</v>
      </c>
      <c r="X10" s="42" t="e">
        <f t="array" aca="1" ref="X10" ca="1">_xll.BDP($C10,"CRNCY_ADJ_CURR_EV", "EQY_FUND_CRNCY=HKD")</f>
        <v>#NAME?</v>
      </c>
      <c r="Y10" s="42" t="e">
        <f t="array" aca="1" ref="Y10" ca="1">_xll.BDP($C10,"CRNCY_ADJ_CURR_EV", "EQY_FUND_CRNCY=USD")</f>
        <v>#NAME?</v>
      </c>
      <c r="Z10" s="41" t="e">
        <f ca="1">_xll.BDP($C10,Z$1)/100</f>
        <v>#NAME?</v>
      </c>
      <c r="AA10" s="42" t="e">
        <f ca="1">_xll.BDP($C10,"TRAIL_12M_NET_SALES","EQY_FUND_CRNCY=HKD")</f>
        <v>#NAME?</v>
      </c>
      <c r="AB10" s="42" t="e">
        <f ca="1">_xll.BDP($C10,"TRAIL_12M_NET_INC","EQY_FUND_CRNCY=HKD")</f>
        <v>#NAME?</v>
      </c>
      <c r="AC10" s="42" t="e">
        <f ca="1">_xll.BDP($C10,"TRAIL_12M_EBITDA","EQY_FUND_CRNCY=HKD")</f>
        <v>#NAME?</v>
      </c>
      <c r="AD10" s="43" t="e" cm="1">
        <f t="array" aca="1" ref="AD10" ca="1">_xll.BQL($C10, "PE_RATIO(FPT=BA, FPR=2025, FYE=C1231, AE=E)")</f>
        <v>#NAME?</v>
      </c>
      <c r="AE10" s="43" t="e">
        <f t="array" aca="1" ref="AE10" ca="1">_xll.BQL($C10, "PE_RATIO(FPT=BA, FPR=2026, FYE=C1231, AE=E)")</f>
        <v>#NAME?</v>
      </c>
      <c r="AF10" s="43" t="e">
        <f t="array" aca="1" ref="AF10" ca="1">_xll.BQL($C10, "PE_RATIO(FPT=BA, FPR=2027, FYE=C1231, AE=E)")</f>
        <v>#NAME?</v>
      </c>
      <c r="AG10" s="43" t="e" cm="1">
        <f t="array" aca="1" ref="AG10" ca="1">_xll.BQL($C10, "PX_TO_SALES_RATIO(FPT=BA, FPR=2025, FYE=C1231, AE=E)")</f>
        <v>#NAME?</v>
      </c>
      <c r="AH10" s="43" t="e">
        <f t="array" aca="1" ref="AH10" ca="1">_xll.BQL($C10, "PX_TO_SALES_RATIO(FPT=BA, FPR=2026, FYE=C1231, AE=E)")</f>
        <v>#NAME?</v>
      </c>
      <c r="AI10" s="43" t="e">
        <f t="array" aca="1" ref="AI10" ca="1">_xll.BQL($C10, "PX_TO_SALES_RATIO(FPT=BA, FPR=2027, FYE=C1231, AE=E)")</f>
        <v>#NAME?</v>
      </c>
      <c r="AJ10" s="43" t="e">
        <f t="shared" ca="1" si="0"/>
        <v>#NAME?</v>
      </c>
      <c r="AK10" s="43" t="e">
        <f t="array" aca="1" ref="AK10" ca="1">IF(_xll.BQL($C10, "CURR_ENTP_VAL(FPT=A,FPO=0)/EBITDA(FPT=BA, FPR=2026, FYE=C1231, AE=E)")&lt;0,"N/A",_xll.BQL($C10, "CURR_ENTP_VAL(FPT=A,FPO=0)/EBITDA(FPT=BA, FPR=2026, FYE=C1231, AE=E)"))</f>
        <v>#NAME?</v>
      </c>
      <c r="AL10" s="43" t="e">
        <f t="array" aca="1" ref="AL10" ca="1">IF(_xll.BQL($C10, "CURR_ENTP_VAL(FPT=A,FPO=0)/EBITDA(FPT=BA, FPR=2027, FYE=C1231, AE=E)")&lt;0,"N/A",_xll.BQL($C10, "CURR_ENTP_VAL(FPT=A,FPO=0)/EBITDA(FPT=BA, FPR=2027, FYE=C1231, AE=E)"))</f>
        <v>#NAME?</v>
      </c>
      <c r="AM10" s="43" t="e">
        <f ca="1">_xll.BDP($C10,AM$1)</f>
        <v>#NAME?</v>
      </c>
      <c r="AN10" s="43" t="e">
        <f t="array" aca="1" ref="AN10" ca="1">_xll.BQL($C10, "PX_TO_BOOK_RATIO(FPT=BA, FPR=2026, FYE=C1231, AE=E)")</f>
        <v>#NAME?</v>
      </c>
      <c r="AO10" s="43" t="e">
        <f t="array" aca="1" ref="AO10" ca="1">_xll.BQL($C10, "PX_TO_BOOK_RATIO(FPT=BA, FPR=2027, FYE=C1231, AE=E)")</f>
        <v>#NAME?</v>
      </c>
      <c r="AP10" s="43" t="e">
        <f ca="1">_xll.BDP($C10,"BEST Px bps ratio","BEST fperiod override","27Y")</f>
        <v>#NAME?</v>
      </c>
      <c r="AQ10" s="41" t="e">
        <f t="shared" ca="1" si="1"/>
        <v>#NAME?</v>
      </c>
      <c r="AR10" s="41" t="e">
        <f ca="1">_xll.BDP($C10,"BEST_ROE","BEST fperiod override","26Y")/100</f>
        <v>#NAME?</v>
      </c>
      <c r="AS10" s="41" t="e">
        <f ca="1">_xll.BDP($C10,"BEST_ROE","BEST fperiod override","27Y")/100</f>
        <v>#NAME?</v>
      </c>
      <c r="AT10" s="44" t="e">
        <f ca="1">_xll.BDP($C10,AT$1)</f>
        <v>#NAME?</v>
      </c>
      <c r="AU10" s="44" t="e">
        <f ca="1">_xll.BDP($C10,$AU$1,"BEST fperiod override","26Y")</f>
        <v>#NAME?</v>
      </c>
      <c r="AV10" s="44" t="e">
        <f ca="1">_xll.BDP($C10,$AU$1,"BEST fperiod override","27Y")</f>
        <v>#NAME?</v>
      </c>
      <c r="AW10" s="44" t="e">
        <f t="shared" ca="1" si="2"/>
        <v>#NAME?</v>
      </c>
      <c r="AX10" s="44" t="e">
        <f t="shared" ca="1" si="3"/>
        <v>#NAME?</v>
      </c>
      <c r="AY10" s="44" t="e">
        <f t="shared" ca="1" si="4"/>
        <v>#NAME?</v>
      </c>
      <c r="AZ10" s="45" t="e">
        <f t="array" aca="1" ref="AZ10" ca="1">_xll.BQL($C10, "CF_CASH_FROM_OPER(FPT=BA, FPR=2022, FYE=C1231, AE=A)", "currency=USD")/1000000000</f>
        <v>#NAME?</v>
      </c>
      <c r="BA10" s="45" t="e">
        <f t="array" aca="1" ref="BA10" ca="1">_xll.BQL($C10, "CF_CASH_FROM_OPER(FPT=BA, FPR=2023, FYE=C1231, AE=A)", "currency=USD")/1000000000</f>
        <v>#NAME?</v>
      </c>
      <c r="BB10" s="45" t="e">
        <f t="array" aca="1" ref="BB10" ca="1">_xll.BQL($C10, "CF_CASH_FROM_OPER(FPT=BA, FPR=2024, FYE=C1231, AE=A)", "currency=USD")/1000000000</f>
        <v>#NAME?</v>
      </c>
      <c r="BC10" s="45" t="e">
        <f t="array" aca="1" ref="BC10" ca="1">_xll.BQL($C10, "CF_CASH_FROM_OPER(FPT=BA, FPR=2025, FYE=C1231, AE=E)", "currency=USD")/1000000000</f>
        <v>#NAME?</v>
      </c>
      <c r="BD10" s="45" t="e">
        <f t="array" aca="1" ref="BD10" ca="1">_xll.BQL($C10, "CF_CASH_FROM_OPER(FPT=BA, FPR=2026, FYE=C1231, AE=E)", "currency=USD")/1000000000</f>
        <v>#NAME?</v>
      </c>
      <c r="BE10" s="45" t="e">
        <f t="array" aca="1" ref="BE10" ca="1">_xll.BQL($C10, "CF_CASH_FROM_OPER(FPT=BA, FPR=2027, FYE=C1231, AE=E)", "currency=USD")/1000000000</f>
        <v>#NAME?</v>
      </c>
      <c r="BF10" s="45" t="e">
        <f t="array" aca="1" ref="BF10" ca="1">_xll.BQL($C10, "CF_FREE_CASH_FLOW(FPT=BA, FPR=2022, FYE=C1231, AE=A)", "currency=USD")/1000000000</f>
        <v>#NAME?</v>
      </c>
      <c r="BG10" s="45" t="e">
        <f t="array" aca="1" ref="BG10" ca="1">_xll.BQL($C10, "CF_FREE_CASH_FLOW(FPT=BA, FPR=2023, FYE=C1231, AE=A)", "currency=USD")/1000000000</f>
        <v>#NAME?</v>
      </c>
      <c r="BH10" s="45" t="e">
        <f t="array" aca="1" ref="BH10" ca="1">_xll.BQL($C10, "CF_FREE_CASH_FLOW(FPT=BA, FPR=2024, FYE=C1231, AE=A)", "currency=USD")/1000000000</f>
        <v>#NAME?</v>
      </c>
      <c r="BI10" s="45" t="e">
        <f t="array" aca="1" ref="BI10" ca="1">_xll.BQL($C10, "CF_FREE_CASH_FLOW(FPT=BA, FPR=2025, FYE=C1231, AE=E)", "currency=USD")/1000000000</f>
        <v>#NAME?</v>
      </c>
      <c r="BJ10" s="45" t="e">
        <f t="array" aca="1" ref="BJ10" ca="1">_xll.BQL($C10, "CF_FREE_CASH_FLOW(FPT=BA, FPR=2026, FYE=C1231, AE=E)", "currency=USD")/1000000000</f>
        <v>#NAME?</v>
      </c>
      <c r="BK10" s="45" t="e">
        <f t="array" aca="1" ref="BK10" ca="1">_xll.BQL($C10, "CF_FREE_CASH_FLOW(FPT=BA, FPR=2027, FYE=C1231, AE=E)", "currency=USD")/1000000000</f>
        <v>#NAME?</v>
      </c>
      <c r="BL10" s="45" t="e">
        <f t="array" aca="1" ref="BL10" ca="1">_xll.BQL($C10, "SALES_REV_TURN(FPT=BA, FPR=2022, FYE=C1231, AE=A)", "currency=USD")/1000000000</f>
        <v>#NAME?</v>
      </c>
      <c r="BM10" s="45" t="e">
        <f t="array" aca="1" ref="BM10" ca="1">_xll.BQL($C10, "SALES_REV_TURN(FPT=BA, FPR=2023, FYE=C1231, AE=A)", "currency=USD")/1000000000</f>
        <v>#NAME?</v>
      </c>
      <c r="BN10" s="45" t="e">
        <f t="array" aca="1" ref="BN10" ca="1">_xll.BQL($C10, "SALES_REV_TURN(FPT=BA, FPR=2024, FYE=C1231, AE=A)", "currency=USD")/1000000000</f>
        <v>#NAME?</v>
      </c>
      <c r="BO10" s="45" t="e">
        <f t="array" aca="1" ref="BO10" ca="1">_xll.BQL($C10, "SALES_REV_TURN(FPT=BA, FPR=2025, FYE=C1231, AE=E)", "currency=USD")/1000000000</f>
        <v>#NAME?</v>
      </c>
      <c r="BP10" s="45" t="e">
        <f t="array" aca="1" ref="BP10" ca="1">_xll.BQL($C10, "SALES_REV_TURN(FPT=BA, FPR=2026, FYE=C1231, AE=E)", "currency=USD")/1000000000</f>
        <v>#NAME?</v>
      </c>
      <c r="BQ10" s="45" t="e">
        <f t="array" aca="1" ref="BQ10" ca="1">_xll.BQL($C10, "SALES_REV_TURN(FPT=BA, FPR=2027, FYE=C1231, AE=E)", "currency=USD")/1000000000</f>
        <v>#NAME?</v>
      </c>
      <c r="BR10" s="45" t="e">
        <f t="array" aca="1" ref="BR10" ca="1">_xll.BQL($C10, "EBITDA(FPT=BA, FPR=2022, FYE=C1231, AE=A)", "currency=USD")/1000000000</f>
        <v>#NAME?</v>
      </c>
      <c r="BS10" s="45" t="e">
        <f t="array" aca="1" ref="BS10" ca="1">_xll.BQL($C10, "EBITDA(FPT=BA, FPR=2023, FYE=C1231, AE=A)", "currency=USD")/1000000000</f>
        <v>#NAME?</v>
      </c>
      <c r="BT10" s="45" t="e">
        <f t="array" aca="1" ref="BT10" ca="1">_xll.BQL($C10, "EBITDA(FPT=BA, FPR=2024, FYE=C1231, AE=A)", "currency=USD")/1000000000</f>
        <v>#NAME?</v>
      </c>
      <c r="BU10" s="45" t="e">
        <f t="array" aca="1" ref="BU10" ca="1">_xll.BQL($C10, "EBITDA(FPT=BA, FPR=2025, FYE=C1231, AE=E)", "currency=USD")/1000000000</f>
        <v>#NAME?</v>
      </c>
      <c r="BV10" s="45" t="e">
        <f t="array" aca="1" ref="BV10" ca="1">_xll.BQL($C10, "EBITDA(FPT=BA, FPR=2026, FYE=C1231, AE=E)", "currency=USD")/1000000000</f>
        <v>#NAME?</v>
      </c>
      <c r="BW10" s="45" t="e">
        <f t="array" aca="1" ref="BW10" ca="1">_xll.BQL($C10, "EBITDA(FPT=BA, FPR=2027, FYE=C1231, AE=E)", "currency=USD")/1000000000</f>
        <v>#NAME?</v>
      </c>
      <c r="BX10" s="45" t="e">
        <f t="array" aca="1" ref="BX10" ca="1">_xll.BQL($C10, "NET_INCOME(FPT=BA, FPR=2022, FYE=C1231, AE=A)", "currency=USD")/1000000000</f>
        <v>#NAME?</v>
      </c>
      <c r="BY10" s="45" t="e">
        <f t="array" aca="1" ref="BY10" ca="1">_xll.BQL($C10, "NET_INCOME(FPT=BA, FPR=2023, FYE=C1231, AE=A)", "currency=USD")/1000000000</f>
        <v>#NAME?</v>
      </c>
      <c r="BZ10" s="45" t="e">
        <f t="array" aca="1" ref="BZ10" ca="1">_xll.BQL($C10, "NET_INCOME(FPT=BA, FPR=2024, FYE=C1231, AE=A)", "currency=USD")/1000000000</f>
        <v>#NAME?</v>
      </c>
      <c r="CA10" s="45" t="e">
        <f t="array" aca="1" ref="CA10" ca="1">_xll.BQL($C10, "NET_INCOME(FPT=BA, FPR=2025, FYE=C1231, AE=E)", "currency=USD")/1000000000</f>
        <v>#NAME?</v>
      </c>
      <c r="CB10" s="45" t="e">
        <f t="array" aca="1" ref="CB10" ca="1">_xll.BQL($C10, "NET_INCOME(FPT=BA, FPR=2026, FYE=C1231, AE=E)", "currency=USD")/1000000000</f>
        <v>#NAME?</v>
      </c>
      <c r="CC10" s="45" t="e">
        <f t="array" aca="1" ref="CC10" ca="1">_xll.BQL($C10, "NET_INCOME(FPT=BA, FPR=2027, FYE=C1231, AE=E)", "currency=USD")/1000000000</f>
        <v>#NAME?</v>
      </c>
      <c r="CD10" s="45" t="e">
        <f t="array" aca="1" ref="CD10" ca="1">-_xll.BQL($C10, "CF_DVD_PAID(FPT=BA, FPR=2024, FYE=C1231, AE=A)", "currency=USD")/1000000000</f>
        <v>#NAME?</v>
      </c>
      <c r="CE10" s="45" t="e">
        <f t="array" aca="1" ref="CE10" ca="1">-_xll.BQL($C10, "CF_DVD_PAID(FPT=BA, FPR=2025, FYE=C1231, AE=E)", "currency=USD")/1000000000</f>
        <v>#NAME?</v>
      </c>
      <c r="CF10" s="45" t="e">
        <f t="array" aca="1" ref="CF10" ca="1">-_xll.BQL($C10, "CF_DVD_PAID(FPT=BA, FPR=2026, FYE=C1231, AE=E)", "currency=USD")/1000000000</f>
        <v>#NAME?</v>
      </c>
      <c r="CG10" s="45" t="e">
        <f t="array" aca="1" ref="CG10" ca="1">-_xll.BQL($C10, "CF_DVD_PAID(FPT=BA, FPR=2027, FYE=C1231, AE=E)", "currency=USD")/1000000000</f>
        <v>#NAME?</v>
      </c>
      <c r="CH10" s="46" t="e">
        <f t="shared" ca="1" si="5"/>
        <v>#NAME?</v>
      </c>
      <c r="CI10" s="46" t="e">
        <f t="shared" ca="1" si="6"/>
        <v>#NAME?</v>
      </c>
      <c r="CJ10" s="46" t="e">
        <f t="shared" ca="1" si="7"/>
        <v>#NAME?</v>
      </c>
      <c r="CK10" s="46" t="e">
        <f t="shared" ca="1" si="8"/>
        <v>#NAME?</v>
      </c>
      <c r="CL10" s="43" t="e">
        <f t="array" aca="1" ref="CL10" ca="1">_xll.BDP($C10,"INTERVAL_AVG", "MARKET_DATA_OVERRIDE=turnover", "CALC_INTERVAL=5D","CRNCY=HKD")/1000000</f>
        <v>#NAME?</v>
      </c>
      <c r="CM10" s="43" t="e">
        <f t="array" aca="1" ref="CM10" ca="1">_xll.BDP($C10,"INTERVAL_AVG", "MARKET_DATA_OVERRIDE=turnover", "CALC_INTERVAL=10D","CRNCY=HKD")/1000000</f>
        <v>#NAME?</v>
      </c>
      <c r="CN10" s="43" t="e">
        <f t="array" aca="1" ref="CN10" ca="1">_xll.BDP($C10,"INTERVAL_AVG", "MARKET_DATA_OVERRIDE=turnover", "CALC_INTERVAL=20D","CRNCY=HKD")/1000000</f>
        <v>#NAME?</v>
      </c>
      <c r="CO10" s="43" t="e">
        <f t="array" aca="1" ref="CO10" ca="1">_xll.BDP($C10,"INTERVAL_AVG", "MARKET_DATA_OVERRIDE=turnover", "CALC_INTERVAL=1m","CRNCY=HKD")/1000000</f>
        <v>#NAME?</v>
      </c>
      <c r="CP10" s="43" t="e">
        <f t="array" aca="1" ref="CP10" ca="1">_xll.BDP($C10,"INTERVAL_AVG", "MARKET_DATA_OVERRIDE=turnover", "CALC_INTERVAL=3M","CRNCY=HKD")/1000000</f>
        <v>#NAME?</v>
      </c>
      <c r="CQ10" s="43" t="e">
        <f t="array" aca="1" ref="CQ10" ca="1">_xll.BDP($C10,"INTERVAL_AVG", "MARKET_DATA_OVERRIDE=turnover", "CALC_INTERVAL=6M","CRNCY=HKD")/1000000</f>
        <v>#NAME?</v>
      </c>
      <c r="CR10" s="47" t="e">
        <f ca="1">_xll.BDP($C10,"chg pct 1m")/100</f>
        <v>#NAME?</v>
      </c>
      <c r="CS10" s="47" t="e">
        <f ca="1">_xll.BDP($C10,"chg pct 3m")/100</f>
        <v>#NAME?</v>
      </c>
      <c r="CT10" s="47" t="e">
        <f ca="1">_xll.BDP($C10,"chg pct 6m")/100</f>
        <v>#NAME?</v>
      </c>
      <c r="CU10" s="47" t="e">
        <f ca="1">_xll.BDP($C10,"chg pct 1yr")/100</f>
        <v>#NAME?</v>
      </c>
      <c r="CV10" s="47" t="e">
        <f ca="1">_xll.BDP($C10,"chg pct ytd")/100</f>
        <v>#NAME?</v>
      </c>
      <c r="CW10" s="41" t="e">
        <f t="array" aca="1" ref="CW10" ca="1">_xll.BQL($C10, "volatility(calc_interval=range(-1M, 0D))")</f>
        <v>#NAME?</v>
      </c>
      <c r="CX10" s="41" t="e">
        <f t="array" aca="1" ref="CX10" ca="1">_xll.BQL($C10, "volatility(calc_interval=range(-3M, 0D))")</f>
        <v>#NAME?</v>
      </c>
      <c r="CY10" s="41" t="e">
        <f t="array" aca="1" ref="CY10" ca="1">_xll.BQL($C10, "volatility(calc_interval=range(-6M, 0D))")</f>
        <v>#NAME?</v>
      </c>
      <c r="CZ10" s="48" t="e">
        <f ca="1">_xll.BDP($C10,CZ$1)</f>
        <v>#NAME?</v>
      </c>
    </row>
    <row r="11" spans="1:116" s="49" customFormat="1" ht="31.5" customHeight="1">
      <c r="A11" s="37" t="e">
        <f ca="1">_xll.BDP($C11,"security name")</f>
        <v>#NAME?</v>
      </c>
      <c r="B11" s="37" t="e">
        <f ca="1">_xll.BDP($C11,"NAME_CHINESE_SIMPLIFIED")</f>
        <v>#NAME?</v>
      </c>
      <c r="C11" s="38" t="s">
        <v>101</v>
      </c>
      <c r="D11" s="39" t="e">
        <f ca="1">_xll.BDP($C11,"LISTING_DATE")</f>
        <v>#NAME?</v>
      </c>
      <c r="E11" s="39" t="e">
        <f ca="1">_xll.BDP($C11,E$1,"EQY_FUND_CRNCY="&amp;$B$1)</f>
        <v>#NAME?</v>
      </c>
      <c r="F11" s="39" t="e">
        <f ca="1">_xll.BDP($C11,F$1,"EQY_FUND_CRNCY="&amp;$C$1)</f>
        <v>#NAME?</v>
      </c>
      <c r="G11" s="40" t="e">
        <f ca="1">_xll.BDP($C11,G$1)</f>
        <v>#NAME?</v>
      </c>
      <c r="H11" s="39" t="e">
        <f ca="1">_xll.BDP($C11,H$1,"EQY_FUND_CRNCY="&amp;$B$1)</f>
        <v>#NAME?</v>
      </c>
      <c r="I11" s="39" t="e">
        <f ca="1">_xll.BDP($C11,I$1,"EQY_FUND_CRNCY="&amp;$C$1)</f>
        <v>#NAME?</v>
      </c>
      <c r="J11" s="39" t="e">
        <f ca="1">_xll.BDP($C11,J$1,"EQY_FUND_CRNCY="&amp;$B$1)</f>
        <v>#NAME?</v>
      </c>
      <c r="K11" s="39" t="e">
        <f ca="1">_xll.BDP($C11,K$1,"EQY_FUND_CRNCY="&amp;$C$1)</f>
        <v>#NAME?</v>
      </c>
      <c r="L11" s="39" t="e">
        <f ca="1">_xll.BDP($C11,L$1,"EQY_FUND_CRNCY="&amp;$B$1)</f>
        <v>#NAME?</v>
      </c>
      <c r="M11" s="39" t="e">
        <f ca="1">_xll.BDP($C11,M$1,"EQY_FUND_CRNCY="&amp;$C$1)</f>
        <v>#NAME?</v>
      </c>
      <c r="N11" s="41" t="e">
        <f ca="1">_xll.BDP($C11,N$1)/100</f>
        <v>#NAME?</v>
      </c>
      <c r="O11" s="41" t="e">
        <f ca="1">_xll.BDP($C11,O$1)/100</f>
        <v>#NAME?</v>
      </c>
      <c r="P11" s="41" t="e">
        <f ca="1">_xll.BDP($C11,P$1)/100</f>
        <v>#NAME?</v>
      </c>
      <c r="Q11" s="41" t="e">
        <f ca="1">_xll.BDP($C11,Q$1)/100</f>
        <v>#NAME?</v>
      </c>
      <c r="R11" s="41" t="e">
        <f ca="1">_xll.BDP($C11,R$1)/100</f>
        <v>#NAME?</v>
      </c>
      <c r="S11" s="41" t="e">
        <f ca="1">_xll.BDP($C11,S$1)/100</f>
        <v>#NAME?</v>
      </c>
      <c r="T11" s="41" t="e">
        <f ca="1">_xll.BDP($C11,T$1)/100</f>
        <v>#NAME?</v>
      </c>
      <c r="U11" s="41" t="e">
        <f ca="1">_xll.BDP($C11,U$1)/100</f>
        <v>#NAME?</v>
      </c>
      <c r="V11" s="41" t="e">
        <f ca="1">_xll.BDP($C11,V$1)/100</f>
        <v>#NAME?</v>
      </c>
      <c r="W11" s="41" t="e">
        <f ca="1">_xll.BDP($C11,W$1)/100</f>
        <v>#NAME?</v>
      </c>
      <c r="X11" s="42" t="e">
        <f t="array" aca="1" ref="X11" ca="1">_xll.BDP($C11,"CRNCY_ADJ_CURR_EV", "EQY_FUND_CRNCY=HKD")</f>
        <v>#NAME?</v>
      </c>
      <c r="Y11" s="42" t="e">
        <f t="array" aca="1" ref="Y11" ca="1">_xll.BDP($C11,"CRNCY_ADJ_CURR_EV", "EQY_FUND_CRNCY=USD")</f>
        <v>#NAME?</v>
      </c>
      <c r="Z11" s="41" t="e">
        <f ca="1">_xll.BDP($C11,Z$1)/100</f>
        <v>#NAME?</v>
      </c>
      <c r="AA11" s="42" t="e">
        <f ca="1">_xll.BDP($C11,"TRAIL_12M_NET_SALES","EQY_FUND_CRNCY=HKD")</f>
        <v>#NAME?</v>
      </c>
      <c r="AB11" s="42" t="e">
        <f ca="1">_xll.BDP($C11,"TRAIL_12M_NET_INC","EQY_FUND_CRNCY=HKD")</f>
        <v>#NAME?</v>
      </c>
      <c r="AC11" s="42" t="e">
        <f ca="1">_xll.BDP($C11,"TRAIL_12M_EBITDA","EQY_FUND_CRNCY=HKD")</f>
        <v>#NAME?</v>
      </c>
      <c r="AD11" s="43" t="e" cm="1">
        <f t="array" aca="1" ref="AD11" ca="1">_xll.BQL($C11, "PE_RATIO(FPT=BA, FPR=2025, FYE=C1231, AE=E)")</f>
        <v>#NAME?</v>
      </c>
      <c r="AE11" s="43" t="e">
        <f t="array" aca="1" ref="AE11" ca="1">_xll.BQL($C11, "PE_RATIO(FPT=BA, FPR=2026, FYE=C1231, AE=E)")</f>
        <v>#NAME?</v>
      </c>
      <c r="AF11" s="43" t="e">
        <f t="array" aca="1" ref="AF11" ca="1">_xll.BQL($C11, "PE_RATIO(FPT=BA, FPR=2027, FYE=C1231, AE=E)")</f>
        <v>#NAME?</v>
      </c>
      <c r="AG11" s="43" t="e" cm="1">
        <f t="array" aca="1" ref="AG11" ca="1">_xll.BQL($C11, "PX_TO_SALES_RATIO(FPT=BA, FPR=2025, FYE=C1231, AE=E)")</f>
        <v>#NAME?</v>
      </c>
      <c r="AH11" s="43" t="e">
        <f t="array" aca="1" ref="AH11" ca="1">_xll.BQL($C11, "PX_TO_SALES_RATIO(FPT=BA, FPR=2026, FYE=C1231, AE=E)")</f>
        <v>#NAME?</v>
      </c>
      <c r="AI11" s="43" t="e">
        <f t="array" aca="1" ref="AI11" ca="1">_xll.BQL($C11, "PX_TO_SALES_RATIO(FPT=BA, FPR=2027, FYE=C1231, AE=E)")</f>
        <v>#NAME?</v>
      </c>
      <c r="AJ11" s="43" t="e">
        <f t="shared" ca="1" si="0"/>
        <v>#NAME?</v>
      </c>
      <c r="AK11" s="43" t="e">
        <f t="array" aca="1" ref="AK11" ca="1">IF(_xll.BQL($C11, "CURR_ENTP_VAL(FPT=A,FPO=0)/EBITDA(FPT=BA, FPR=2026, FYE=C1231, AE=E)")&lt;0,"N/A",_xll.BQL($C11, "CURR_ENTP_VAL(FPT=A,FPO=0)/EBITDA(FPT=BA, FPR=2026, FYE=C1231, AE=E)"))</f>
        <v>#NAME?</v>
      </c>
      <c r="AL11" s="43" t="e">
        <f t="array" aca="1" ref="AL11" ca="1">IF(_xll.BQL($C11, "CURR_ENTP_VAL(FPT=A,FPO=0)/EBITDA(FPT=BA, FPR=2027, FYE=C1231, AE=E)")&lt;0,"N/A",_xll.BQL($C11, "CURR_ENTP_VAL(FPT=A,FPO=0)/EBITDA(FPT=BA, FPR=2027, FYE=C1231, AE=E)"))</f>
        <v>#NAME?</v>
      </c>
      <c r="AM11" s="43" t="e">
        <f ca="1">_xll.BDP($C11,AM$1)</f>
        <v>#NAME?</v>
      </c>
      <c r="AN11" s="43" t="e">
        <f t="array" aca="1" ref="AN11" ca="1">_xll.BQL($C11, "PX_TO_BOOK_RATIO(FPT=BA, FPR=2026, FYE=C1231, AE=E)")</f>
        <v>#NAME?</v>
      </c>
      <c r="AO11" s="43" t="e">
        <f t="array" aca="1" ref="AO11" ca="1">_xll.BQL($C11, "PX_TO_BOOK_RATIO(FPT=BA, FPR=2027, FYE=C1231, AE=E)")</f>
        <v>#NAME?</v>
      </c>
      <c r="AP11" s="43" t="e">
        <f ca="1">_xll.BDP($C11,"BEST Px bps ratio","BEST fperiod override","27Y")</f>
        <v>#NAME?</v>
      </c>
      <c r="AQ11" s="41" t="e">
        <f t="shared" ca="1" si="1"/>
        <v>#NAME?</v>
      </c>
      <c r="AR11" s="41" t="e">
        <f ca="1">_xll.BDP($C11,"BEST_ROE","BEST fperiod override","26Y")/100</f>
        <v>#NAME?</v>
      </c>
      <c r="AS11" s="41" t="e">
        <f ca="1">_xll.BDP($C11,"BEST_ROE","BEST fperiod override","27Y")/100</f>
        <v>#NAME?</v>
      </c>
      <c r="AT11" s="44" t="e">
        <f ca="1">_xll.BDP($C11,AT$1)</f>
        <v>#NAME?</v>
      </c>
      <c r="AU11" s="44" t="e">
        <f ca="1">_xll.BDP($C11,$AU$1,"BEST fperiod override","26Y")</f>
        <v>#NAME?</v>
      </c>
      <c r="AV11" s="44" t="e">
        <f ca="1">_xll.BDP($C11,$AU$1,"BEST fperiod override","27Y")</f>
        <v>#NAME?</v>
      </c>
      <c r="AW11" s="44" t="e">
        <f t="shared" ca="1" si="2"/>
        <v>#NAME?</v>
      </c>
      <c r="AX11" s="44" t="e">
        <f t="shared" ca="1" si="3"/>
        <v>#NAME?</v>
      </c>
      <c r="AY11" s="44" t="e">
        <f t="shared" ca="1" si="4"/>
        <v>#NAME?</v>
      </c>
      <c r="AZ11" s="45" t="e">
        <f t="array" aca="1" ref="AZ11" ca="1">_xll.BQL($C11, "CF_CASH_FROM_OPER(FPT=BA, FPR=2022, FYE=C1231, AE=A)", "currency=USD")/1000000000</f>
        <v>#NAME?</v>
      </c>
      <c r="BA11" s="45" t="e">
        <f t="array" aca="1" ref="BA11" ca="1">_xll.BQL($C11, "CF_CASH_FROM_OPER(FPT=BA, FPR=2023, FYE=C1231, AE=A)", "currency=USD")/1000000000</f>
        <v>#NAME?</v>
      </c>
      <c r="BB11" s="45" t="e">
        <f t="array" aca="1" ref="BB11" ca="1">_xll.BQL($C11, "CF_CASH_FROM_OPER(FPT=BA, FPR=2024, FYE=C1231, AE=A)", "currency=USD")/1000000000</f>
        <v>#NAME?</v>
      </c>
      <c r="BC11" s="45" t="e">
        <f t="array" aca="1" ref="BC11" ca="1">_xll.BQL($C11, "CF_CASH_FROM_OPER(FPT=BA, FPR=2025, FYE=C1231, AE=E)", "currency=USD")/1000000000</f>
        <v>#NAME?</v>
      </c>
      <c r="BD11" s="45" t="e">
        <f t="array" aca="1" ref="BD11" ca="1">_xll.BQL($C11, "CF_CASH_FROM_OPER(FPT=BA, FPR=2026, FYE=C1231, AE=E)", "currency=USD")/1000000000</f>
        <v>#NAME?</v>
      </c>
      <c r="BE11" s="45" t="e">
        <f t="array" aca="1" ref="BE11" ca="1">_xll.BQL($C11, "CF_CASH_FROM_OPER(FPT=BA, FPR=2027, FYE=C1231, AE=E)", "currency=USD")/1000000000</f>
        <v>#NAME?</v>
      </c>
      <c r="BF11" s="45" t="e">
        <f t="array" aca="1" ref="BF11" ca="1">_xll.BQL($C11, "CF_FREE_CASH_FLOW(FPT=BA, FPR=2022, FYE=C1231, AE=A)", "currency=USD")/1000000000</f>
        <v>#NAME?</v>
      </c>
      <c r="BG11" s="45" t="e">
        <f t="array" aca="1" ref="BG11" ca="1">_xll.BQL($C11, "CF_FREE_CASH_FLOW(FPT=BA, FPR=2023, FYE=C1231, AE=A)", "currency=USD")/1000000000</f>
        <v>#NAME?</v>
      </c>
      <c r="BH11" s="45" t="e">
        <f t="array" aca="1" ref="BH11" ca="1">_xll.BQL($C11, "CF_FREE_CASH_FLOW(FPT=BA, FPR=2024, FYE=C1231, AE=A)", "currency=USD")/1000000000</f>
        <v>#NAME?</v>
      </c>
      <c r="BI11" s="45" t="e">
        <f t="array" aca="1" ref="BI11" ca="1">_xll.BQL($C11, "CF_FREE_CASH_FLOW(FPT=BA, FPR=2025, FYE=C1231, AE=E)", "currency=USD")/1000000000</f>
        <v>#NAME?</v>
      </c>
      <c r="BJ11" s="45" t="e">
        <f t="array" aca="1" ref="BJ11" ca="1">_xll.BQL($C11, "CF_FREE_CASH_FLOW(FPT=BA, FPR=2026, FYE=C1231, AE=E)", "currency=USD")/1000000000</f>
        <v>#NAME?</v>
      </c>
      <c r="BK11" s="45" t="e">
        <f t="array" aca="1" ref="BK11" ca="1">_xll.BQL($C11, "CF_FREE_CASH_FLOW(FPT=BA, FPR=2027, FYE=C1231, AE=E)", "currency=USD")/1000000000</f>
        <v>#NAME?</v>
      </c>
      <c r="BL11" s="45" t="e">
        <f t="array" aca="1" ref="BL11" ca="1">_xll.BQL($C11, "SALES_REV_TURN(FPT=BA, FPR=2022, FYE=C1231, AE=A)", "currency=USD")/1000000000</f>
        <v>#NAME?</v>
      </c>
      <c r="BM11" s="45" t="e">
        <f t="array" aca="1" ref="BM11" ca="1">_xll.BQL($C11, "SALES_REV_TURN(FPT=BA, FPR=2023, FYE=C1231, AE=A)", "currency=USD")/1000000000</f>
        <v>#NAME?</v>
      </c>
      <c r="BN11" s="45" t="e">
        <f t="array" aca="1" ref="BN11" ca="1">_xll.BQL($C11, "SALES_REV_TURN(FPT=BA, FPR=2024, FYE=C1231, AE=A)", "currency=USD")/1000000000</f>
        <v>#NAME?</v>
      </c>
      <c r="BO11" s="45" t="e">
        <f t="array" aca="1" ref="BO11" ca="1">_xll.BQL($C11, "SALES_REV_TURN(FPT=BA, FPR=2025, FYE=C1231, AE=E)", "currency=USD")/1000000000</f>
        <v>#NAME?</v>
      </c>
      <c r="BP11" s="45" t="e">
        <f t="array" aca="1" ref="BP11" ca="1">_xll.BQL($C11, "SALES_REV_TURN(FPT=BA, FPR=2026, FYE=C1231, AE=E)", "currency=USD")/1000000000</f>
        <v>#NAME?</v>
      </c>
      <c r="BQ11" s="45" t="e">
        <f t="array" aca="1" ref="BQ11" ca="1">_xll.BQL($C11, "SALES_REV_TURN(FPT=BA, FPR=2027, FYE=C1231, AE=E)", "currency=USD")/1000000000</f>
        <v>#NAME?</v>
      </c>
      <c r="BR11" s="45" t="e">
        <f t="array" aca="1" ref="BR11" ca="1">_xll.BQL($C11, "EBITDA(FPT=BA, FPR=2022, FYE=C1231, AE=A)", "currency=USD")/1000000000</f>
        <v>#NAME?</v>
      </c>
      <c r="BS11" s="45" t="e">
        <f t="array" aca="1" ref="BS11" ca="1">_xll.BQL($C11, "EBITDA(FPT=BA, FPR=2023, FYE=C1231, AE=A)", "currency=USD")/1000000000</f>
        <v>#NAME?</v>
      </c>
      <c r="BT11" s="45" t="e">
        <f t="array" aca="1" ref="BT11" ca="1">_xll.BQL($C11, "EBITDA(FPT=BA, FPR=2024, FYE=C1231, AE=A)", "currency=USD")/1000000000</f>
        <v>#NAME?</v>
      </c>
      <c r="BU11" s="45" t="e">
        <f t="array" aca="1" ref="BU11" ca="1">_xll.BQL($C11, "EBITDA(FPT=BA, FPR=2025, FYE=C1231, AE=E)", "currency=USD")/1000000000</f>
        <v>#NAME?</v>
      </c>
      <c r="BV11" s="45" t="e">
        <f t="array" aca="1" ref="BV11" ca="1">_xll.BQL($C11, "EBITDA(FPT=BA, FPR=2026, FYE=C1231, AE=E)", "currency=USD")/1000000000</f>
        <v>#NAME?</v>
      </c>
      <c r="BW11" s="45" t="e">
        <f t="array" aca="1" ref="BW11" ca="1">_xll.BQL($C11, "EBITDA(FPT=BA, FPR=2027, FYE=C1231, AE=E)", "currency=USD")/1000000000</f>
        <v>#NAME?</v>
      </c>
      <c r="BX11" s="45" t="e">
        <f t="array" aca="1" ref="BX11" ca="1">_xll.BQL($C11, "NET_INCOME(FPT=BA, FPR=2022, FYE=C1231, AE=A)", "currency=USD")/1000000000</f>
        <v>#NAME?</v>
      </c>
      <c r="BY11" s="45" t="e">
        <f t="array" aca="1" ref="BY11" ca="1">_xll.BQL($C11, "NET_INCOME(FPT=BA, FPR=2023, FYE=C1231, AE=A)", "currency=USD")/1000000000</f>
        <v>#NAME?</v>
      </c>
      <c r="BZ11" s="45" t="e">
        <f t="array" aca="1" ref="BZ11" ca="1">_xll.BQL($C11, "NET_INCOME(FPT=BA, FPR=2024, FYE=C1231, AE=A)", "currency=USD")/1000000000</f>
        <v>#NAME?</v>
      </c>
      <c r="CA11" s="45" t="e">
        <f t="array" aca="1" ref="CA11" ca="1">_xll.BQL($C11, "NET_INCOME(FPT=BA, FPR=2025, FYE=C1231, AE=E)", "currency=USD")/1000000000</f>
        <v>#NAME?</v>
      </c>
      <c r="CB11" s="45" t="e">
        <f t="array" aca="1" ref="CB11" ca="1">_xll.BQL($C11, "NET_INCOME(FPT=BA, FPR=2026, FYE=C1231, AE=E)", "currency=USD")/1000000000</f>
        <v>#NAME?</v>
      </c>
      <c r="CC11" s="45" t="e">
        <f t="array" aca="1" ref="CC11" ca="1">_xll.BQL($C11, "NET_INCOME(FPT=BA, FPR=2027, FYE=C1231, AE=E)", "currency=USD")/1000000000</f>
        <v>#NAME?</v>
      </c>
      <c r="CD11" s="45" t="e">
        <f t="array" aca="1" ref="CD11" ca="1">-_xll.BQL($C11, "CF_DVD_PAID(FPT=BA, FPR=2024, FYE=C1231, AE=A)", "currency=USD")/1000000000</f>
        <v>#NAME?</v>
      </c>
      <c r="CE11" s="45" t="e">
        <f t="array" aca="1" ref="CE11" ca="1">-_xll.BQL($C11, "CF_DVD_PAID(FPT=BA, FPR=2025, FYE=C1231, AE=E)", "currency=USD")/1000000000</f>
        <v>#NAME?</v>
      </c>
      <c r="CF11" s="45" t="e">
        <f t="array" aca="1" ref="CF11" ca="1">-_xll.BQL($C11, "CF_DVD_PAID(FPT=BA, FPR=2026, FYE=C1231, AE=E)", "currency=USD")/1000000000</f>
        <v>#NAME?</v>
      </c>
      <c r="CG11" s="45" t="e">
        <f t="array" aca="1" ref="CG11" ca="1">-_xll.BQL($C11, "CF_DVD_PAID(FPT=BA, FPR=2027, FYE=C1231, AE=E)", "currency=USD")/1000000000</f>
        <v>#NAME?</v>
      </c>
      <c r="CH11" s="46" t="e">
        <f t="shared" ca="1" si="5"/>
        <v>#NAME?</v>
      </c>
      <c r="CI11" s="46" t="e">
        <f t="shared" ca="1" si="6"/>
        <v>#NAME?</v>
      </c>
      <c r="CJ11" s="46" t="e">
        <f t="shared" ca="1" si="7"/>
        <v>#NAME?</v>
      </c>
      <c r="CK11" s="46" t="e">
        <f t="shared" ca="1" si="8"/>
        <v>#NAME?</v>
      </c>
      <c r="CL11" s="43" t="e">
        <f t="array" aca="1" ref="CL11" ca="1">_xll.BDP($C11,"INTERVAL_AVG", "MARKET_DATA_OVERRIDE=turnover", "CALC_INTERVAL=5D","CRNCY=HKD")/1000000</f>
        <v>#NAME?</v>
      </c>
      <c r="CM11" s="43" t="e">
        <f t="array" aca="1" ref="CM11" ca="1">_xll.BDP($C11,"INTERVAL_AVG", "MARKET_DATA_OVERRIDE=turnover", "CALC_INTERVAL=10D","CRNCY=HKD")/1000000</f>
        <v>#NAME?</v>
      </c>
      <c r="CN11" s="43" t="e">
        <f t="array" aca="1" ref="CN11" ca="1">_xll.BDP($C11,"INTERVAL_AVG", "MARKET_DATA_OVERRIDE=turnover", "CALC_INTERVAL=20D","CRNCY=HKD")/1000000</f>
        <v>#NAME?</v>
      </c>
      <c r="CO11" s="43" t="e">
        <f t="array" aca="1" ref="CO11" ca="1">_xll.BDP($C11,"INTERVAL_AVG", "MARKET_DATA_OVERRIDE=turnover", "CALC_INTERVAL=1m","CRNCY=HKD")/1000000</f>
        <v>#NAME?</v>
      </c>
      <c r="CP11" s="43" t="e">
        <f t="array" aca="1" ref="CP11" ca="1">_xll.BDP($C11,"INTERVAL_AVG", "MARKET_DATA_OVERRIDE=turnover", "CALC_INTERVAL=3M","CRNCY=HKD")/1000000</f>
        <v>#NAME?</v>
      </c>
      <c r="CQ11" s="43" t="e">
        <f t="array" aca="1" ref="CQ11" ca="1">_xll.BDP($C11,"INTERVAL_AVG", "MARKET_DATA_OVERRIDE=turnover", "CALC_INTERVAL=6M","CRNCY=HKD")/1000000</f>
        <v>#NAME?</v>
      </c>
      <c r="CR11" s="47" t="e">
        <f ca="1">_xll.BDP($C11,"chg pct 1m")/100</f>
        <v>#NAME?</v>
      </c>
      <c r="CS11" s="47" t="e">
        <f ca="1">_xll.BDP($C11,"chg pct 3m")/100</f>
        <v>#NAME?</v>
      </c>
      <c r="CT11" s="47" t="e">
        <f ca="1">_xll.BDP($C11,"chg pct 6m")/100</f>
        <v>#NAME?</v>
      </c>
      <c r="CU11" s="47" t="e">
        <f ca="1">_xll.BDP($C11,"chg pct 1yr")/100</f>
        <v>#NAME?</v>
      </c>
      <c r="CV11" s="47" t="e">
        <f ca="1">_xll.BDP($C11,"chg pct ytd")/100</f>
        <v>#NAME?</v>
      </c>
      <c r="CW11" s="41" t="e">
        <f t="array" aca="1" ref="CW11" ca="1">_xll.BQL($C11, "volatility(calc_interval=range(-1M, 0D))")</f>
        <v>#NAME?</v>
      </c>
      <c r="CX11" s="41" t="e">
        <f t="array" aca="1" ref="CX11" ca="1">_xll.BQL($C11, "volatility(calc_interval=range(-3M, 0D))")</f>
        <v>#NAME?</v>
      </c>
      <c r="CY11" s="41" t="e">
        <f t="array" aca="1" ref="CY11" ca="1">_xll.BQL($C11, "volatility(calc_interval=range(-6M, 0D))")</f>
        <v>#NAME?</v>
      </c>
      <c r="CZ11" s="48" t="e">
        <f ca="1">_xll.BDP($C11,CZ$1)</f>
        <v>#NAME?</v>
      </c>
    </row>
    <row r="12" spans="1:116" s="49" customFormat="1" ht="31.5" customHeight="1">
      <c r="A12" s="37" t="e">
        <f ca="1">_xll.BDP($C12,"security name")</f>
        <v>#NAME?</v>
      </c>
      <c r="B12" s="37" t="e">
        <f ca="1">_xll.BDP($C12,"NAME_CHINESE_SIMPLIFIED")</f>
        <v>#NAME?</v>
      </c>
      <c r="C12" s="38" t="s">
        <v>102</v>
      </c>
      <c r="D12" s="39" t="e">
        <f ca="1">_xll.BDP($C12,"LISTING_DATE")</f>
        <v>#NAME?</v>
      </c>
      <c r="E12" s="39" t="e">
        <f ca="1">_xll.BDP($C12,E$1,"EQY_FUND_CRNCY="&amp;$B$1)</f>
        <v>#NAME?</v>
      </c>
      <c r="F12" s="39" t="e">
        <f ca="1">_xll.BDP($C12,F$1,"EQY_FUND_CRNCY="&amp;$C$1)</f>
        <v>#NAME?</v>
      </c>
      <c r="G12" s="40" t="e">
        <f ca="1">_xll.BDP($C12,G$1)</f>
        <v>#NAME?</v>
      </c>
      <c r="H12" s="39" t="e">
        <f ca="1">_xll.BDP($C12,H$1,"EQY_FUND_CRNCY="&amp;$B$1)</f>
        <v>#NAME?</v>
      </c>
      <c r="I12" s="39" t="e">
        <f ca="1">_xll.BDP($C12,I$1,"EQY_FUND_CRNCY="&amp;$C$1)</f>
        <v>#NAME?</v>
      </c>
      <c r="J12" s="39" t="e">
        <f ca="1">_xll.BDP($C12,J$1,"EQY_FUND_CRNCY="&amp;$B$1)</f>
        <v>#NAME?</v>
      </c>
      <c r="K12" s="39" t="e">
        <f ca="1">_xll.BDP($C12,K$1,"EQY_FUND_CRNCY="&amp;$C$1)</f>
        <v>#NAME?</v>
      </c>
      <c r="L12" s="39" t="e">
        <f ca="1">_xll.BDP($C12,L$1,"EQY_FUND_CRNCY="&amp;$B$1)</f>
        <v>#NAME?</v>
      </c>
      <c r="M12" s="39" t="e">
        <f ca="1">_xll.BDP($C12,M$1,"EQY_FUND_CRNCY="&amp;$C$1)</f>
        <v>#NAME?</v>
      </c>
      <c r="N12" s="41" t="e">
        <f ca="1">_xll.BDP($C12,N$1)/100</f>
        <v>#NAME?</v>
      </c>
      <c r="O12" s="41" t="e">
        <f ca="1">_xll.BDP($C12,O$1)/100</f>
        <v>#NAME?</v>
      </c>
      <c r="P12" s="41" t="e">
        <f ca="1">_xll.BDP($C12,P$1)/100</f>
        <v>#NAME?</v>
      </c>
      <c r="Q12" s="41" t="e">
        <f ca="1">_xll.BDP($C12,Q$1)/100</f>
        <v>#NAME?</v>
      </c>
      <c r="R12" s="41" t="e">
        <f ca="1">_xll.BDP($C12,R$1)/100</f>
        <v>#NAME?</v>
      </c>
      <c r="S12" s="41" t="e">
        <f ca="1">_xll.BDP($C12,S$1)/100</f>
        <v>#NAME?</v>
      </c>
      <c r="T12" s="41" t="e">
        <f ca="1">_xll.BDP($C12,T$1)/100</f>
        <v>#NAME?</v>
      </c>
      <c r="U12" s="41" t="e">
        <f ca="1">_xll.BDP($C12,U$1)/100</f>
        <v>#NAME?</v>
      </c>
      <c r="V12" s="41" t="e">
        <f ca="1">_xll.BDP($C12,V$1)/100</f>
        <v>#NAME?</v>
      </c>
      <c r="W12" s="41" t="e">
        <f ca="1">_xll.BDP($C12,W$1)/100</f>
        <v>#NAME?</v>
      </c>
      <c r="X12" s="42" t="e">
        <f t="array" aca="1" ref="X12" ca="1">_xll.BDP($C12,"CRNCY_ADJ_CURR_EV", "EQY_FUND_CRNCY=HKD")</f>
        <v>#NAME?</v>
      </c>
      <c r="Y12" s="42" t="e">
        <f t="array" aca="1" ref="Y12" ca="1">_xll.BDP($C12,"CRNCY_ADJ_CURR_EV", "EQY_FUND_CRNCY=USD")</f>
        <v>#NAME?</v>
      </c>
      <c r="Z12" s="41" t="e">
        <f ca="1">_xll.BDP($C12,Z$1)/100</f>
        <v>#NAME?</v>
      </c>
      <c r="AA12" s="42" t="e">
        <f ca="1">_xll.BDP($C12,"TRAIL_12M_NET_SALES","EQY_FUND_CRNCY=HKD")</f>
        <v>#NAME?</v>
      </c>
      <c r="AB12" s="42" t="e">
        <f ca="1">_xll.BDP($C12,"TRAIL_12M_NET_INC","EQY_FUND_CRNCY=HKD")</f>
        <v>#NAME?</v>
      </c>
      <c r="AC12" s="42" t="e">
        <f ca="1">_xll.BDP($C12,"TRAIL_12M_EBITDA","EQY_FUND_CRNCY=HKD")</f>
        <v>#NAME?</v>
      </c>
      <c r="AD12" s="43" t="e" cm="1">
        <f t="array" aca="1" ref="AD12" ca="1">_xll.BQL($C12, "PE_RATIO(FPT=BA, FPR=2025, FYE=C1231, AE=E)")</f>
        <v>#NAME?</v>
      </c>
      <c r="AE12" s="43" t="e">
        <f t="array" aca="1" ref="AE12" ca="1">_xll.BQL($C12, "PE_RATIO(FPT=BA, FPR=2026, FYE=C1231, AE=E)")</f>
        <v>#NAME?</v>
      </c>
      <c r="AF12" s="43" t="e">
        <f t="array" aca="1" ref="AF12" ca="1">_xll.BQL($C12, "PE_RATIO(FPT=BA, FPR=2027, FYE=C1231, AE=E)")</f>
        <v>#NAME?</v>
      </c>
      <c r="AG12" s="43" t="e" cm="1">
        <f t="array" aca="1" ref="AG12" ca="1">_xll.BQL($C12, "PX_TO_SALES_RATIO(FPT=BA, FPR=2025, FYE=C1231, AE=E)")</f>
        <v>#NAME?</v>
      </c>
      <c r="AH12" s="43" t="e">
        <f t="array" aca="1" ref="AH12" ca="1">_xll.BQL($C12, "PX_TO_SALES_RATIO(FPT=BA, FPR=2026, FYE=C1231, AE=E)")</f>
        <v>#NAME?</v>
      </c>
      <c r="AI12" s="43" t="e">
        <f t="array" aca="1" ref="AI12" ca="1">_xll.BQL($C12, "PX_TO_SALES_RATIO(FPT=BA, FPR=2027, FYE=C1231, AE=E)")</f>
        <v>#NAME?</v>
      </c>
      <c r="AJ12" s="43" t="e">
        <f t="shared" ca="1" si="0"/>
        <v>#NAME?</v>
      </c>
      <c r="AK12" s="43" t="e">
        <f t="array" aca="1" ref="AK12" ca="1">IF(_xll.BQL($C12, "CURR_ENTP_VAL(FPT=A,FPO=0)/EBITDA(FPT=BA, FPR=2026, FYE=C1231, AE=E)")&lt;0,"N/A",_xll.BQL($C12, "CURR_ENTP_VAL(FPT=A,FPO=0)/EBITDA(FPT=BA, FPR=2026, FYE=C1231, AE=E)"))</f>
        <v>#NAME?</v>
      </c>
      <c r="AL12" s="43" t="e">
        <f t="array" aca="1" ref="AL12" ca="1">IF(_xll.BQL($C12, "CURR_ENTP_VAL(FPT=A,FPO=0)/EBITDA(FPT=BA, FPR=2027, FYE=C1231, AE=E)")&lt;0,"N/A",_xll.BQL($C12, "CURR_ENTP_VAL(FPT=A,FPO=0)/EBITDA(FPT=BA, FPR=2027, FYE=C1231, AE=E)"))</f>
        <v>#NAME?</v>
      </c>
      <c r="AM12" s="43" t="e">
        <f ca="1">_xll.BDP($C12,AM$1)</f>
        <v>#NAME?</v>
      </c>
      <c r="AN12" s="43" t="e">
        <f t="array" aca="1" ref="AN12" ca="1">_xll.BQL($C12, "PX_TO_BOOK_RATIO(FPT=BA, FPR=2026, FYE=C1231, AE=E)")</f>
        <v>#NAME?</v>
      </c>
      <c r="AO12" s="43" t="e">
        <f t="array" aca="1" ref="AO12" ca="1">_xll.BQL($C12, "PX_TO_BOOK_RATIO(FPT=BA, FPR=2027, FYE=C1231, AE=E)")</f>
        <v>#NAME?</v>
      </c>
      <c r="AP12" s="43" t="e">
        <f ca="1">_xll.BDP($C12,"BEST Px bps ratio","BEST fperiod override","27Y")</f>
        <v>#NAME?</v>
      </c>
      <c r="AQ12" s="41" t="e">
        <f t="shared" ca="1" si="1"/>
        <v>#NAME?</v>
      </c>
      <c r="AR12" s="41" t="e">
        <f ca="1">_xll.BDP($C12,"BEST_ROE","BEST fperiod override","26Y")/100</f>
        <v>#NAME?</v>
      </c>
      <c r="AS12" s="41" t="e">
        <f ca="1">_xll.BDP($C12,"BEST_ROE","BEST fperiod override","27Y")/100</f>
        <v>#NAME?</v>
      </c>
      <c r="AT12" s="44" t="e">
        <f ca="1">_xll.BDP($C12,AT$1)</f>
        <v>#NAME?</v>
      </c>
      <c r="AU12" s="44" t="e">
        <f ca="1">_xll.BDP($C12,$AU$1,"BEST fperiod override","26Y")</f>
        <v>#NAME?</v>
      </c>
      <c r="AV12" s="44" t="e">
        <f ca="1">_xll.BDP($C12,$AU$1,"BEST fperiod override","27Y")</f>
        <v>#NAME?</v>
      </c>
      <c r="AW12" s="44" t="e">
        <f t="shared" ca="1" si="2"/>
        <v>#NAME?</v>
      </c>
      <c r="AX12" s="44" t="e">
        <f t="shared" ca="1" si="3"/>
        <v>#NAME?</v>
      </c>
      <c r="AY12" s="44" t="e">
        <f t="shared" ca="1" si="4"/>
        <v>#NAME?</v>
      </c>
      <c r="AZ12" s="45" t="e">
        <f t="array" aca="1" ref="AZ12" ca="1">_xll.BQL($C12, "CF_CASH_FROM_OPER(FPT=BA, FPR=2022, FYE=C1231, AE=A)", "currency=USD")/1000000000</f>
        <v>#NAME?</v>
      </c>
      <c r="BA12" s="45" t="e">
        <f t="array" aca="1" ref="BA12" ca="1">_xll.BQL($C12, "CF_CASH_FROM_OPER(FPT=BA, FPR=2023, FYE=C1231, AE=A)", "currency=USD")/1000000000</f>
        <v>#NAME?</v>
      </c>
      <c r="BB12" s="45" t="e">
        <f t="array" aca="1" ref="BB12" ca="1">_xll.BQL($C12, "CF_CASH_FROM_OPER(FPT=BA, FPR=2024, FYE=C1231, AE=A)", "currency=USD")/1000000000</f>
        <v>#NAME?</v>
      </c>
      <c r="BC12" s="45" t="e">
        <f t="array" aca="1" ref="BC12" ca="1">_xll.BQL($C12, "CF_CASH_FROM_OPER(FPT=BA, FPR=2025, FYE=C1231, AE=E)", "currency=USD")/1000000000</f>
        <v>#NAME?</v>
      </c>
      <c r="BD12" s="45" t="e">
        <f t="array" aca="1" ref="BD12" ca="1">_xll.BQL($C12, "CF_CASH_FROM_OPER(FPT=BA, FPR=2026, FYE=C1231, AE=E)", "currency=USD")/1000000000</f>
        <v>#NAME?</v>
      </c>
      <c r="BE12" s="45" t="e">
        <f t="array" aca="1" ref="BE12" ca="1">_xll.BQL($C12, "CF_CASH_FROM_OPER(FPT=BA, FPR=2027, FYE=C1231, AE=E)", "currency=USD")/1000000000</f>
        <v>#NAME?</v>
      </c>
      <c r="BF12" s="45" t="e">
        <f t="array" aca="1" ref="BF12" ca="1">_xll.BQL($C12, "CF_FREE_CASH_FLOW(FPT=BA, FPR=2022, FYE=C1231, AE=A)", "currency=USD")/1000000000</f>
        <v>#NAME?</v>
      </c>
      <c r="BG12" s="45" t="e">
        <f t="array" aca="1" ref="BG12" ca="1">_xll.BQL($C12, "CF_FREE_CASH_FLOW(FPT=BA, FPR=2023, FYE=C1231, AE=A)", "currency=USD")/1000000000</f>
        <v>#NAME?</v>
      </c>
      <c r="BH12" s="45" t="e">
        <f t="array" aca="1" ref="BH12" ca="1">_xll.BQL($C12, "CF_FREE_CASH_FLOW(FPT=BA, FPR=2024, FYE=C1231, AE=A)", "currency=USD")/1000000000</f>
        <v>#NAME?</v>
      </c>
      <c r="BI12" s="45" t="e">
        <f t="array" aca="1" ref="BI12" ca="1">_xll.BQL($C12, "CF_FREE_CASH_FLOW(FPT=BA, FPR=2025, FYE=C1231, AE=E)", "currency=USD")/1000000000</f>
        <v>#NAME?</v>
      </c>
      <c r="BJ12" s="45" t="e">
        <f t="array" aca="1" ref="BJ12" ca="1">_xll.BQL($C12, "CF_FREE_CASH_FLOW(FPT=BA, FPR=2026, FYE=C1231, AE=E)", "currency=USD")/1000000000</f>
        <v>#NAME?</v>
      </c>
      <c r="BK12" s="45" t="e">
        <f t="array" aca="1" ref="BK12" ca="1">_xll.BQL($C12, "CF_FREE_CASH_FLOW(FPT=BA, FPR=2027, FYE=C1231, AE=E)", "currency=USD")/1000000000</f>
        <v>#NAME?</v>
      </c>
      <c r="BL12" s="45" t="e">
        <f t="array" aca="1" ref="BL12" ca="1">_xll.BQL($C12, "SALES_REV_TURN(FPT=BA, FPR=2022, FYE=C1231, AE=A)", "currency=USD")/1000000000</f>
        <v>#NAME?</v>
      </c>
      <c r="BM12" s="45" t="e">
        <f t="array" aca="1" ref="BM12" ca="1">_xll.BQL($C12, "SALES_REV_TURN(FPT=BA, FPR=2023, FYE=C1231, AE=A)", "currency=USD")/1000000000</f>
        <v>#NAME?</v>
      </c>
      <c r="BN12" s="45" t="e">
        <f t="array" aca="1" ref="BN12" ca="1">_xll.BQL($C12, "SALES_REV_TURN(FPT=BA, FPR=2024, FYE=C1231, AE=A)", "currency=USD")/1000000000</f>
        <v>#NAME?</v>
      </c>
      <c r="BO12" s="45" t="e">
        <f t="array" aca="1" ref="BO12" ca="1">_xll.BQL($C12, "SALES_REV_TURN(FPT=BA, FPR=2025, FYE=C1231, AE=E)", "currency=USD")/1000000000</f>
        <v>#NAME?</v>
      </c>
      <c r="BP12" s="45" t="e">
        <f t="array" aca="1" ref="BP12" ca="1">_xll.BQL($C12, "SALES_REV_TURN(FPT=BA, FPR=2026, FYE=C1231, AE=E)", "currency=USD")/1000000000</f>
        <v>#NAME?</v>
      </c>
      <c r="BQ12" s="45" t="e">
        <f t="array" aca="1" ref="BQ12" ca="1">_xll.BQL($C12, "SALES_REV_TURN(FPT=BA, FPR=2027, FYE=C1231, AE=E)", "currency=USD")/1000000000</f>
        <v>#NAME?</v>
      </c>
      <c r="BR12" s="45" t="e">
        <f t="array" aca="1" ref="BR12" ca="1">_xll.BQL($C12, "EBITDA(FPT=BA, FPR=2022, FYE=C1231, AE=A)", "currency=USD")/1000000000</f>
        <v>#NAME?</v>
      </c>
      <c r="BS12" s="45" t="e">
        <f t="array" aca="1" ref="BS12" ca="1">_xll.BQL($C12, "EBITDA(FPT=BA, FPR=2023, FYE=C1231, AE=A)", "currency=USD")/1000000000</f>
        <v>#NAME?</v>
      </c>
      <c r="BT12" s="45" t="e">
        <f t="array" aca="1" ref="BT12" ca="1">_xll.BQL($C12, "EBITDA(FPT=BA, FPR=2024, FYE=C1231, AE=A)", "currency=USD")/1000000000</f>
        <v>#NAME?</v>
      </c>
      <c r="BU12" s="45" t="e">
        <f t="array" aca="1" ref="BU12" ca="1">_xll.BQL($C12, "EBITDA(FPT=BA, FPR=2025, FYE=C1231, AE=E)", "currency=USD")/1000000000</f>
        <v>#NAME?</v>
      </c>
      <c r="BV12" s="45" t="e">
        <f t="array" aca="1" ref="BV12" ca="1">_xll.BQL($C12, "EBITDA(FPT=BA, FPR=2026, FYE=C1231, AE=E)", "currency=USD")/1000000000</f>
        <v>#NAME?</v>
      </c>
      <c r="BW12" s="45" t="e">
        <f t="array" aca="1" ref="BW12" ca="1">_xll.BQL($C12, "EBITDA(FPT=BA, FPR=2027, FYE=C1231, AE=E)", "currency=USD")/1000000000</f>
        <v>#NAME?</v>
      </c>
      <c r="BX12" s="45" t="e">
        <f t="array" aca="1" ref="BX12" ca="1">_xll.BQL($C12, "NET_INCOME(FPT=BA, FPR=2022, FYE=C1231, AE=A)", "currency=USD")/1000000000</f>
        <v>#NAME?</v>
      </c>
      <c r="BY12" s="45" t="e">
        <f t="array" aca="1" ref="BY12" ca="1">_xll.BQL($C12, "NET_INCOME(FPT=BA, FPR=2023, FYE=C1231, AE=A)", "currency=USD")/1000000000</f>
        <v>#NAME?</v>
      </c>
      <c r="BZ12" s="45" t="e">
        <f t="array" aca="1" ref="BZ12" ca="1">_xll.BQL($C12, "NET_INCOME(FPT=BA, FPR=2024, FYE=C1231, AE=A)", "currency=USD")/1000000000</f>
        <v>#NAME?</v>
      </c>
      <c r="CA12" s="45" t="e">
        <f t="array" aca="1" ref="CA12" ca="1">_xll.BQL($C12, "NET_INCOME(FPT=BA, FPR=2025, FYE=C1231, AE=E)", "currency=USD")/1000000000</f>
        <v>#NAME?</v>
      </c>
      <c r="CB12" s="45" t="e">
        <f t="array" aca="1" ref="CB12" ca="1">_xll.BQL($C12, "NET_INCOME(FPT=BA, FPR=2026, FYE=C1231, AE=E)", "currency=USD")/1000000000</f>
        <v>#NAME?</v>
      </c>
      <c r="CC12" s="45" t="e">
        <f t="array" aca="1" ref="CC12" ca="1">_xll.BQL($C12, "NET_INCOME(FPT=BA, FPR=2027, FYE=C1231, AE=E)", "currency=USD")/1000000000</f>
        <v>#NAME?</v>
      </c>
      <c r="CD12" s="45" t="e">
        <f t="array" aca="1" ref="CD12" ca="1">-_xll.BQL($C12, "CF_DVD_PAID(FPT=BA, FPR=2024, FYE=C1231, AE=A)", "currency=USD")/1000000000</f>
        <v>#NAME?</v>
      </c>
      <c r="CE12" s="45" t="e">
        <f t="array" aca="1" ref="CE12" ca="1">-_xll.BQL($C12, "CF_DVD_PAID(FPT=BA, FPR=2025, FYE=C1231, AE=E)", "currency=USD")/1000000000</f>
        <v>#NAME?</v>
      </c>
      <c r="CF12" s="45" t="e">
        <f t="array" aca="1" ref="CF12" ca="1">-_xll.BQL($C12, "CF_DVD_PAID(FPT=BA, FPR=2026, FYE=C1231, AE=E)", "currency=USD")/1000000000</f>
        <v>#NAME?</v>
      </c>
      <c r="CG12" s="45" t="e">
        <f t="array" aca="1" ref="CG12" ca="1">-_xll.BQL($C12, "CF_DVD_PAID(FPT=BA, FPR=2027, FYE=C1231, AE=E)", "currency=USD")/1000000000</f>
        <v>#NAME?</v>
      </c>
      <c r="CH12" s="46" t="e">
        <f t="shared" ca="1" si="5"/>
        <v>#NAME?</v>
      </c>
      <c r="CI12" s="46" t="e">
        <f t="shared" ca="1" si="6"/>
        <v>#NAME?</v>
      </c>
      <c r="CJ12" s="46" t="e">
        <f t="shared" ca="1" si="7"/>
        <v>#NAME?</v>
      </c>
      <c r="CK12" s="46" t="e">
        <f t="shared" ca="1" si="8"/>
        <v>#NAME?</v>
      </c>
      <c r="CL12" s="43" t="e">
        <f t="array" aca="1" ref="CL12" ca="1">_xll.BDP($C12,"INTERVAL_AVG", "MARKET_DATA_OVERRIDE=turnover", "CALC_INTERVAL=5D","CRNCY=HKD")/1000000</f>
        <v>#NAME?</v>
      </c>
      <c r="CM12" s="43" t="e">
        <f t="array" aca="1" ref="CM12" ca="1">_xll.BDP($C12,"INTERVAL_AVG", "MARKET_DATA_OVERRIDE=turnover", "CALC_INTERVAL=10D","CRNCY=HKD")/1000000</f>
        <v>#NAME?</v>
      </c>
      <c r="CN12" s="43" t="e">
        <f t="array" aca="1" ref="CN12" ca="1">_xll.BDP($C12,"INTERVAL_AVG", "MARKET_DATA_OVERRIDE=turnover", "CALC_INTERVAL=20D","CRNCY=HKD")/1000000</f>
        <v>#NAME?</v>
      </c>
      <c r="CO12" s="43" t="e">
        <f t="array" aca="1" ref="CO12" ca="1">_xll.BDP($C12,"INTERVAL_AVG", "MARKET_DATA_OVERRIDE=turnover", "CALC_INTERVAL=1m","CRNCY=HKD")/1000000</f>
        <v>#NAME?</v>
      </c>
      <c r="CP12" s="43" t="e">
        <f t="array" aca="1" ref="CP12" ca="1">_xll.BDP($C12,"INTERVAL_AVG", "MARKET_DATA_OVERRIDE=turnover", "CALC_INTERVAL=3M","CRNCY=HKD")/1000000</f>
        <v>#NAME?</v>
      </c>
      <c r="CQ12" s="43" t="e">
        <f t="array" aca="1" ref="CQ12" ca="1">_xll.BDP($C12,"INTERVAL_AVG", "MARKET_DATA_OVERRIDE=turnover", "CALC_INTERVAL=6M","CRNCY=HKD")/1000000</f>
        <v>#NAME?</v>
      </c>
      <c r="CR12" s="47" t="e">
        <f ca="1">_xll.BDP($C12,"chg pct 1m")/100</f>
        <v>#NAME?</v>
      </c>
      <c r="CS12" s="47" t="e">
        <f ca="1">_xll.BDP($C12,"chg pct 3m")/100</f>
        <v>#NAME?</v>
      </c>
      <c r="CT12" s="47" t="e">
        <f ca="1">_xll.BDP($C12,"chg pct 6m")/100</f>
        <v>#NAME?</v>
      </c>
      <c r="CU12" s="47" t="e">
        <f ca="1">_xll.BDP($C12,"chg pct 1yr")/100</f>
        <v>#NAME?</v>
      </c>
      <c r="CV12" s="47" t="e">
        <f ca="1">_xll.BDP($C12,"chg pct ytd")/100</f>
        <v>#NAME?</v>
      </c>
      <c r="CW12" s="41" t="e">
        <f t="array" aca="1" ref="CW12" ca="1">_xll.BQL($C12, "volatility(calc_interval=range(-1M, 0D))")</f>
        <v>#NAME?</v>
      </c>
      <c r="CX12" s="41" t="e">
        <f t="array" aca="1" ref="CX12" ca="1">_xll.BQL($C12, "volatility(calc_interval=range(-3M, 0D))")</f>
        <v>#NAME?</v>
      </c>
      <c r="CY12" s="41" t="e">
        <f t="array" aca="1" ref="CY12" ca="1">_xll.BQL($C12, "volatility(calc_interval=range(-6M, 0D))")</f>
        <v>#NAME?</v>
      </c>
      <c r="CZ12" s="48" t="e">
        <f ca="1">_xll.BDP($C12,CZ$1)</f>
        <v>#NAME?</v>
      </c>
    </row>
    <row r="13" spans="1:116" s="49" customFormat="1" ht="31.5" customHeight="1">
      <c r="A13" s="37" t="e">
        <f ca="1">_xll.BDP($C13,"security name")</f>
        <v>#NAME?</v>
      </c>
      <c r="B13" s="37" t="e">
        <f ca="1">_xll.BDP($C13,"NAME_CHINESE_SIMPLIFIED")</f>
        <v>#NAME?</v>
      </c>
      <c r="C13" s="38" t="s">
        <v>103</v>
      </c>
      <c r="D13" s="39" t="e">
        <f ca="1">_xll.BDP($C13,"LISTING_DATE")</f>
        <v>#NAME?</v>
      </c>
      <c r="E13" s="39" t="e">
        <f ca="1">_xll.BDP($C13,E$1,"EQY_FUND_CRNCY="&amp;$B$1)</f>
        <v>#NAME?</v>
      </c>
      <c r="F13" s="39" t="e">
        <f ca="1">_xll.BDP($C13,F$1,"EQY_FUND_CRNCY="&amp;$C$1)</f>
        <v>#NAME?</v>
      </c>
      <c r="G13" s="40" t="e">
        <f ca="1">_xll.BDP($C13,G$1)</f>
        <v>#NAME?</v>
      </c>
      <c r="H13" s="39" t="e">
        <f ca="1">_xll.BDP($C13,H$1,"EQY_FUND_CRNCY="&amp;$B$1)</f>
        <v>#NAME?</v>
      </c>
      <c r="I13" s="39" t="e">
        <f ca="1">_xll.BDP($C13,I$1,"EQY_FUND_CRNCY="&amp;$C$1)</f>
        <v>#NAME?</v>
      </c>
      <c r="J13" s="39" t="e">
        <f ca="1">_xll.BDP($C13,J$1,"EQY_FUND_CRNCY="&amp;$B$1)</f>
        <v>#NAME?</v>
      </c>
      <c r="K13" s="39" t="e">
        <f ca="1">_xll.BDP($C13,K$1,"EQY_FUND_CRNCY="&amp;$C$1)</f>
        <v>#NAME?</v>
      </c>
      <c r="L13" s="39" t="e">
        <f ca="1">_xll.BDP($C13,L$1,"EQY_FUND_CRNCY="&amp;$B$1)</f>
        <v>#NAME?</v>
      </c>
      <c r="M13" s="39" t="e">
        <f ca="1">_xll.BDP($C13,M$1,"EQY_FUND_CRNCY="&amp;$C$1)</f>
        <v>#NAME?</v>
      </c>
      <c r="N13" s="41" t="e">
        <f ca="1">_xll.BDP($C13,N$1)/100</f>
        <v>#NAME?</v>
      </c>
      <c r="O13" s="41" t="e">
        <f ca="1">_xll.BDP($C13,O$1)/100</f>
        <v>#NAME?</v>
      </c>
      <c r="P13" s="41" t="e">
        <f ca="1">_xll.BDP($C13,P$1)/100</f>
        <v>#NAME?</v>
      </c>
      <c r="Q13" s="41" t="e">
        <f ca="1">_xll.BDP($C13,Q$1)/100</f>
        <v>#NAME?</v>
      </c>
      <c r="R13" s="41" t="e">
        <f ca="1">_xll.BDP($C13,R$1)/100</f>
        <v>#NAME?</v>
      </c>
      <c r="S13" s="41" t="e">
        <f ca="1">_xll.BDP($C13,S$1)/100</f>
        <v>#NAME?</v>
      </c>
      <c r="T13" s="41" t="e">
        <f ca="1">_xll.BDP($C13,T$1)/100</f>
        <v>#NAME?</v>
      </c>
      <c r="U13" s="41" t="e">
        <f ca="1">_xll.BDP($C13,U$1)/100</f>
        <v>#NAME?</v>
      </c>
      <c r="V13" s="41" t="e">
        <f ca="1">_xll.BDP($C13,V$1)/100</f>
        <v>#NAME?</v>
      </c>
      <c r="W13" s="41" t="e">
        <f ca="1">_xll.BDP($C13,W$1)/100</f>
        <v>#NAME?</v>
      </c>
      <c r="X13" s="42" t="e">
        <f t="array" aca="1" ref="X13" ca="1">_xll.BDP($C13,"CRNCY_ADJ_CURR_EV", "EQY_FUND_CRNCY=HKD")</f>
        <v>#NAME?</v>
      </c>
      <c r="Y13" s="42" t="e">
        <f t="array" aca="1" ref="Y13" ca="1">_xll.BDP($C13,"CRNCY_ADJ_CURR_EV", "EQY_FUND_CRNCY=USD")</f>
        <v>#NAME?</v>
      </c>
      <c r="Z13" s="41" t="e">
        <f ca="1">_xll.BDP($C13,Z$1)/100</f>
        <v>#NAME?</v>
      </c>
      <c r="AA13" s="42" t="e">
        <f ca="1">_xll.BDP($C13,"TRAIL_12M_NET_SALES","EQY_FUND_CRNCY=HKD")</f>
        <v>#NAME?</v>
      </c>
      <c r="AB13" s="42" t="e">
        <f ca="1">_xll.BDP($C13,"TRAIL_12M_NET_INC","EQY_FUND_CRNCY=HKD")</f>
        <v>#NAME?</v>
      </c>
      <c r="AC13" s="42" t="e">
        <f ca="1">_xll.BDP($C13,"TRAIL_12M_EBITDA","EQY_FUND_CRNCY=HKD")</f>
        <v>#NAME?</v>
      </c>
      <c r="AD13" s="43" t="e" cm="1">
        <f t="array" aca="1" ref="AD13" ca="1">_xll.BQL($C13, "PE_RATIO(FPT=BA, FPR=2025, FYE=C1231, AE=E)")</f>
        <v>#NAME?</v>
      </c>
      <c r="AE13" s="43" t="e">
        <f t="array" aca="1" ref="AE13" ca="1">_xll.BQL($C13, "PE_RATIO(FPT=BA, FPR=2026, FYE=C1231, AE=E)")</f>
        <v>#NAME?</v>
      </c>
      <c r="AF13" s="43" t="e">
        <f t="array" aca="1" ref="AF13" ca="1">_xll.BQL($C13, "PE_RATIO(FPT=BA, FPR=2027, FYE=C1231, AE=E)")</f>
        <v>#NAME?</v>
      </c>
      <c r="AG13" s="43" t="e" cm="1">
        <f t="array" aca="1" ref="AG13" ca="1">_xll.BQL($C13, "PX_TO_SALES_RATIO(FPT=BA, FPR=2025, FYE=C1231, AE=E)")</f>
        <v>#NAME?</v>
      </c>
      <c r="AH13" s="43" t="e">
        <f t="array" aca="1" ref="AH13" ca="1">_xll.BQL($C13, "PX_TO_SALES_RATIO(FPT=BA, FPR=2026, FYE=C1231, AE=E)")</f>
        <v>#NAME?</v>
      </c>
      <c r="AI13" s="43" t="e">
        <f t="array" aca="1" ref="AI13" ca="1">_xll.BQL($C13, "PX_TO_SALES_RATIO(FPT=BA, FPR=2027, FYE=C1231, AE=E)")</f>
        <v>#NAME?</v>
      </c>
      <c r="AJ13" s="43" t="e">
        <f t="shared" ca="1" si="0"/>
        <v>#NAME?</v>
      </c>
      <c r="AK13" s="43" t="e">
        <f t="array" aca="1" ref="AK13" ca="1">IF(_xll.BQL($C13, "CURR_ENTP_VAL(FPT=A,FPO=0)/EBITDA(FPT=BA, FPR=2026, FYE=C1231, AE=E)")&lt;0,"N/A",_xll.BQL($C13, "CURR_ENTP_VAL(FPT=A,FPO=0)/EBITDA(FPT=BA, FPR=2026, FYE=C1231, AE=E)"))</f>
        <v>#NAME?</v>
      </c>
      <c r="AL13" s="43" t="e">
        <f t="array" aca="1" ref="AL13" ca="1">IF(_xll.BQL($C13, "CURR_ENTP_VAL(FPT=A,FPO=0)/EBITDA(FPT=BA, FPR=2027, FYE=C1231, AE=E)")&lt;0,"N/A",_xll.BQL($C13, "CURR_ENTP_VAL(FPT=A,FPO=0)/EBITDA(FPT=BA, FPR=2027, FYE=C1231, AE=E)"))</f>
        <v>#NAME?</v>
      </c>
      <c r="AM13" s="43" t="e">
        <f ca="1">_xll.BDP($C13,AM$1)</f>
        <v>#NAME?</v>
      </c>
      <c r="AN13" s="43" t="e">
        <f t="array" aca="1" ref="AN13" ca="1">_xll.BQL($C13, "PX_TO_BOOK_RATIO(FPT=BA, FPR=2026, FYE=C1231, AE=E)")</f>
        <v>#NAME?</v>
      </c>
      <c r="AO13" s="43" t="e">
        <f t="array" aca="1" ref="AO13" ca="1">_xll.BQL($C13, "PX_TO_BOOK_RATIO(FPT=BA, FPR=2027, FYE=C1231, AE=E)")</f>
        <v>#NAME?</v>
      </c>
      <c r="AP13" s="43" t="e">
        <f ca="1">_xll.BDP($C13,"BEST Px bps ratio","BEST fperiod override","27Y")</f>
        <v>#NAME?</v>
      </c>
      <c r="AQ13" s="41" t="e">
        <f t="shared" ca="1" si="1"/>
        <v>#NAME?</v>
      </c>
      <c r="AR13" s="41" t="e">
        <f ca="1">_xll.BDP($C13,"BEST_ROE","BEST fperiod override","26Y")/100</f>
        <v>#NAME?</v>
      </c>
      <c r="AS13" s="41" t="e">
        <f ca="1">_xll.BDP($C13,"BEST_ROE","BEST fperiod override","27Y")/100</f>
        <v>#NAME?</v>
      </c>
      <c r="AT13" s="44" t="e">
        <f ca="1">_xll.BDP($C13,AT$1)</f>
        <v>#NAME?</v>
      </c>
      <c r="AU13" s="44" t="e">
        <f ca="1">_xll.BDP($C13,$AU$1,"BEST fperiod override","26Y")</f>
        <v>#NAME?</v>
      </c>
      <c r="AV13" s="44" t="e">
        <f ca="1">_xll.BDP($C13,$AU$1,"BEST fperiod override","27Y")</f>
        <v>#NAME?</v>
      </c>
      <c r="AW13" s="44" t="e">
        <f t="shared" ca="1" si="2"/>
        <v>#NAME?</v>
      </c>
      <c r="AX13" s="44" t="e">
        <f t="shared" ca="1" si="3"/>
        <v>#NAME?</v>
      </c>
      <c r="AY13" s="44" t="e">
        <f t="shared" ca="1" si="4"/>
        <v>#NAME?</v>
      </c>
      <c r="AZ13" s="45" t="e">
        <f t="array" aca="1" ref="AZ13" ca="1">_xll.BQL($C13, "CF_CASH_FROM_OPER(FPT=BA, FPR=2022, FYE=C1231, AE=A)", "currency=USD")/1000000000</f>
        <v>#NAME?</v>
      </c>
      <c r="BA13" s="45" t="e">
        <f t="array" aca="1" ref="BA13" ca="1">_xll.BQL($C13, "CF_CASH_FROM_OPER(FPT=BA, FPR=2023, FYE=C1231, AE=A)", "currency=USD")/1000000000</f>
        <v>#NAME?</v>
      </c>
      <c r="BB13" s="45" t="e">
        <f t="array" aca="1" ref="BB13" ca="1">_xll.BQL($C13, "CF_CASH_FROM_OPER(FPT=BA, FPR=2024, FYE=C1231, AE=A)", "currency=USD")/1000000000</f>
        <v>#NAME?</v>
      </c>
      <c r="BC13" s="45" t="e">
        <f t="array" aca="1" ref="BC13" ca="1">_xll.BQL($C13, "CF_CASH_FROM_OPER(FPT=BA, FPR=2025, FYE=C1231, AE=E)", "currency=USD")/1000000000</f>
        <v>#NAME?</v>
      </c>
      <c r="BD13" s="45" t="e">
        <f t="array" aca="1" ref="BD13" ca="1">_xll.BQL($C13, "CF_CASH_FROM_OPER(FPT=BA, FPR=2026, FYE=C1231, AE=E)", "currency=USD")/1000000000</f>
        <v>#NAME?</v>
      </c>
      <c r="BE13" s="45" t="e">
        <f t="array" aca="1" ref="BE13" ca="1">_xll.BQL($C13, "CF_CASH_FROM_OPER(FPT=BA, FPR=2027, FYE=C1231, AE=E)", "currency=USD")/1000000000</f>
        <v>#NAME?</v>
      </c>
      <c r="BF13" s="45" t="e">
        <f t="array" aca="1" ref="BF13" ca="1">_xll.BQL($C13, "CF_FREE_CASH_FLOW(FPT=BA, FPR=2022, FYE=C1231, AE=A)", "currency=USD")/1000000000</f>
        <v>#NAME?</v>
      </c>
      <c r="BG13" s="45" t="e">
        <f t="array" aca="1" ref="BG13" ca="1">_xll.BQL($C13, "CF_FREE_CASH_FLOW(FPT=BA, FPR=2023, FYE=C1231, AE=A)", "currency=USD")/1000000000</f>
        <v>#NAME?</v>
      </c>
      <c r="BH13" s="45" t="e">
        <f t="array" aca="1" ref="BH13" ca="1">_xll.BQL($C13, "CF_FREE_CASH_FLOW(FPT=BA, FPR=2024, FYE=C1231, AE=A)", "currency=USD")/1000000000</f>
        <v>#NAME?</v>
      </c>
      <c r="BI13" s="45" t="e">
        <f t="array" aca="1" ref="BI13" ca="1">_xll.BQL($C13, "CF_FREE_CASH_FLOW(FPT=BA, FPR=2025, FYE=C1231, AE=E)", "currency=USD")/1000000000</f>
        <v>#NAME?</v>
      </c>
      <c r="BJ13" s="45" t="e">
        <f t="array" aca="1" ref="BJ13" ca="1">_xll.BQL($C13, "CF_FREE_CASH_FLOW(FPT=BA, FPR=2026, FYE=C1231, AE=E)", "currency=USD")/1000000000</f>
        <v>#NAME?</v>
      </c>
      <c r="BK13" s="45" t="e">
        <f t="array" aca="1" ref="BK13" ca="1">_xll.BQL($C13, "CF_FREE_CASH_FLOW(FPT=BA, FPR=2027, FYE=C1231, AE=E)", "currency=USD")/1000000000</f>
        <v>#NAME?</v>
      </c>
      <c r="BL13" s="45" t="e">
        <f t="array" aca="1" ref="BL13" ca="1">_xll.BQL($C13, "SALES_REV_TURN(FPT=BA, FPR=2022, FYE=C1231, AE=A)", "currency=USD")/1000000000</f>
        <v>#NAME?</v>
      </c>
      <c r="BM13" s="45" t="e">
        <f t="array" aca="1" ref="BM13" ca="1">_xll.BQL($C13, "SALES_REV_TURN(FPT=BA, FPR=2023, FYE=C1231, AE=A)", "currency=USD")/1000000000</f>
        <v>#NAME?</v>
      </c>
      <c r="BN13" s="45" t="e">
        <f t="array" aca="1" ref="BN13" ca="1">_xll.BQL($C13, "SALES_REV_TURN(FPT=BA, FPR=2024, FYE=C1231, AE=A)", "currency=USD")/1000000000</f>
        <v>#NAME?</v>
      </c>
      <c r="BO13" s="45" t="e">
        <f t="array" aca="1" ref="BO13" ca="1">_xll.BQL($C13, "SALES_REV_TURN(FPT=BA, FPR=2025, FYE=C1231, AE=E)", "currency=USD")/1000000000</f>
        <v>#NAME?</v>
      </c>
      <c r="BP13" s="45" t="e">
        <f t="array" aca="1" ref="BP13" ca="1">_xll.BQL($C13, "SALES_REV_TURN(FPT=BA, FPR=2026, FYE=C1231, AE=E)", "currency=USD")/1000000000</f>
        <v>#NAME?</v>
      </c>
      <c r="BQ13" s="45" t="e">
        <f t="array" aca="1" ref="BQ13" ca="1">_xll.BQL($C13, "SALES_REV_TURN(FPT=BA, FPR=2027, FYE=C1231, AE=E)", "currency=USD")/1000000000</f>
        <v>#NAME?</v>
      </c>
      <c r="BR13" s="45" t="e">
        <f t="array" aca="1" ref="BR13" ca="1">_xll.BQL($C13, "EBITDA(FPT=BA, FPR=2022, FYE=C1231, AE=A)", "currency=USD")/1000000000</f>
        <v>#NAME?</v>
      </c>
      <c r="BS13" s="45" t="e">
        <f t="array" aca="1" ref="BS13" ca="1">_xll.BQL($C13, "EBITDA(FPT=BA, FPR=2023, FYE=C1231, AE=A)", "currency=USD")/1000000000</f>
        <v>#NAME?</v>
      </c>
      <c r="BT13" s="45" t="e">
        <f t="array" aca="1" ref="BT13" ca="1">_xll.BQL($C13, "EBITDA(FPT=BA, FPR=2024, FYE=C1231, AE=A)", "currency=USD")/1000000000</f>
        <v>#NAME?</v>
      </c>
      <c r="BU13" s="45" t="e">
        <f t="array" aca="1" ref="BU13" ca="1">_xll.BQL($C13, "EBITDA(FPT=BA, FPR=2025, FYE=C1231, AE=E)", "currency=USD")/1000000000</f>
        <v>#NAME?</v>
      </c>
      <c r="BV13" s="45" t="e">
        <f t="array" aca="1" ref="BV13" ca="1">_xll.BQL($C13, "EBITDA(FPT=BA, FPR=2026, FYE=C1231, AE=E)", "currency=USD")/1000000000</f>
        <v>#NAME?</v>
      </c>
      <c r="BW13" s="45" t="e">
        <f t="array" aca="1" ref="BW13" ca="1">_xll.BQL($C13, "EBITDA(FPT=BA, FPR=2027, FYE=C1231, AE=E)", "currency=USD")/1000000000</f>
        <v>#NAME?</v>
      </c>
      <c r="BX13" s="45" t="e">
        <f t="array" aca="1" ref="BX13" ca="1">_xll.BQL($C13, "NET_INCOME(FPT=BA, FPR=2022, FYE=C1231, AE=A)", "currency=USD")/1000000000</f>
        <v>#NAME?</v>
      </c>
      <c r="BY13" s="45" t="e">
        <f t="array" aca="1" ref="BY13" ca="1">_xll.BQL($C13, "NET_INCOME(FPT=BA, FPR=2023, FYE=C1231, AE=A)", "currency=USD")/1000000000</f>
        <v>#NAME?</v>
      </c>
      <c r="BZ13" s="45" t="e">
        <f t="array" aca="1" ref="BZ13" ca="1">_xll.BQL($C13, "NET_INCOME(FPT=BA, FPR=2024, FYE=C1231, AE=A)", "currency=USD")/1000000000</f>
        <v>#NAME?</v>
      </c>
      <c r="CA13" s="45" t="e">
        <f t="array" aca="1" ref="CA13" ca="1">_xll.BQL($C13, "NET_INCOME(FPT=BA, FPR=2025, FYE=C1231, AE=E)", "currency=USD")/1000000000</f>
        <v>#NAME?</v>
      </c>
      <c r="CB13" s="45" t="e">
        <f t="array" aca="1" ref="CB13" ca="1">_xll.BQL($C13, "NET_INCOME(FPT=BA, FPR=2026, FYE=C1231, AE=E)", "currency=USD")/1000000000</f>
        <v>#NAME?</v>
      </c>
      <c r="CC13" s="45" t="e">
        <f t="array" aca="1" ref="CC13" ca="1">_xll.BQL($C13, "NET_INCOME(FPT=BA, FPR=2027, FYE=C1231, AE=E)", "currency=USD")/1000000000</f>
        <v>#NAME?</v>
      </c>
      <c r="CD13" s="45" t="e">
        <f t="array" aca="1" ref="CD13" ca="1">-_xll.BQL($C13, "CF_DVD_PAID(FPT=BA, FPR=2024, FYE=C1231, AE=A)", "currency=USD")/1000000000</f>
        <v>#NAME?</v>
      </c>
      <c r="CE13" s="45" t="e">
        <f t="array" aca="1" ref="CE13" ca="1">-_xll.BQL($C13, "CF_DVD_PAID(FPT=BA, FPR=2025, FYE=C1231, AE=E)", "currency=USD")/1000000000</f>
        <v>#NAME?</v>
      </c>
      <c r="CF13" s="45" t="e">
        <f t="array" aca="1" ref="CF13" ca="1">-_xll.BQL($C13, "CF_DVD_PAID(FPT=BA, FPR=2026, FYE=C1231, AE=E)", "currency=USD")/1000000000</f>
        <v>#NAME?</v>
      </c>
      <c r="CG13" s="45" t="e">
        <f t="array" aca="1" ref="CG13" ca="1">-_xll.BQL($C13, "CF_DVD_PAID(FPT=BA, FPR=2027, FYE=C1231, AE=E)", "currency=USD")/1000000000</f>
        <v>#NAME?</v>
      </c>
      <c r="CH13" s="46" t="e">
        <f t="shared" ca="1" si="5"/>
        <v>#NAME?</v>
      </c>
      <c r="CI13" s="46" t="e">
        <f t="shared" ca="1" si="6"/>
        <v>#NAME?</v>
      </c>
      <c r="CJ13" s="46" t="e">
        <f t="shared" ca="1" si="7"/>
        <v>#NAME?</v>
      </c>
      <c r="CK13" s="46" t="e">
        <f t="shared" ca="1" si="8"/>
        <v>#NAME?</v>
      </c>
      <c r="CL13" s="43" t="e">
        <f t="array" aca="1" ref="CL13" ca="1">_xll.BDP($C13,"INTERVAL_AVG", "MARKET_DATA_OVERRIDE=turnover", "CALC_INTERVAL=5D","CRNCY=HKD")/1000000</f>
        <v>#NAME?</v>
      </c>
      <c r="CM13" s="43" t="e">
        <f t="array" aca="1" ref="CM13" ca="1">_xll.BDP($C13,"INTERVAL_AVG", "MARKET_DATA_OVERRIDE=turnover", "CALC_INTERVAL=10D","CRNCY=HKD")/1000000</f>
        <v>#NAME?</v>
      </c>
      <c r="CN13" s="43" t="e">
        <f t="array" aca="1" ref="CN13" ca="1">_xll.BDP($C13,"INTERVAL_AVG", "MARKET_DATA_OVERRIDE=turnover", "CALC_INTERVAL=20D","CRNCY=HKD")/1000000</f>
        <v>#NAME?</v>
      </c>
      <c r="CO13" s="43" t="e">
        <f t="array" aca="1" ref="CO13" ca="1">_xll.BDP($C13,"INTERVAL_AVG", "MARKET_DATA_OVERRIDE=turnover", "CALC_INTERVAL=1m","CRNCY=HKD")/1000000</f>
        <v>#NAME?</v>
      </c>
      <c r="CP13" s="43" t="e">
        <f t="array" aca="1" ref="CP13" ca="1">_xll.BDP($C13,"INTERVAL_AVG", "MARKET_DATA_OVERRIDE=turnover", "CALC_INTERVAL=3M","CRNCY=HKD")/1000000</f>
        <v>#NAME?</v>
      </c>
      <c r="CQ13" s="43" t="e">
        <f t="array" aca="1" ref="CQ13" ca="1">_xll.BDP($C13,"INTERVAL_AVG", "MARKET_DATA_OVERRIDE=turnover", "CALC_INTERVAL=6M","CRNCY=HKD")/1000000</f>
        <v>#NAME?</v>
      </c>
      <c r="CR13" s="47" t="e">
        <f ca="1">_xll.BDP($C13,"chg pct 1m")/100</f>
        <v>#NAME?</v>
      </c>
      <c r="CS13" s="47" t="e">
        <f ca="1">_xll.BDP($C13,"chg pct 3m")/100</f>
        <v>#NAME?</v>
      </c>
      <c r="CT13" s="47" t="e">
        <f ca="1">_xll.BDP($C13,"chg pct 6m")/100</f>
        <v>#NAME?</v>
      </c>
      <c r="CU13" s="47" t="e">
        <f ca="1">_xll.BDP($C13,"chg pct 1yr")/100</f>
        <v>#NAME?</v>
      </c>
      <c r="CV13" s="47" t="e">
        <f ca="1">_xll.BDP($C13,"chg pct ytd")/100</f>
        <v>#NAME?</v>
      </c>
      <c r="CW13" s="41" t="e">
        <f t="array" aca="1" ref="CW13" ca="1">_xll.BQL($C13, "volatility(calc_interval=range(-1M, 0D))")</f>
        <v>#NAME?</v>
      </c>
      <c r="CX13" s="41" t="e">
        <f t="array" aca="1" ref="CX13" ca="1">_xll.BQL($C13, "volatility(calc_interval=range(-3M, 0D))")</f>
        <v>#NAME?</v>
      </c>
      <c r="CY13" s="41" t="e">
        <f t="array" aca="1" ref="CY13" ca="1">_xll.BQL($C13, "volatility(calc_interval=range(-6M, 0D))")</f>
        <v>#NAME?</v>
      </c>
      <c r="CZ13" s="48" t="e">
        <f ca="1">_xll.BDP($C13,CZ$1)</f>
        <v>#NAME?</v>
      </c>
    </row>
    <row r="14" spans="1:116" s="49" customFormat="1" ht="31.5" customHeight="1">
      <c r="A14" s="37" t="e">
        <f ca="1">_xll.BDP($C14,"security name")</f>
        <v>#NAME?</v>
      </c>
      <c r="B14" s="37" t="e">
        <f ca="1">_xll.BDP($C14,"NAME_CHINESE_SIMPLIFIED")</f>
        <v>#NAME?</v>
      </c>
      <c r="C14" s="38" t="s">
        <v>104</v>
      </c>
      <c r="D14" s="39" t="e">
        <f ca="1">_xll.BDP($C14,"LISTING_DATE")</f>
        <v>#NAME?</v>
      </c>
      <c r="E14" s="39" t="e">
        <f ca="1">_xll.BDP($C14,E$1,"EQY_FUND_CRNCY="&amp;$B$1)</f>
        <v>#NAME?</v>
      </c>
      <c r="F14" s="39" t="e">
        <f ca="1">_xll.BDP($C14,F$1,"EQY_FUND_CRNCY="&amp;$C$1)</f>
        <v>#NAME?</v>
      </c>
      <c r="G14" s="40" t="e">
        <f ca="1">_xll.BDP($C14,G$1)</f>
        <v>#NAME?</v>
      </c>
      <c r="H14" s="39" t="e">
        <f ca="1">_xll.BDP($C14,H$1,"EQY_FUND_CRNCY="&amp;$B$1)</f>
        <v>#NAME?</v>
      </c>
      <c r="I14" s="39" t="e">
        <f ca="1">_xll.BDP($C14,I$1,"EQY_FUND_CRNCY="&amp;$C$1)</f>
        <v>#NAME?</v>
      </c>
      <c r="J14" s="39" t="e">
        <f ca="1">_xll.BDP($C14,J$1,"EQY_FUND_CRNCY="&amp;$B$1)</f>
        <v>#NAME?</v>
      </c>
      <c r="K14" s="39" t="e">
        <f ca="1">_xll.BDP($C14,K$1,"EQY_FUND_CRNCY="&amp;$C$1)</f>
        <v>#NAME?</v>
      </c>
      <c r="L14" s="39" t="e">
        <f ca="1">_xll.BDP($C14,L$1,"EQY_FUND_CRNCY="&amp;$B$1)</f>
        <v>#NAME?</v>
      </c>
      <c r="M14" s="39" t="e">
        <f ca="1">_xll.BDP($C14,M$1,"EQY_FUND_CRNCY="&amp;$C$1)</f>
        <v>#NAME?</v>
      </c>
      <c r="N14" s="41" t="e">
        <f ca="1">_xll.BDP($C14,N$1)/100</f>
        <v>#NAME?</v>
      </c>
      <c r="O14" s="41" t="e">
        <f ca="1">_xll.BDP($C14,O$1)/100</f>
        <v>#NAME?</v>
      </c>
      <c r="P14" s="41" t="e">
        <f ca="1">_xll.BDP($C14,P$1)/100</f>
        <v>#NAME?</v>
      </c>
      <c r="Q14" s="41" t="e">
        <f ca="1">_xll.BDP($C14,Q$1)/100</f>
        <v>#NAME?</v>
      </c>
      <c r="R14" s="41" t="e">
        <f ca="1">_xll.BDP($C14,R$1)/100</f>
        <v>#NAME?</v>
      </c>
      <c r="S14" s="41" t="e">
        <f ca="1">_xll.BDP($C14,S$1)/100</f>
        <v>#NAME?</v>
      </c>
      <c r="T14" s="41" t="e">
        <f ca="1">_xll.BDP($C14,T$1)/100</f>
        <v>#NAME?</v>
      </c>
      <c r="U14" s="41" t="e">
        <f ca="1">_xll.BDP($C14,U$1)/100</f>
        <v>#NAME?</v>
      </c>
      <c r="V14" s="41" t="e">
        <f ca="1">_xll.BDP($C14,V$1)/100</f>
        <v>#NAME?</v>
      </c>
      <c r="W14" s="41" t="e">
        <f ca="1">_xll.BDP($C14,W$1)/100</f>
        <v>#NAME?</v>
      </c>
      <c r="X14" s="42" t="e">
        <f t="array" aca="1" ref="X14" ca="1">_xll.BDP($C14,"CRNCY_ADJ_CURR_EV", "EQY_FUND_CRNCY=HKD")</f>
        <v>#NAME?</v>
      </c>
      <c r="Y14" s="42" t="e">
        <f t="array" aca="1" ref="Y14" ca="1">_xll.BDP($C14,"CRNCY_ADJ_CURR_EV", "EQY_FUND_CRNCY=USD")</f>
        <v>#NAME?</v>
      </c>
      <c r="Z14" s="41" t="e">
        <f ca="1">_xll.BDP($C14,Z$1)/100</f>
        <v>#NAME?</v>
      </c>
      <c r="AA14" s="42" t="e">
        <f ca="1">_xll.BDP($C14,"TRAIL_12M_NET_SALES","EQY_FUND_CRNCY=HKD")</f>
        <v>#NAME?</v>
      </c>
      <c r="AB14" s="42" t="e">
        <f ca="1">_xll.BDP($C14,"TRAIL_12M_NET_INC","EQY_FUND_CRNCY=HKD")</f>
        <v>#NAME?</v>
      </c>
      <c r="AC14" s="42" t="e">
        <f ca="1">_xll.BDP($C14,"TRAIL_12M_EBITDA","EQY_FUND_CRNCY=HKD")</f>
        <v>#NAME?</v>
      </c>
      <c r="AD14" s="43" t="e" cm="1">
        <f t="array" aca="1" ref="AD14" ca="1">_xll.BQL($C14, "PE_RATIO(FPT=BA, FPR=2025, FYE=C1231, AE=E)")</f>
        <v>#NAME?</v>
      </c>
      <c r="AE14" s="43" t="e">
        <f t="array" aca="1" ref="AE14" ca="1">_xll.BQL($C14, "PE_RATIO(FPT=BA, FPR=2026, FYE=C1231, AE=E)")</f>
        <v>#NAME?</v>
      </c>
      <c r="AF14" s="43" t="e">
        <f t="array" aca="1" ref="AF14" ca="1">_xll.BQL($C14, "PE_RATIO(FPT=BA, FPR=2027, FYE=C1231, AE=E)")</f>
        <v>#NAME?</v>
      </c>
      <c r="AG14" s="43" t="e" cm="1">
        <f t="array" aca="1" ref="AG14" ca="1">_xll.BQL($C14, "PX_TO_SALES_RATIO(FPT=BA, FPR=2025, FYE=C1231, AE=E)")</f>
        <v>#NAME?</v>
      </c>
      <c r="AH14" s="43" t="e">
        <f t="array" aca="1" ref="AH14" ca="1">_xll.BQL($C14, "PX_TO_SALES_RATIO(FPT=BA, FPR=2026, FYE=C1231, AE=E)")</f>
        <v>#NAME?</v>
      </c>
      <c r="AI14" s="43" t="e">
        <f t="array" aca="1" ref="AI14" ca="1">_xll.BQL($C14, "PX_TO_SALES_RATIO(FPT=BA, FPR=2027, FYE=C1231, AE=E)")</f>
        <v>#NAME?</v>
      </c>
      <c r="AJ14" s="43" t="e">
        <f t="shared" ca="1" si="0"/>
        <v>#NAME?</v>
      </c>
      <c r="AK14" s="43" t="e">
        <f t="array" aca="1" ref="AK14" ca="1">IF(_xll.BQL($C14, "CURR_ENTP_VAL(FPT=A,FPO=0)/EBITDA(FPT=BA, FPR=2026, FYE=C1231, AE=E)")&lt;0,"N/A",_xll.BQL($C14, "CURR_ENTP_VAL(FPT=A,FPO=0)/EBITDA(FPT=BA, FPR=2026, FYE=C1231, AE=E)"))</f>
        <v>#NAME?</v>
      </c>
      <c r="AL14" s="43" t="e">
        <f t="array" aca="1" ref="AL14" ca="1">IF(_xll.BQL($C14, "CURR_ENTP_VAL(FPT=A,FPO=0)/EBITDA(FPT=BA, FPR=2027, FYE=C1231, AE=E)")&lt;0,"N/A",_xll.BQL($C14, "CURR_ENTP_VAL(FPT=A,FPO=0)/EBITDA(FPT=BA, FPR=2027, FYE=C1231, AE=E)"))</f>
        <v>#NAME?</v>
      </c>
      <c r="AM14" s="43" t="e">
        <f ca="1">_xll.BDP($C14,AM$1)</f>
        <v>#NAME?</v>
      </c>
      <c r="AN14" s="43" t="e">
        <f t="array" aca="1" ref="AN14" ca="1">_xll.BQL($C14, "PX_TO_BOOK_RATIO(FPT=BA, FPR=2026, FYE=C1231, AE=E)")</f>
        <v>#NAME?</v>
      </c>
      <c r="AO14" s="43" t="e">
        <f t="array" aca="1" ref="AO14" ca="1">_xll.BQL($C14, "PX_TO_BOOK_RATIO(FPT=BA, FPR=2027, FYE=C1231, AE=E)")</f>
        <v>#NAME?</v>
      </c>
      <c r="AP14" s="43" t="e">
        <f ca="1">_xll.BDP($C14,"BEST Px bps ratio","BEST fperiod override","27Y")</f>
        <v>#NAME?</v>
      </c>
      <c r="AQ14" s="41" t="e">
        <f t="shared" ca="1" si="1"/>
        <v>#NAME?</v>
      </c>
      <c r="AR14" s="41" t="e">
        <f ca="1">_xll.BDP($C14,"BEST_ROE","BEST fperiod override","26Y")/100</f>
        <v>#NAME?</v>
      </c>
      <c r="AS14" s="41" t="e">
        <f ca="1">_xll.BDP($C14,"BEST_ROE","BEST fperiod override","27Y")/100</f>
        <v>#NAME?</v>
      </c>
      <c r="AT14" s="44" t="e">
        <f ca="1">_xll.BDP($C14,AT$1)</f>
        <v>#NAME?</v>
      </c>
      <c r="AU14" s="44" t="e">
        <f ca="1">_xll.BDP($C14,$AU$1,"BEST fperiod override","26Y")</f>
        <v>#NAME?</v>
      </c>
      <c r="AV14" s="44" t="e">
        <f ca="1">_xll.BDP($C14,$AU$1,"BEST fperiod override","27Y")</f>
        <v>#NAME?</v>
      </c>
      <c r="AW14" s="44" t="e">
        <f t="shared" ca="1" si="2"/>
        <v>#NAME?</v>
      </c>
      <c r="AX14" s="44" t="e">
        <f t="shared" ca="1" si="3"/>
        <v>#NAME?</v>
      </c>
      <c r="AY14" s="44" t="e">
        <f t="shared" ca="1" si="4"/>
        <v>#NAME?</v>
      </c>
      <c r="AZ14" s="45" t="e">
        <f t="array" aca="1" ref="AZ14" ca="1">_xll.BQL($C14, "CF_CASH_FROM_OPER(FPT=BA, FPR=2022, FYE=C1231, AE=A)", "currency=USD")/1000000000</f>
        <v>#NAME?</v>
      </c>
      <c r="BA14" s="45" t="e">
        <f t="array" aca="1" ref="BA14" ca="1">_xll.BQL($C14, "CF_CASH_FROM_OPER(FPT=BA, FPR=2023, FYE=C1231, AE=A)", "currency=USD")/1000000000</f>
        <v>#NAME?</v>
      </c>
      <c r="BB14" s="45" t="e">
        <f t="array" aca="1" ref="BB14" ca="1">_xll.BQL($C14, "CF_CASH_FROM_OPER(FPT=BA, FPR=2024, FYE=C1231, AE=A)", "currency=USD")/1000000000</f>
        <v>#NAME?</v>
      </c>
      <c r="BC14" s="45" t="e">
        <f t="array" aca="1" ref="BC14" ca="1">_xll.BQL($C14, "CF_CASH_FROM_OPER(FPT=BA, FPR=2025, FYE=C1231, AE=E)", "currency=USD")/1000000000</f>
        <v>#NAME?</v>
      </c>
      <c r="BD14" s="45" t="e">
        <f t="array" aca="1" ref="BD14" ca="1">_xll.BQL($C14, "CF_CASH_FROM_OPER(FPT=BA, FPR=2026, FYE=C1231, AE=E)", "currency=USD")/1000000000</f>
        <v>#NAME?</v>
      </c>
      <c r="BE14" s="45" t="e">
        <f t="array" aca="1" ref="BE14" ca="1">_xll.BQL($C14, "CF_CASH_FROM_OPER(FPT=BA, FPR=2027, FYE=C1231, AE=E)", "currency=USD")/1000000000</f>
        <v>#NAME?</v>
      </c>
      <c r="BF14" s="45" t="e">
        <f t="array" aca="1" ref="BF14" ca="1">_xll.BQL($C14, "CF_FREE_CASH_FLOW(FPT=BA, FPR=2022, FYE=C1231, AE=A)", "currency=USD")/1000000000</f>
        <v>#NAME?</v>
      </c>
      <c r="BG14" s="45" t="e">
        <f t="array" aca="1" ref="BG14" ca="1">_xll.BQL($C14, "CF_FREE_CASH_FLOW(FPT=BA, FPR=2023, FYE=C1231, AE=A)", "currency=USD")/1000000000</f>
        <v>#NAME?</v>
      </c>
      <c r="BH14" s="45" t="e">
        <f t="array" aca="1" ref="BH14" ca="1">_xll.BQL($C14, "CF_FREE_CASH_FLOW(FPT=BA, FPR=2024, FYE=C1231, AE=A)", "currency=USD")/1000000000</f>
        <v>#NAME?</v>
      </c>
      <c r="BI14" s="45" t="e">
        <f t="array" aca="1" ref="BI14" ca="1">_xll.BQL($C14, "CF_FREE_CASH_FLOW(FPT=BA, FPR=2025, FYE=C1231, AE=E)", "currency=USD")/1000000000</f>
        <v>#NAME?</v>
      </c>
      <c r="BJ14" s="45" t="e">
        <f t="array" aca="1" ref="BJ14" ca="1">_xll.BQL($C14, "CF_FREE_CASH_FLOW(FPT=BA, FPR=2026, FYE=C1231, AE=E)", "currency=USD")/1000000000</f>
        <v>#NAME?</v>
      </c>
      <c r="BK14" s="45" t="e">
        <f t="array" aca="1" ref="BK14" ca="1">_xll.BQL($C14, "CF_FREE_CASH_FLOW(FPT=BA, FPR=2027, FYE=C1231, AE=E)", "currency=USD")/1000000000</f>
        <v>#NAME?</v>
      </c>
      <c r="BL14" s="45" t="e">
        <f t="array" aca="1" ref="BL14" ca="1">_xll.BQL($C14, "SALES_REV_TURN(FPT=BA, FPR=2022, FYE=C1231, AE=A)", "currency=USD")/1000000000</f>
        <v>#NAME?</v>
      </c>
      <c r="BM14" s="45" t="e">
        <f t="array" aca="1" ref="BM14" ca="1">_xll.BQL($C14, "SALES_REV_TURN(FPT=BA, FPR=2023, FYE=C1231, AE=A)", "currency=USD")/1000000000</f>
        <v>#NAME?</v>
      </c>
      <c r="BN14" s="45" t="e">
        <f t="array" aca="1" ref="BN14" ca="1">_xll.BQL($C14, "SALES_REV_TURN(FPT=BA, FPR=2024, FYE=C1231, AE=A)", "currency=USD")/1000000000</f>
        <v>#NAME?</v>
      </c>
      <c r="BO14" s="45" t="e">
        <f t="array" aca="1" ref="BO14" ca="1">_xll.BQL($C14, "SALES_REV_TURN(FPT=BA, FPR=2025, FYE=C1231, AE=E)", "currency=USD")/1000000000</f>
        <v>#NAME?</v>
      </c>
      <c r="BP14" s="45" t="e">
        <f t="array" aca="1" ref="BP14" ca="1">_xll.BQL($C14, "SALES_REV_TURN(FPT=BA, FPR=2026, FYE=C1231, AE=E)", "currency=USD")/1000000000</f>
        <v>#NAME?</v>
      </c>
      <c r="BQ14" s="45" t="e">
        <f t="array" aca="1" ref="BQ14" ca="1">_xll.BQL($C14, "SALES_REV_TURN(FPT=BA, FPR=2027, FYE=C1231, AE=E)", "currency=USD")/1000000000</f>
        <v>#NAME?</v>
      </c>
      <c r="BR14" s="45" t="e">
        <f t="array" aca="1" ref="BR14" ca="1">_xll.BQL($C14, "EBITDA(FPT=BA, FPR=2022, FYE=C1231, AE=A)", "currency=USD")/1000000000</f>
        <v>#NAME?</v>
      </c>
      <c r="BS14" s="45" t="e">
        <f t="array" aca="1" ref="BS14" ca="1">_xll.BQL($C14, "EBITDA(FPT=BA, FPR=2023, FYE=C1231, AE=A)", "currency=USD")/1000000000</f>
        <v>#NAME?</v>
      </c>
      <c r="BT14" s="45" t="e">
        <f t="array" aca="1" ref="BT14" ca="1">_xll.BQL($C14, "EBITDA(FPT=BA, FPR=2024, FYE=C1231, AE=A)", "currency=USD")/1000000000</f>
        <v>#NAME?</v>
      </c>
      <c r="BU14" s="45" t="e">
        <f t="array" aca="1" ref="BU14" ca="1">_xll.BQL($C14, "EBITDA(FPT=BA, FPR=2025, FYE=C1231, AE=E)", "currency=USD")/1000000000</f>
        <v>#NAME?</v>
      </c>
      <c r="BV14" s="45" t="e">
        <f t="array" aca="1" ref="BV14" ca="1">_xll.BQL($C14, "EBITDA(FPT=BA, FPR=2026, FYE=C1231, AE=E)", "currency=USD")/1000000000</f>
        <v>#NAME?</v>
      </c>
      <c r="BW14" s="45" t="e">
        <f t="array" aca="1" ref="BW14" ca="1">_xll.BQL($C14, "EBITDA(FPT=BA, FPR=2027, FYE=C1231, AE=E)", "currency=USD")/1000000000</f>
        <v>#NAME?</v>
      </c>
      <c r="BX14" s="45" t="e">
        <f t="array" aca="1" ref="BX14" ca="1">_xll.BQL($C14, "NET_INCOME(FPT=BA, FPR=2022, FYE=C1231, AE=A)", "currency=USD")/1000000000</f>
        <v>#NAME?</v>
      </c>
      <c r="BY14" s="45" t="e">
        <f t="array" aca="1" ref="BY14" ca="1">_xll.BQL($C14, "NET_INCOME(FPT=BA, FPR=2023, FYE=C1231, AE=A)", "currency=USD")/1000000000</f>
        <v>#NAME?</v>
      </c>
      <c r="BZ14" s="45" t="e">
        <f t="array" aca="1" ref="BZ14" ca="1">_xll.BQL($C14, "NET_INCOME(FPT=BA, FPR=2024, FYE=C1231, AE=A)", "currency=USD")/1000000000</f>
        <v>#NAME?</v>
      </c>
      <c r="CA14" s="45" t="e">
        <f t="array" aca="1" ref="CA14" ca="1">_xll.BQL($C14, "NET_INCOME(FPT=BA, FPR=2025, FYE=C1231, AE=E)", "currency=USD")/1000000000</f>
        <v>#NAME?</v>
      </c>
      <c r="CB14" s="45" t="e">
        <f t="array" aca="1" ref="CB14" ca="1">_xll.BQL($C14, "NET_INCOME(FPT=BA, FPR=2026, FYE=C1231, AE=E)", "currency=USD")/1000000000</f>
        <v>#NAME?</v>
      </c>
      <c r="CC14" s="45" t="e">
        <f t="array" aca="1" ref="CC14" ca="1">_xll.BQL($C14, "NET_INCOME(FPT=BA, FPR=2027, FYE=C1231, AE=E)", "currency=USD")/1000000000</f>
        <v>#NAME?</v>
      </c>
      <c r="CD14" s="45" t="e">
        <f t="array" aca="1" ref="CD14" ca="1">-_xll.BQL($C14, "CF_DVD_PAID(FPT=BA, FPR=2024, FYE=C1231, AE=A)", "currency=USD")/1000000000</f>
        <v>#NAME?</v>
      </c>
      <c r="CE14" s="45" t="e">
        <f t="array" aca="1" ref="CE14" ca="1">-_xll.BQL($C14, "CF_DVD_PAID(FPT=BA, FPR=2025, FYE=C1231, AE=E)", "currency=USD")/1000000000</f>
        <v>#NAME?</v>
      </c>
      <c r="CF14" s="45" t="e">
        <f t="array" aca="1" ref="CF14" ca="1">-_xll.BQL($C14, "CF_DVD_PAID(FPT=BA, FPR=2026, FYE=C1231, AE=E)", "currency=USD")/1000000000</f>
        <v>#NAME?</v>
      </c>
      <c r="CG14" s="45" t="e">
        <f t="array" aca="1" ref="CG14" ca="1">-_xll.BQL($C14, "CF_DVD_PAID(FPT=BA, FPR=2027, FYE=C1231, AE=E)", "currency=USD")/1000000000</f>
        <v>#NAME?</v>
      </c>
      <c r="CH14" s="46" t="e">
        <f t="shared" ca="1" si="5"/>
        <v>#NAME?</v>
      </c>
      <c r="CI14" s="46" t="e">
        <f t="shared" ca="1" si="6"/>
        <v>#NAME?</v>
      </c>
      <c r="CJ14" s="46" t="e">
        <f t="shared" ca="1" si="7"/>
        <v>#NAME?</v>
      </c>
      <c r="CK14" s="46" t="e">
        <f t="shared" ca="1" si="8"/>
        <v>#NAME?</v>
      </c>
      <c r="CL14" s="43" t="e">
        <f t="array" aca="1" ref="CL14" ca="1">_xll.BDP($C14,"INTERVAL_AVG", "MARKET_DATA_OVERRIDE=turnover", "CALC_INTERVAL=5D","CRNCY=HKD")/1000000</f>
        <v>#NAME?</v>
      </c>
      <c r="CM14" s="43" t="e">
        <f t="array" aca="1" ref="CM14" ca="1">_xll.BDP($C14,"INTERVAL_AVG", "MARKET_DATA_OVERRIDE=turnover", "CALC_INTERVAL=10D","CRNCY=HKD")/1000000</f>
        <v>#NAME?</v>
      </c>
      <c r="CN14" s="43" t="e">
        <f t="array" aca="1" ref="CN14" ca="1">_xll.BDP($C14,"INTERVAL_AVG", "MARKET_DATA_OVERRIDE=turnover", "CALC_INTERVAL=20D","CRNCY=HKD")/1000000</f>
        <v>#NAME?</v>
      </c>
      <c r="CO14" s="43" t="e">
        <f t="array" aca="1" ref="CO14" ca="1">_xll.BDP($C14,"INTERVAL_AVG", "MARKET_DATA_OVERRIDE=turnover", "CALC_INTERVAL=1m","CRNCY=HKD")/1000000</f>
        <v>#NAME?</v>
      </c>
      <c r="CP14" s="43" t="e">
        <f t="array" aca="1" ref="CP14" ca="1">_xll.BDP($C14,"INTERVAL_AVG", "MARKET_DATA_OVERRIDE=turnover", "CALC_INTERVAL=3M","CRNCY=HKD")/1000000</f>
        <v>#NAME?</v>
      </c>
      <c r="CQ14" s="43" t="e">
        <f t="array" aca="1" ref="CQ14" ca="1">_xll.BDP($C14,"INTERVAL_AVG", "MARKET_DATA_OVERRIDE=turnover", "CALC_INTERVAL=6M","CRNCY=HKD")/1000000</f>
        <v>#NAME?</v>
      </c>
      <c r="CR14" s="47" t="e">
        <f ca="1">_xll.BDP($C14,"chg pct 1m")/100</f>
        <v>#NAME?</v>
      </c>
      <c r="CS14" s="47" t="e">
        <f ca="1">_xll.BDP($C14,"chg pct 3m")/100</f>
        <v>#NAME?</v>
      </c>
      <c r="CT14" s="47" t="e">
        <f ca="1">_xll.BDP($C14,"chg pct 6m")/100</f>
        <v>#NAME?</v>
      </c>
      <c r="CU14" s="47" t="e">
        <f ca="1">_xll.BDP($C14,"chg pct 1yr")/100</f>
        <v>#NAME?</v>
      </c>
      <c r="CV14" s="47" t="e">
        <f ca="1">_xll.BDP($C14,"chg pct ytd")/100</f>
        <v>#NAME?</v>
      </c>
      <c r="CW14" s="41" t="e">
        <f t="array" aca="1" ref="CW14" ca="1">_xll.BQL($C14, "volatility(calc_interval=range(-1M, 0D))")</f>
        <v>#NAME?</v>
      </c>
      <c r="CX14" s="41" t="e">
        <f t="array" aca="1" ref="CX14" ca="1">_xll.BQL($C14, "volatility(calc_interval=range(-3M, 0D))")</f>
        <v>#NAME?</v>
      </c>
      <c r="CY14" s="41" t="e">
        <f t="array" aca="1" ref="CY14" ca="1">_xll.BQL($C14, "volatility(calc_interval=range(-6M, 0D))")</f>
        <v>#NAME?</v>
      </c>
      <c r="CZ14" s="48" t="e">
        <f ca="1">_xll.BDP($C14,CZ$1)</f>
        <v>#NAME?</v>
      </c>
    </row>
    <row r="15" spans="1:116" s="49" customFormat="1" ht="31.5" customHeight="1">
      <c r="A15" s="37" t="e">
        <f ca="1">_xll.BDP($C15,"security name")</f>
        <v>#NAME?</v>
      </c>
      <c r="B15" s="37" t="e">
        <f ca="1">_xll.BDP($C15,"NAME_CHINESE_SIMPLIFIED")</f>
        <v>#NAME?</v>
      </c>
      <c r="C15" s="38" t="s">
        <v>105</v>
      </c>
      <c r="D15" s="39" t="e">
        <f ca="1">_xll.BDP($C15,"LISTING_DATE")</f>
        <v>#NAME?</v>
      </c>
      <c r="E15" s="39" t="e">
        <f ca="1">_xll.BDP($C15,E$1,"EQY_FUND_CRNCY="&amp;$B$1)</f>
        <v>#NAME?</v>
      </c>
      <c r="F15" s="39" t="e">
        <f ca="1">_xll.BDP($C15,F$1,"EQY_FUND_CRNCY="&amp;$C$1)</f>
        <v>#NAME?</v>
      </c>
      <c r="G15" s="40" t="e">
        <f ca="1">_xll.BDP($C15,G$1)</f>
        <v>#NAME?</v>
      </c>
      <c r="H15" s="39" t="e">
        <f ca="1">_xll.BDP($C15,H$1,"EQY_FUND_CRNCY="&amp;$B$1)</f>
        <v>#NAME?</v>
      </c>
      <c r="I15" s="39" t="e">
        <f ca="1">_xll.BDP($C15,I$1,"EQY_FUND_CRNCY="&amp;$C$1)</f>
        <v>#NAME?</v>
      </c>
      <c r="J15" s="39" t="e">
        <f ca="1">_xll.BDP($C15,J$1,"EQY_FUND_CRNCY="&amp;$B$1)</f>
        <v>#NAME?</v>
      </c>
      <c r="K15" s="39" t="e">
        <f ca="1">_xll.BDP($C15,K$1,"EQY_FUND_CRNCY="&amp;$C$1)</f>
        <v>#NAME?</v>
      </c>
      <c r="L15" s="39" t="e">
        <f ca="1">_xll.BDP($C15,L$1,"EQY_FUND_CRNCY="&amp;$B$1)</f>
        <v>#NAME?</v>
      </c>
      <c r="M15" s="39" t="e">
        <f ca="1">_xll.BDP($C15,M$1,"EQY_FUND_CRNCY="&amp;$C$1)</f>
        <v>#NAME?</v>
      </c>
      <c r="N15" s="41" t="e">
        <f ca="1">_xll.BDP($C15,N$1)/100</f>
        <v>#NAME?</v>
      </c>
      <c r="O15" s="41" t="e">
        <f ca="1">_xll.BDP($C15,O$1)/100</f>
        <v>#NAME?</v>
      </c>
      <c r="P15" s="41" t="e">
        <f ca="1">_xll.BDP($C15,P$1)/100</f>
        <v>#NAME?</v>
      </c>
      <c r="Q15" s="41" t="e">
        <f ca="1">_xll.BDP($C15,Q$1)/100</f>
        <v>#NAME?</v>
      </c>
      <c r="R15" s="41" t="e">
        <f ca="1">_xll.BDP($C15,R$1)/100</f>
        <v>#NAME?</v>
      </c>
      <c r="S15" s="41" t="e">
        <f ca="1">_xll.BDP($C15,S$1)/100</f>
        <v>#NAME?</v>
      </c>
      <c r="T15" s="41" t="e">
        <f ca="1">_xll.BDP($C15,T$1)/100</f>
        <v>#NAME?</v>
      </c>
      <c r="U15" s="41" t="e">
        <f ca="1">_xll.BDP($C15,U$1)/100</f>
        <v>#NAME?</v>
      </c>
      <c r="V15" s="41" t="e">
        <f ca="1">_xll.BDP($C15,V$1)/100</f>
        <v>#NAME?</v>
      </c>
      <c r="W15" s="41" t="e">
        <f ca="1">_xll.BDP($C15,W$1)/100</f>
        <v>#NAME?</v>
      </c>
      <c r="X15" s="42" t="e">
        <f t="array" aca="1" ref="X15" ca="1">_xll.BDP($C15,"CRNCY_ADJ_CURR_EV", "EQY_FUND_CRNCY=HKD")</f>
        <v>#NAME?</v>
      </c>
      <c r="Y15" s="42" t="e">
        <f t="array" aca="1" ref="Y15" ca="1">_xll.BDP($C15,"CRNCY_ADJ_CURR_EV", "EQY_FUND_CRNCY=USD")</f>
        <v>#NAME?</v>
      </c>
      <c r="Z15" s="41" t="e">
        <f ca="1">_xll.BDP($C15,Z$1)/100</f>
        <v>#NAME?</v>
      </c>
      <c r="AA15" s="42" t="e">
        <f ca="1">_xll.BDP($C15,"TRAIL_12M_NET_SALES","EQY_FUND_CRNCY=HKD")</f>
        <v>#NAME?</v>
      </c>
      <c r="AB15" s="42" t="e">
        <f ca="1">_xll.BDP($C15,"TRAIL_12M_NET_INC","EQY_FUND_CRNCY=HKD")</f>
        <v>#NAME?</v>
      </c>
      <c r="AC15" s="42" t="e">
        <f ca="1">_xll.BDP($C15,"TRAIL_12M_EBITDA","EQY_FUND_CRNCY=HKD")</f>
        <v>#NAME?</v>
      </c>
      <c r="AD15" s="43" t="e" cm="1">
        <f t="array" aca="1" ref="AD15" ca="1">_xll.BQL($C15, "PE_RATIO(FPT=BA, FPR=2025, FYE=C1231, AE=E)")</f>
        <v>#NAME?</v>
      </c>
      <c r="AE15" s="43" t="e">
        <f t="array" aca="1" ref="AE15" ca="1">_xll.BQL($C15, "PE_RATIO(FPT=BA, FPR=2026, FYE=C1231, AE=E)")</f>
        <v>#NAME?</v>
      </c>
      <c r="AF15" s="43" t="e">
        <f t="array" aca="1" ref="AF15" ca="1">_xll.BQL($C15, "PE_RATIO(FPT=BA, FPR=2027, FYE=C1231, AE=E)")</f>
        <v>#NAME?</v>
      </c>
      <c r="AG15" s="43" t="e" cm="1">
        <f t="array" aca="1" ref="AG15" ca="1">_xll.BQL($C15, "PX_TO_SALES_RATIO(FPT=BA, FPR=2025, FYE=C1231, AE=E)")</f>
        <v>#NAME?</v>
      </c>
      <c r="AH15" s="43" t="e">
        <f t="array" aca="1" ref="AH15" ca="1">_xll.BQL($C15, "PX_TO_SALES_RATIO(FPT=BA, FPR=2026, FYE=C1231, AE=E)")</f>
        <v>#NAME?</v>
      </c>
      <c r="AI15" s="43" t="e">
        <f t="array" aca="1" ref="AI15" ca="1">_xll.BQL($C15, "PX_TO_SALES_RATIO(FPT=BA, FPR=2027, FYE=C1231, AE=E)")</f>
        <v>#NAME?</v>
      </c>
      <c r="AJ15" s="43" t="e">
        <f t="shared" ca="1" si="0"/>
        <v>#NAME?</v>
      </c>
      <c r="AK15" s="43" t="e">
        <f t="array" aca="1" ref="AK15" ca="1">IF(_xll.BQL($C15, "CURR_ENTP_VAL(FPT=A,FPO=0)/EBITDA(FPT=BA, FPR=2026, FYE=C1231, AE=E)")&lt;0,"N/A",_xll.BQL($C15, "CURR_ENTP_VAL(FPT=A,FPO=0)/EBITDA(FPT=BA, FPR=2026, FYE=C1231, AE=E)"))</f>
        <v>#NAME?</v>
      </c>
      <c r="AL15" s="43" t="e">
        <f t="array" aca="1" ref="AL15" ca="1">IF(_xll.BQL($C15, "CURR_ENTP_VAL(FPT=A,FPO=0)/EBITDA(FPT=BA, FPR=2027, FYE=C1231, AE=E)")&lt;0,"N/A",_xll.BQL($C15, "CURR_ENTP_VAL(FPT=A,FPO=0)/EBITDA(FPT=BA, FPR=2027, FYE=C1231, AE=E)"))</f>
        <v>#NAME?</v>
      </c>
      <c r="AM15" s="43" t="e">
        <f ca="1">_xll.BDP($C15,AM$1)</f>
        <v>#NAME?</v>
      </c>
      <c r="AN15" s="43" t="e">
        <f t="array" aca="1" ref="AN15" ca="1">_xll.BQL($C15, "PX_TO_BOOK_RATIO(FPT=BA, FPR=2026, FYE=C1231, AE=E)")</f>
        <v>#NAME?</v>
      </c>
      <c r="AO15" s="43" t="e">
        <f t="array" aca="1" ref="AO15" ca="1">_xll.BQL($C15, "PX_TO_BOOK_RATIO(FPT=BA, FPR=2027, FYE=C1231, AE=E)")</f>
        <v>#NAME?</v>
      </c>
      <c r="AP15" s="43" t="e">
        <f ca="1">_xll.BDP($C15,"BEST Px bps ratio","BEST fperiod override","27Y")</f>
        <v>#NAME?</v>
      </c>
      <c r="AQ15" s="41" t="e">
        <f t="shared" ca="1" si="1"/>
        <v>#NAME?</v>
      </c>
      <c r="AR15" s="41" t="e">
        <f ca="1">_xll.BDP($C15,"BEST_ROE","BEST fperiod override","26Y")/100</f>
        <v>#NAME?</v>
      </c>
      <c r="AS15" s="41" t="e">
        <f ca="1">_xll.BDP($C15,"BEST_ROE","BEST fperiod override","27Y")/100</f>
        <v>#NAME?</v>
      </c>
      <c r="AT15" s="44" t="e">
        <f ca="1">_xll.BDP($C15,AT$1)</f>
        <v>#NAME?</v>
      </c>
      <c r="AU15" s="44" t="e">
        <f ca="1">_xll.BDP($C15,$AU$1,"BEST fperiod override","26Y")</f>
        <v>#NAME?</v>
      </c>
      <c r="AV15" s="44" t="e">
        <f ca="1">_xll.BDP($C15,$AU$1,"BEST fperiod override","27Y")</f>
        <v>#NAME?</v>
      </c>
      <c r="AW15" s="44" t="e">
        <f t="shared" ca="1" si="2"/>
        <v>#NAME?</v>
      </c>
      <c r="AX15" s="44" t="e">
        <f t="shared" ca="1" si="3"/>
        <v>#NAME?</v>
      </c>
      <c r="AY15" s="44" t="e">
        <f t="shared" ca="1" si="4"/>
        <v>#NAME?</v>
      </c>
      <c r="AZ15" s="45" t="e">
        <f t="array" aca="1" ref="AZ15" ca="1">_xll.BQL($C15, "CF_CASH_FROM_OPER(FPT=BA, FPR=2022, FYE=C1231, AE=A)", "currency=USD")/1000000000</f>
        <v>#NAME?</v>
      </c>
      <c r="BA15" s="45" t="e">
        <f t="array" aca="1" ref="BA15" ca="1">_xll.BQL($C15, "CF_CASH_FROM_OPER(FPT=BA, FPR=2023, FYE=C1231, AE=A)", "currency=USD")/1000000000</f>
        <v>#NAME?</v>
      </c>
      <c r="BB15" s="45" t="e">
        <f t="array" aca="1" ref="BB15" ca="1">_xll.BQL($C15, "CF_CASH_FROM_OPER(FPT=BA, FPR=2024, FYE=C1231, AE=A)", "currency=USD")/1000000000</f>
        <v>#NAME?</v>
      </c>
      <c r="BC15" s="45" t="e">
        <f t="array" aca="1" ref="BC15" ca="1">_xll.BQL($C15, "CF_CASH_FROM_OPER(FPT=BA, FPR=2025, FYE=C1231, AE=E)", "currency=USD")/1000000000</f>
        <v>#NAME?</v>
      </c>
      <c r="BD15" s="45" t="e">
        <f t="array" aca="1" ref="BD15" ca="1">_xll.BQL($C15, "CF_CASH_FROM_OPER(FPT=BA, FPR=2026, FYE=C1231, AE=E)", "currency=USD")/1000000000</f>
        <v>#NAME?</v>
      </c>
      <c r="BE15" s="45" t="e">
        <f t="array" aca="1" ref="BE15" ca="1">_xll.BQL($C15, "CF_CASH_FROM_OPER(FPT=BA, FPR=2027, FYE=C1231, AE=E)", "currency=USD")/1000000000</f>
        <v>#NAME?</v>
      </c>
      <c r="BF15" s="45" t="e">
        <f t="array" aca="1" ref="BF15" ca="1">_xll.BQL($C15, "CF_FREE_CASH_FLOW(FPT=BA, FPR=2022, FYE=C1231, AE=A)", "currency=USD")/1000000000</f>
        <v>#NAME?</v>
      </c>
      <c r="BG15" s="45" t="e">
        <f t="array" aca="1" ref="BG15" ca="1">_xll.BQL($C15, "CF_FREE_CASH_FLOW(FPT=BA, FPR=2023, FYE=C1231, AE=A)", "currency=USD")/1000000000</f>
        <v>#NAME?</v>
      </c>
      <c r="BH15" s="45" t="e">
        <f t="array" aca="1" ref="BH15" ca="1">_xll.BQL($C15, "CF_FREE_CASH_FLOW(FPT=BA, FPR=2024, FYE=C1231, AE=A)", "currency=USD")/1000000000</f>
        <v>#NAME?</v>
      </c>
      <c r="BI15" s="45" t="e">
        <f t="array" aca="1" ref="BI15" ca="1">_xll.BQL($C15, "CF_FREE_CASH_FLOW(FPT=BA, FPR=2025, FYE=C1231, AE=E)", "currency=USD")/1000000000</f>
        <v>#NAME?</v>
      </c>
      <c r="BJ15" s="45" t="e">
        <f t="array" aca="1" ref="BJ15" ca="1">_xll.BQL($C15, "CF_FREE_CASH_FLOW(FPT=BA, FPR=2026, FYE=C1231, AE=E)", "currency=USD")/1000000000</f>
        <v>#NAME?</v>
      </c>
      <c r="BK15" s="45" t="e">
        <f t="array" aca="1" ref="BK15" ca="1">_xll.BQL($C15, "CF_FREE_CASH_FLOW(FPT=BA, FPR=2027, FYE=C1231, AE=E)", "currency=USD")/1000000000</f>
        <v>#NAME?</v>
      </c>
      <c r="BL15" s="45" t="e">
        <f t="array" aca="1" ref="BL15" ca="1">_xll.BQL($C15, "SALES_REV_TURN(FPT=BA, FPR=2022, FYE=C1231, AE=A)", "currency=USD")/1000000000</f>
        <v>#NAME?</v>
      </c>
      <c r="BM15" s="45" t="e">
        <f t="array" aca="1" ref="BM15" ca="1">_xll.BQL($C15, "SALES_REV_TURN(FPT=BA, FPR=2023, FYE=C1231, AE=A)", "currency=USD")/1000000000</f>
        <v>#NAME?</v>
      </c>
      <c r="BN15" s="45" t="e">
        <f t="array" aca="1" ref="BN15" ca="1">_xll.BQL($C15, "SALES_REV_TURN(FPT=BA, FPR=2024, FYE=C1231, AE=A)", "currency=USD")/1000000000</f>
        <v>#NAME?</v>
      </c>
      <c r="BO15" s="45" t="e">
        <f t="array" aca="1" ref="BO15" ca="1">_xll.BQL($C15, "SALES_REV_TURN(FPT=BA, FPR=2025, FYE=C1231, AE=E)", "currency=USD")/1000000000</f>
        <v>#NAME?</v>
      </c>
      <c r="BP15" s="45" t="e">
        <f t="array" aca="1" ref="BP15" ca="1">_xll.BQL($C15, "SALES_REV_TURN(FPT=BA, FPR=2026, FYE=C1231, AE=E)", "currency=USD")/1000000000</f>
        <v>#NAME?</v>
      </c>
      <c r="BQ15" s="45" t="e">
        <f t="array" aca="1" ref="BQ15" ca="1">_xll.BQL($C15, "SALES_REV_TURN(FPT=BA, FPR=2027, FYE=C1231, AE=E)", "currency=USD")/1000000000</f>
        <v>#NAME?</v>
      </c>
      <c r="BR15" s="45" t="e">
        <f t="array" aca="1" ref="BR15" ca="1">_xll.BQL($C15, "EBITDA(FPT=BA, FPR=2022, FYE=C1231, AE=A)", "currency=USD")/1000000000</f>
        <v>#NAME?</v>
      </c>
      <c r="BS15" s="45" t="e">
        <f t="array" aca="1" ref="BS15" ca="1">_xll.BQL($C15, "EBITDA(FPT=BA, FPR=2023, FYE=C1231, AE=A)", "currency=USD")/1000000000</f>
        <v>#NAME?</v>
      </c>
      <c r="BT15" s="45" t="e">
        <f t="array" aca="1" ref="BT15" ca="1">_xll.BQL($C15, "EBITDA(FPT=BA, FPR=2024, FYE=C1231, AE=A)", "currency=USD")/1000000000</f>
        <v>#NAME?</v>
      </c>
      <c r="BU15" s="45" t="e">
        <f t="array" aca="1" ref="BU15" ca="1">_xll.BQL($C15, "EBITDA(FPT=BA, FPR=2025, FYE=C1231, AE=E)", "currency=USD")/1000000000</f>
        <v>#NAME?</v>
      </c>
      <c r="BV15" s="45" t="e">
        <f t="array" aca="1" ref="BV15" ca="1">_xll.BQL($C15, "EBITDA(FPT=BA, FPR=2026, FYE=C1231, AE=E)", "currency=USD")/1000000000</f>
        <v>#NAME?</v>
      </c>
      <c r="BW15" s="45" t="e">
        <f t="array" aca="1" ref="BW15" ca="1">_xll.BQL($C15, "EBITDA(FPT=BA, FPR=2027, FYE=C1231, AE=E)", "currency=USD")/1000000000</f>
        <v>#NAME?</v>
      </c>
      <c r="BX15" s="45" t="e">
        <f t="array" aca="1" ref="BX15" ca="1">_xll.BQL($C15, "NET_INCOME(FPT=BA, FPR=2022, FYE=C1231, AE=A)", "currency=USD")/1000000000</f>
        <v>#NAME?</v>
      </c>
      <c r="BY15" s="45" t="e">
        <f t="array" aca="1" ref="BY15" ca="1">_xll.BQL($C15, "NET_INCOME(FPT=BA, FPR=2023, FYE=C1231, AE=A)", "currency=USD")/1000000000</f>
        <v>#NAME?</v>
      </c>
      <c r="BZ15" s="45" t="e">
        <f t="array" aca="1" ref="BZ15" ca="1">_xll.BQL($C15, "NET_INCOME(FPT=BA, FPR=2024, FYE=C1231, AE=A)", "currency=USD")/1000000000</f>
        <v>#NAME?</v>
      </c>
      <c r="CA15" s="45" t="e">
        <f t="array" aca="1" ref="CA15" ca="1">_xll.BQL($C15, "NET_INCOME(FPT=BA, FPR=2025, FYE=C1231, AE=E)", "currency=USD")/1000000000</f>
        <v>#NAME?</v>
      </c>
      <c r="CB15" s="45" t="e">
        <f t="array" aca="1" ref="CB15" ca="1">_xll.BQL($C15, "NET_INCOME(FPT=BA, FPR=2026, FYE=C1231, AE=E)", "currency=USD")/1000000000</f>
        <v>#NAME?</v>
      </c>
      <c r="CC15" s="45" t="e">
        <f t="array" aca="1" ref="CC15" ca="1">_xll.BQL($C15, "NET_INCOME(FPT=BA, FPR=2027, FYE=C1231, AE=E)", "currency=USD")/1000000000</f>
        <v>#NAME?</v>
      </c>
      <c r="CD15" s="45" t="e">
        <f t="array" aca="1" ref="CD15" ca="1">-_xll.BQL($C15, "CF_DVD_PAID(FPT=BA, FPR=2024, FYE=C1231, AE=A)", "currency=USD")/1000000000</f>
        <v>#NAME?</v>
      </c>
      <c r="CE15" s="45" t="e">
        <f t="array" aca="1" ref="CE15" ca="1">-_xll.BQL($C15, "CF_DVD_PAID(FPT=BA, FPR=2025, FYE=C1231, AE=E)", "currency=USD")/1000000000</f>
        <v>#NAME?</v>
      </c>
      <c r="CF15" s="45" t="e">
        <f t="array" aca="1" ref="CF15" ca="1">-_xll.BQL($C15, "CF_DVD_PAID(FPT=BA, FPR=2026, FYE=C1231, AE=E)", "currency=USD")/1000000000</f>
        <v>#NAME?</v>
      </c>
      <c r="CG15" s="45" t="e">
        <f t="array" aca="1" ref="CG15" ca="1">-_xll.BQL($C15, "CF_DVD_PAID(FPT=BA, FPR=2027, FYE=C1231, AE=E)", "currency=USD")/1000000000</f>
        <v>#NAME?</v>
      </c>
      <c r="CH15" s="46" t="e">
        <f t="shared" ca="1" si="5"/>
        <v>#NAME?</v>
      </c>
      <c r="CI15" s="46" t="e">
        <f t="shared" ca="1" si="6"/>
        <v>#NAME?</v>
      </c>
      <c r="CJ15" s="46" t="e">
        <f t="shared" ca="1" si="7"/>
        <v>#NAME?</v>
      </c>
      <c r="CK15" s="46" t="e">
        <f t="shared" ca="1" si="8"/>
        <v>#NAME?</v>
      </c>
      <c r="CL15" s="43" t="e">
        <f t="array" aca="1" ref="CL15" ca="1">_xll.BDP($C15,"INTERVAL_AVG", "MARKET_DATA_OVERRIDE=turnover", "CALC_INTERVAL=5D","CRNCY=HKD")/1000000</f>
        <v>#NAME?</v>
      </c>
      <c r="CM15" s="43" t="e">
        <f t="array" aca="1" ref="CM15" ca="1">_xll.BDP($C15,"INTERVAL_AVG", "MARKET_DATA_OVERRIDE=turnover", "CALC_INTERVAL=10D","CRNCY=HKD")/1000000</f>
        <v>#NAME?</v>
      </c>
      <c r="CN15" s="43" t="e">
        <f t="array" aca="1" ref="CN15" ca="1">_xll.BDP($C15,"INTERVAL_AVG", "MARKET_DATA_OVERRIDE=turnover", "CALC_INTERVAL=20D","CRNCY=HKD")/1000000</f>
        <v>#NAME?</v>
      </c>
      <c r="CO15" s="43" t="e">
        <f t="array" aca="1" ref="CO15" ca="1">_xll.BDP($C15,"INTERVAL_AVG", "MARKET_DATA_OVERRIDE=turnover", "CALC_INTERVAL=1m","CRNCY=HKD")/1000000</f>
        <v>#NAME?</v>
      </c>
      <c r="CP15" s="43" t="e">
        <f t="array" aca="1" ref="CP15" ca="1">_xll.BDP($C15,"INTERVAL_AVG", "MARKET_DATA_OVERRIDE=turnover", "CALC_INTERVAL=3M","CRNCY=HKD")/1000000</f>
        <v>#NAME?</v>
      </c>
      <c r="CQ15" s="43" t="e">
        <f t="array" aca="1" ref="CQ15" ca="1">_xll.BDP($C15,"INTERVAL_AVG", "MARKET_DATA_OVERRIDE=turnover", "CALC_INTERVAL=6M","CRNCY=HKD")/1000000</f>
        <v>#NAME?</v>
      </c>
      <c r="CR15" s="47" t="e">
        <f ca="1">_xll.BDP($C15,"chg pct 1m")/100</f>
        <v>#NAME?</v>
      </c>
      <c r="CS15" s="47" t="e">
        <f ca="1">_xll.BDP($C15,"chg pct 3m")/100</f>
        <v>#NAME?</v>
      </c>
      <c r="CT15" s="47" t="e">
        <f ca="1">_xll.BDP($C15,"chg pct 6m")/100</f>
        <v>#NAME?</v>
      </c>
      <c r="CU15" s="47" t="e">
        <f ca="1">_xll.BDP($C15,"chg pct 1yr")/100</f>
        <v>#NAME?</v>
      </c>
      <c r="CV15" s="47" t="e">
        <f ca="1">_xll.BDP($C15,"chg pct ytd")/100</f>
        <v>#NAME?</v>
      </c>
      <c r="CW15" s="41" t="e">
        <f t="array" aca="1" ref="CW15" ca="1">_xll.BQL($C15, "volatility(calc_interval=range(-1M, 0D))")</f>
        <v>#NAME?</v>
      </c>
      <c r="CX15" s="41" t="e">
        <f t="array" aca="1" ref="CX15" ca="1">_xll.BQL($C15, "volatility(calc_interval=range(-3M, 0D))")</f>
        <v>#NAME?</v>
      </c>
      <c r="CY15" s="41" t="e">
        <f t="array" aca="1" ref="CY15" ca="1">_xll.BQL($C15, "volatility(calc_interval=range(-6M, 0D))")</f>
        <v>#NAME?</v>
      </c>
      <c r="CZ15" s="48" t="e">
        <f ca="1">_xll.BDP($C15,CZ$1)</f>
        <v>#NAME?</v>
      </c>
    </row>
    <row r="16" spans="1:116" s="50" customFormat="1" ht="15" customHeight="1">
      <c r="E16" s="50" t="s">
        <v>175</v>
      </c>
    </row>
    <row r="17" spans="1:116" s="28" customFormat="1" ht="15.75" customHeight="1">
      <c r="A17" s="51"/>
      <c r="B17" s="51" t="s">
        <v>106</v>
      </c>
      <c r="C17" s="52">
        <v>13.732419316599399</v>
      </c>
      <c r="D17" s="51"/>
      <c r="E17" s="52" t="e">
        <f t="array" aca="1" ref="E17" ca="1">_xll.BDP("HSI Index", "PE_RATIO")</f>
        <v>#NAME?</v>
      </c>
      <c r="F17" s="53"/>
      <c r="G17" s="54"/>
      <c r="L17" s="55" t="s">
        <v>107</v>
      </c>
      <c r="M17" s="55" t="s">
        <v>107</v>
      </c>
      <c r="N17" s="56" t="e">
        <f ca="1">MAX(N7:N11)</f>
        <v>#NAME?</v>
      </c>
      <c r="O17" s="56" t="e">
        <f ca="1">MAX(O7:O11)</f>
        <v>#NAME?</v>
      </c>
      <c r="P17" s="56" t="e">
        <f ca="1">MAX(P7:P11)</f>
        <v>#NAME?</v>
      </c>
      <c r="Q17" s="56" t="e">
        <f ca="1">MAX(Q7:Q11)</f>
        <v>#NAME?</v>
      </c>
      <c r="R17" s="56" t="e">
        <f>MAX(#REF!)</f>
        <v>#REF!</v>
      </c>
      <c r="S17" s="56" t="e">
        <f>MAX(#REF!)</f>
        <v>#REF!</v>
      </c>
      <c r="T17" s="56" t="e">
        <f>MAX(#REF!)</f>
        <v>#REF!</v>
      </c>
      <c r="U17" s="56" t="e">
        <f>MAX(#REF!)</f>
        <v>#REF!</v>
      </c>
      <c r="V17" s="56" t="e">
        <f>MAX(#REF!)</f>
        <v>#REF!</v>
      </c>
      <c r="W17" s="56" t="e">
        <f>MAX(#REF!)</f>
        <v>#REF!</v>
      </c>
      <c r="X17" s="57" t="e">
        <f>MAX(#REF!)</f>
        <v>#REF!</v>
      </c>
      <c r="Y17" s="57" t="e">
        <f>MAX(#REF!)</f>
        <v>#REF!</v>
      </c>
      <c r="Z17" s="56" t="e">
        <f>MAX(#REF!)</f>
        <v>#REF!</v>
      </c>
      <c r="AA17" s="56"/>
      <c r="AB17" s="56"/>
      <c r="AC17" s="56"/>
      <c r="AD17" s="58" t="e">
        <f ca="1">MAX(AD7:AD11)</f>
        <v>#NAME?</v>
      </c>
      <c r="AE17" s="58" t="e">
        <f t="shared" ref="AE17:AV17" ca="1" si="9">MAX(AE7:AE9)</f>
        <v>#NAME?</v>
      </c>
      <c r="AF17" s="58" t="e">
        <f t="shared" ca="1" si="9"/>
        <v>#NAME?</v>
      </c>
      <c r="AG17" s="58" t="e">
        <f t="shared" ca="1" si="9"/>
        <v>#NAME?</v>
      </c>
      <c r="AH17" s="58" t="e">
        <f t="shared" ca="1" si="9"/>
        <v>#NAME?</v>
      </c>
      <c r="AI17" s="58" t="e">
        <f t="shared" ca="1" si="9"/>
        <v>#NAME?</v>
      </c>
      <c r="AJ17" s="58" t="e">
        <f t="shared" ca="1" si="9"/>
        <v>#NAME?</v>
      </c>
      <c r="AK17" s="58" t="e">
        <f t="shared" ca="1" si="9"/>
        <v>#NAME?</v>
      </c>
      <c r="AL17" s="58" t="e">
        <f t="shared" ca="1" si="9"/>
        <v>#NAME?</v>
      </c>
      <c r="AM17" s="58" t="e">
        <f t="shared" ca="1" si="9"/>
        <v>#NAME?</v>
      </c>
      <c r="AN17" s="58" t="e">
        <f t="shared" ca="1" si="9"/>
        <v>#NAME?</v>
      </c>
      <c r="AO17" s="58" t="e">
        <f t="shared" ca="1" si="9"/>
        <v>#NAME?</v>
      </c>
      <c r="AP17" s="58" t="e">
        <f t="shared" ca="1" si="9"/>
        <v>#NAME?</v>
      </c>
      <c r="AQ17" s="58" t="e">
        <f t="shared" ca="1" si="9"/>
        <v>#NAME?</v>
      </c>
      <c r="AR17" s="58" t="e">
        <f t="shared" ca="1" si="9"/>
        <v>#NAME?</v>
      </c>
      <c r="AS17" s="58" t="e">
        <f t="shared" ca="1" si="9"/>
        <v>#NAME?</v>
      </c>
      <c r="AT17" s="58" t="e">
        <f t="shared" ca="1" si="9"/>
        <v>#NAME?</v>
      </c>
      <c r="AU17" s="58" t="e">
        <f t="shared" ca="1" si="9"/>
        <v>#NAME?</v>
      </c>
      <c r="AV17" s="58" t="e">
        <f t="shared" ca="1" si="9"/>
        <v>#NAME?</v>
      </c>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60" t="e">
        <f t="shared" ref="CL17:CY17" ca="1" si="10">MAX(CL7:CL9)</f>
        <v>#NAME?</v>
      </c>
      <c r="CM17" s="60" t="e">
        <f t="shared" ca="1" si="10"/>
        <v>#NAME?</v>
      </c>
      <c r="CN17" s="60" t="e">
        <f t="shared" ca="1" si="10"/>
        <v>#NAME?</v>
      </c>
      <c r="CO17" s="60" t="e">
        <f t="shared" ca="1" si="10"/>
        <v>#NAME?</v>
      </c>
      <c r="CP17" s="60" t="e">
        <f t="shared" ca="1" si="10"/>
        <v>#NAME?</v>
      </c>
      <c r="CQ17" s="60" t="e">
        <f t="shared" ca="1" si="10"/>
        <v>#NAME?</v>
      </c>
      <c r="CR17" s="61" t="e">
        <f t="shared" ca="1" si="10"/>
        <v>#NAME?</v>
      </c>
      <c r="CS17" s="61" t="e">
        <f t="shared" ca="1" si="10"/>
        <v>#NAME?</v>
      </c>
      <c r="CT17" s="61" t="e">
        <f t="shared" ca="1" si="10"/>
        <v>#NAME?</v>
      </c>
      <c r="CU17" s="61" t="e">
        <f t="shared" ca="1" si="10"/>
        <v>#NAME?</v>
      </c>
      <c r="CV17" s="61" t="e">
        <f t="shared" ca="1" si="10"/>
        <v>#NAME?</v>
      </c>
      <c r="CW17" s="61" t="e">
        <f t="shared" ca="1" si="10"/>
        <v>#NAME?</v>
      </c>
      <c r="CX17" s="61" t="e">
        <f t="shared" ca="1" si="10"/>
        <v>#NAME?</v>
      </c>
      <c r="CY17" s="61" t="e">
        <f t="shared" ca="1" si="10"/>
        <v>#NAME?</v>
      </c>
      <c r="CZ17" s="62"/>
    </row>
    <row r="18" spans="1:116" s="28" customFormat="1" ht="15.75" customHeight="1">
      <c r="A18" s="51"/>
      <c r="B18" s="51" t="s">
        <v>108</v>
      </c>
      <c r="C18" s="52">
        <v>20.580118722898501</v>
      </c>
      <c r="D18" s="51"/>
      <c r="E18" s="52" t="e">
        <f t="array" aca="1" ref="E18" ca="1">_xll.BDP("NYA Index", "PE_RATIO")</f>
        <v>#NAME?</v>
      </c>
      <c r="F18" s="53"/>
      <c r="G18" s="54"/>
      <c r="L18" s="63" t="s">
        <v>109</v>
      </c>
      <c r="M18" s="63" t="s">
        <v>109</v>
      </c>
      <c r="N18" s="64" t="e">
        <f ca="1">MEDIAN(N7:N11)</f>
        <v>#NAME?</v>
      </c>
      <c r="O18" s="64" t="e">
        <f ca="1">MEDIAN(O7:O11)</f>
        <v>#NAME?</v>
      </c>
      <c r="P18" s="64" t="e">
        <f ca="1">MEDIAN(P7:P11)</f>
        <v>#NAME?</v>
      </c>
      <c r="Q18" s="64" t="e">
        <f ca="1">MEDIAN(Q7:Q11)</f>
        <v>#NAME?</v>
      </c>
      <c r="R18" s="64" t="e">
        <f>MEDIAN(#REF!)</f>
        <v>#REF!</v>
      </c>
      <c r="S18" s="64" t="e">
        <f>MEDIAN(#REF!)</f>
        <v>#REF!</v>
      </c>
      <c r="T18" s="64" t="e">
        <f>MEDIAN(#REF!)</f>
        <v>#REF!</v>
      </c>
      <c r="U18" s="64" t="e">
        <f>MEDIAN(#REF!)</f>
        <v>#REF!</v>
      </c>
      <c r="V18" s="64" t="e">
        <f>MEDIAN(#REF!)</f>
        <v>#REF!</v>
      </c>
      <c r="W18" s="64" t="e">
        <f>MEDIAN(#REF!)</f>
        <v>#REF!</v>
      </c>
      <c r="X18" s="65" t="e">
        <f>MEDIAN(#REF!)</f>
        <v>#REF!</v>
      </c>
      <c r="Y18" s="65" t="e">
        <f>MEDIAN(#REF!)</f>
        <v>#REF!</v>
      </c>
      <c r="Z18" s="64" t="e">
        <f>MEDIAN(#REF!)</f>
        <v>#REF!</v>
      </c>
      <c r="AA18" s="64"/>
      <c r="AB18" s="64"/>
      <c r="AC18" s="64"/>
      <c r="AD18" s="66" t="e">
        <f t="shared" ref="AD18:AV18" ca="1" si="11">MEDIAN(AD7:AD9)</f>
        <v>#NAME?</v>
      </c>
      <c r="AE18" s="66" t="e">
        <f t="shared" ca="1" si="11"/>
        <v>#NAME?</v>
      </c>
      <c r="AF18" s="66" t="e">
        <f t="shared" ca="1" si="11"/>
        <v>#NAME?</v>
      </c>
      <c r="AG18" s="66" t="e">
        <f t="shared" ca="1" si="11"/>
        <v>#NAME?</v>
      </c>
      <c r="AH18" s="66" t="e">
        <f t="shared" ca="1" si="11"/>
        <v>#NAME?</v>
      </c>
      <c r="AI18" s="66" t="e">
        <f t="shared" ca="1" si="11"/>
        <v>#NAME?</v>
      </c>
      <c r="AJ18" s="66" t="e">
        <f t="shared" ca="1" si="11"/>
        <v>#NAME?</v>
      </c>
      <c r="AK18" s="66" t="e">
        <f t="shared" ca="1" si="11"/>
        <v>#NAME?</v>
      </c>
      <c r="AL18" s="66" t="e">
        <f t="shared" ca="1" si="11"/>
        <v>#NAME?</v>
      </c>
      <c r="AM18" s="66" t="e">
        <f t="shared" ca="1" si="11"/>
        <v>#NAME?</v>
      </c>
      <c r="AN18" s="66" t="e">
        <f t="shared" ca="1" si="11"/>
        <v>#NAME?</v>
      </c>
      <c r="AO18" s="66" t="e">
        <f t="shared" ca="1" si="11"/>
        <v>#NAME?</v>
      </c>
      <c r="AP18" s="66" t="e">
        <f t="shared" ca="1" si="11"/>
        <v>#NAME?</v>
      </c>
      <c r="AQ18" s="66" t="e">
        <f t="shared" ca="1" si="11"/>
        <v>#NAME?</v>
      </c>
      <c r="AR18" s="66" t="e">
        <f t="shared" ca="1" si="11"/>
        <v>#NAME?</v>
      </c>
      <c r="AS18" s="66" t="e">
        <f t="shared" ca="1" si="11"/>
        <v>#NAME?</v>
      </c>
      <c r="AT18" s="66" t="e">
        <f t="shared" ca="1" si="11"/>
        <v>#NAME?</v>
      </c>
      <c r="AU18" s="66" t="e">
        <f t="shared" ca="1" si="11"/>
        <v>#NAME?</v>
      </c>
      <c r="AV18" s="66" t="e">
        <f t="shared" ca="1" si="11"/>
        <v>#NAME?</v>
      </c>
      <c r="AW18" s="67"/>
      <c r="AX18" s="67"/>
      <c r="AY18" s="67"/>
      <c r="AZ18" s="67"/>
      <c r="BA18" s="67"/>
      <c r="BB18" s="67"/>
      <c r="BC18" s="67"/>
      <c r="BD18" s="67"/>
      <c r="BE18" s="67"/>
      <c r="BF18" s="67"/>
      <c r="BG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8" t="e">
        <f t="shared" ref="CL18:CY18" ca="1" si="12">MEDIAN(CL7:CL9)</f>
        <v>#NAME?</v>
      </c>
      <c r="CM18" s="68" t="e">
        <f t="shared" ca="1" si="12"/>
        <v>#NAME?</v>
      </c>
      <c r="CN18" s="68" t="e">
        <f t="shared" ca="1" si="12"/>
        <v>#NAME?</v>
      </c>
      <c r="CO18" s="68" t="e">
        <f t="shared" ca="1" si="12"/>
        <v>#NAME?</v>
      </c>
      <c r="CP18" s="68" t="e">
        <f t="shared" ca="1" si="12"/>
        <v>#NAME?</v>
      </c>
      <c r="CQ18" s="68" t="e">
        <f t="shared" ca="1" si="12"/>
        <v>#NAME?</v>
      </c>
      <c r="CR18" s="69" t="e">
        <f t="shared" ca="1" si="12"/>
        <v>#NAME?</v>
      </c>
      <c r="CS18" s="69" t="e">
        <f t="shared" ca="1" si="12"/>
        <v>#NAME?</v>
      </c>
      <c r="CT18" s="69" t="e">
        <f t="shared" ca="1" si="12"/>
        <v>#NAME?</v>
      </c>
      <c r="CU18" s="69" t="e">
        <f t="shared" ca="1" si="12"/>
        <v>#NAME?</v>
      </c>
      <c r="CV18" s="69" t="e">
        <f t="shared" ca="1" si="12"/>
        <v>#NAME?</v>
      </c>
      <c r="CW18" s="69" t="e">
        <f t="shared" ca="1" si="12"/>
        <v>#NAME?</v>
      </c>
      <c r="CX18" s="69" t="e">
        <f t="shared" ca="1" si="12"/>
        <v>#NAME?</v>
      </c>
      <c r="CY18" s="69" t="e">
        <f t="shared" ca="1" si="12"/>
        <v>#NAME?</v>
      </c>
      <c r="CZ18" s="62"/>
    </row>
    <row r="19" spans="1:116" s="28" customFormat="1" ht="15.75" customHeight="1">
      <c r="A19" s="51"/>
      <c r="B19" s="51" t="s">
        <v>110</v>
      </c>
      <c r="C19" s="52">
        <v>16.720077912188199</v>
      </c>
      <c r="D19" s="51"/>
      <c r="E19" s="52" t="e">
        <f t="array" aca="1" ref="E19" ca="1">_xll.BDP("UKX Index", "PE_RATIO")</f>
        <v>#NAME?</v>
      </c>
      <c r="F19" s="53"/>
      <c r="G19" s="54"/>
      <c r="L19" s="63" t="s">
        <v>111</v>
      </c>
      <c r="M19" s="63" t="s">
        <v>111</v>
      </c>
      <c r="N19" s="64" t="e">
        <f ca="1">AVERAGE(N7:N11)</f>
        <v>#NAME?</v>
      </c>
      <c r="O19" s="64" t="e">
        <f ca="1">AVERAGE(O7:O11)</f>
        <v>#NAME?</v>
      </c>
      <c r="P19" s="64" t="e">
        <f ca="1">AVERAGE(P7:P11)</f>
        <v>#NAME?</v>
      </c>
      <c r="Q19" s="64" t="e">
        <f ca="1">AVERAGE(Q7:Q11)</f>
        <v>#NAME?</v>
      </c>
      <c r="R19" s="64" t="e">
        <f>AVERAGE(#REF!)</f>
        <v>#REF!</v>
      </c>
      <c r="S19" s="64" t="e">
        <f>AVERAGE(#REF!)</f>
        <v>#REF!</v>
      </c>
      <c r="T19" s="64" t="e">
        <f>AVERAGE(#REF!)</f>
        <v>#REF!</v>
      </c>
      <c r="U19" s="64" t="e">
        <f>AVERAGE(#REF!)</f>
        <v>#REF!</v>
      </c>
      <c r="V19" s="64" t="e">
        <f>AVERAGE(#REF!)</f>
        <v>#REF!</v>
      </c>
      <c r="W19" s="64" t="e">
        <f>AVERAGE(#REF!)</f>
        <v>#REF!</v>
      </c>
      <c r="X19" s="65" t="e">
        <f>AVERAGE(#REF!)</f>
        <v>#REF!</v>
      </c>
      <c r="Y19" s="65" t="e">
        <f>AVERAGE(#REF!)</f>
        <v>#REF!</v>
      </c>
      <c r="Z19" s="64" t="e">
        <f>AVERAGE(#REF!)</f>
        <v>#REF!</v>
      </c>
      <c r="AA19" s="64"/>
      <c r="AB19" s="64"/>
      <c r="AC19" s="64"/>
      <c r="AD19" s="66" t="e">
        <f t="shared" ref="AD19:AV19" ca="1" si="13">AVERAGE(AD7:AD9)</f>
        <v>#NAME?</v>
      </c>
      <c r="AE19" s="66" t="e">
        <f t="shared" ca="1" si="13"/>
        <v>#NAME?</v>
      </c>
      <c r="AF19" s="66" t="e">
        <f t="shared" ca="1" si="13"/>
        <v>#NAME?</v>
      </c>
      <c r="AG19" s="66" t="e">
        <f t="shared" ca="1" si="13"/>
        <v>#NAME?</v>
      </c>
      <c r="AH19" s="66" t="e">
        <f t="shared" ca="1" si="13"/>
        <v>#NAME?</v>
      </c>
      <c r="AI19" s="66" t="e">
        <f t="shared" ca="1" si="13"/>
        <v>#NAME?</v>
      </c>
      <c r="AJ19" s="66" t="e">
        <f t="shared" ca="1" si="13"/>
        <v>#NAME?</v>
      </c>
      <c r="AK19" s="66" t="e">
        <f t="shared" ca="1" si="13"/>
        <v>#NAME?</v>
      </c>
      <c r="AL19" s="66" t="e">
        <f t="shared" ca="1" si="13"/>
        <v>#NAME?</v>
      </c>
      <c r="AM19" s="66" t="e">
        <f t="shared" ca="1" si="13"/>
        <v>#NAME?</v>
      </c>
      <c r="AN19" s="66" t="e">
        <f t="shared" ca="1" si="13"/>
        <v>#NAME?</v>
      </c>
      <c r="AO19" s="66" t="e">
        <f t="shared" ca="1" si="13"/>
        <v>#NAME?</v>
      </c>
      <c r="AP19" s="66" t="e">
        <f t="shared" ca="1" si="13"/>
        <v>#NAME?</v>
      </c>
      <c r="AQ19" s="66" t="e">
        <f t="shared" ca="1" si="13"/>
        <v>#NAME?</v>
      </c>
      <c r="AR19" s="66" t="e">
        <f t="shared" ca="1" si="13"/>
        <v>#NAME?</v>
      </c>
      <c r="AS19" s="66" t="e">
        <f t="shared" ca="1" si="13"/>
        <v>#NAME?</v>
      </c>
      <c r="AT19" s="66" t="e">
        <f t="shared" ca="1" si="13"/>
        <v>#NAME?</v>
      </c>
      <c r="AU19" s="66" t="e">
        <f t="shared" ca="1" si="13"/>
        <v>#NAME?</v>
      </c>
      <c r="AV19" s="66" t="e">
        <f t="shared" ca="1" si="13"/>
        <v>#NAME?</v>
      </c>
      <c r="AW19" s="67"/>
      <c r="AX19" s="67"/>
      <c r="AY19" s="67"/>
      <c r="AZ19" s="67"/>
      <c r="BA19" s="67"/>
      <c r="BB19" s="67"/>
      <c r="BC19" s="67"/>
      <c r="BD19" s="67"/>
      <c r="BE19" s="67"/>
      <c r="BF19" s="67"/>
      <c r="BG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8" t="e">
        <f t="shared" ref="CL19:CY19" ca="1" si="14">AVERAGE(CL7:CL9)</f>
        <v>#NAME?</v>
      </c>
      <c r="CM19" s="68" t="e">
        <f t="shared" ca="1" si="14"/>
        <v>#NAME?</v>
      </c>
      <c r="CN19" s="68" t="e">
        <f t="shared" ca="1" si="14"/>
        <v>#NAME?</v>
      </c>
      <c r="CO19" s="68" t="e">
        <f t="shared" ca="1" si="14"/>
        <v>#NAME?</v>
      </c>
      <c r="CP19" s="68" t="e">
        <f t="shared" ca="1" si="14"/>
        <v>#NAME?</v>
      </c>
      <c r="CQ19" s="68" t="e">
        <f t="shared" ca="1" si="14"/>
        <v>#NAME?</v>
      </c>
      <c r="CR19" s="69" t="e">
        <f t="shared" ca="1" si="14"/>
        <v>#NAME?</v>
      </c>
      <c r="CS19" s="69" t="e">
        <f t="shared" ca="1" si="14"/>
        <v>#NAME?</v>
      </c>
      <c r="CT19" s="69" t="e">
        <f t="shared" ca="1" si="14"/>
        <v>#NAME?</v>
      </c>
      <c r="CU19" s="69" t="e">
        <f t="shared" ca="1" si="14"/>
        <v>#NAME?</v>
      </c>
      <c r="CV19" s="69" t="e">
        <f t="shared" ca="1" si="14"/>
        <v>#NAME?</v>
      </c>
      <c r="CW19" s="69" t="e">
        <f t="shared" ca="1" si="14"/>
        <v>#NAME?</v>
      </c>
      <c r="CX19" s="69" t="e">
        <f t="shared" ca="1" si="14"/>
        <v>#NAME?</v>
      </c>
      <c r="CY19" s="69" t="e">
        <f t="shared" ca="1" si="14"/>
        <v>#NAME?</v>
      </c>
      <c r="CZ19" s="62"/>
    </row>
    <row r="20" spans="1:116" s="28" customFormat="1" ht="15.75" customHeight="1">
      <c r="A20" s="51"/>
      <c r="B20" s="51" t="s">
        <v>112</v>
      </c>
      <c r="C20" s="52">
        <v>21.956181805522</v>
      </c>
      <c r="D20" s="51"/>
      <c r="E20" s="52" t="e" cm="1">
        <f t="array" aca="1" ref="E20" ca="1">_xll.BDP("NIFTY Index", "PE_RATIO")</f>
        <v>#NAME?</v>
      </c>
      <c r="F20" s="53"/>
      <c r="G20" s="54"/>
      <c r="L20" s="70" t="s">
        <v>113</v>
      </c>
      <c r="M20" s="70" t="s">
        <v>113</v>
      </c>
      <c r="N20" s="71" t="e">
        <f ca="1">MIN(N7:N11)</f>
        <v>#NAME?</v>
      </c>
      <c r="O20" s="71" t="e">
        <f ca="1">MIN(O7:O11)</f>
        <v>#NAME?</v>
      </c>
      <c r="P20" s="71" t="e">
        <f ca="1">MIN(P7:P11)</f>
        <v>#NAME?</v>
      </c>
      <c r="Q20" s="71" t="e">
        <f ca="1">MIN(Q7:Q11)</f>
        <v>#NAME?</v>
      </c>
      <c r="R20" s="71" t="e">
        <f>MIN(#REF!)</f>
        <v>#REF!</v>
      </c>
      <c r="S20" s="71" t="e">
        <f>MIN(#REF!)</f>
        <v>#REF!</v>
      </c>
      <c r="T20" s="71" t="e">
        <f>MIN(#REF!)</f>
        <v>#REF!</v>
      </c>
      <c r="U20" s="71" t="e">
        <f>MIN(#REF!)</f>
        <v>#REF!</v>
      </c>
      <c r="V20" s="71" t="e">
        <f>MIN(#REF!)</f>
        <v>#REF!</v>
      </c>
      <c r="W20" s="71" t="e">
        <f>MIN(#REF!)</f>
        <v>#REF!</v>
      </c>
      <c r="X20" s="72" t="e">
        <f>MIN(#REF!)</f>
        <v>#REF!</v>
      </c>
      <c r="Y20" s="72" t="e">
        <f>MIN(#REF!)</f>
        <v>#REF!</v>
      </c>
      <c r="Z20" s="71" t="e">
        <f>MIN(#REF!)</f>
        <v>#REF!</v>
      </c>
      <c r="AA20" s="71"/>
      <c r="AB20" s="71"/>
      <c r="AC20" s="71"/>
      <c r="AD20" s="73" t="e">
        <f t="shared" ref="AD20:AV20" ca="1" si="15">MIN(AD7:AD9)</f>
        <v>#NAME?</v>
      </c>
      <c r="AE20" s="73" t="e">
        <f t="shared" ca="1" si="15"/>
        <v>#NAME?</v>
      </c>
      <c r="AF20" s="73" t="e">
        <f t="shared" ca="1" si="15"/>
        <v>#NAME?</v>
      </c>
      <c r="AG20" s="73" t="e">
        <f t="shared" ca="1" si="15"/>
        <v>#NAME?</v>
      </c>
      <c r="AH20" s="73" t="e">
        <f t="shared" ca="1" si="15"/>
        <v>#NAME?</v>
      </c>
      <c r="AI20" s="73" t="e">
        <f t="shared" ca="1" si="15"/>
        <v>#NAME?</v>
      </c>
      <c r="AJ20" s="73" t="e">
        <f t="shared" ca="1" si="15"/>
        <v>#NAME?</v>
      </c>
      <c r="AK20" s="73" t="e">
        <f t="shared" ca="1" si="15"/>
        <v>#NAME?</v>
      </c>
      <c r="AL20" s="73" t="e">
        <f t="shared" ca="1" si="15"/>
        <v>#NAME?</v>
      </c>
      <c r="AM20" s="73" t="e">
        <f t="shared" ca="1" si="15"/>
        <v>#NAME?</v>
      </c>
      <c r="AN20" s="73" t="e">
        <f t="shared" ca="1" si="15"/>
        <v>#NAME?</v>
      </c>
      <c r="AO20" s="73" t="e">
        <f t="shared" ca="1" si="15"/>
        <v>#NAME?</v>
      </c>
      <c r="AP20" s="73" t="e">
        <f t="shared" ca="1" si="15"/>
        <v>#NAME?</v>
      </c>
      <c r="AQ20" s="73" t="e">
        <f t="shared" ca="1" si="15"/>
        <v>#NAME?</v>
      </c>
      <c r="AR20" s="73" t="e">
        <f t="shared" ca="1" si="15"/>
        <v>#NAME?</v>
      </c>
      <c r="AS20" s="73" t="e">
        <f t="shared" ca="1" si="15"/>
        <v>#NAME?</v>
      </c>
      <c r="AT20" s="73" t="e">
        <f t="shared" ca="1" si="15"/>
        <v>#NAME?</v>
      </c>
      <c r="AU20" s="73" t="e">
        <f t="shared" ca="1" si="15"/>
        <v>#NAME?</v>
      </c>
      <c r="AV20" s="73" t="e">
        <f t="shared" ca="1" si="15"/>
        <v>#NAME?</v>
      </c>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5" t="e">
        <f t="shared" ref="CL20:CY20" ca="1" si="16">MIN(CL7:CL9)</f>
        <v>#NAME?</v>
      </c>
      <c r="CM20" s="75" t="e">
        <f t="shared" ca="1" si="16"/>
        <v>#NAME?</v>
      </c>
      <c r="CN20" s="75" t="e">
        <f t="shared" ca="1" si="16"/>
        <v>#NAME?</v>
      </c>
      <c r="CO20" s="75" t="e">
        <f t="shared" ca="1" si="16"/>
        <v>#NAME?</v>
      </c>
      <c r="CP20" s="75" t="e">
        <f t="shared" ca="1" si="16"/>
        <v>#NAME?</v>
      </c>
      <c r="CQ20" s="75" t="e">
        <f t="shared" ca="1" si="16"/>
        <v>#NAME?</v>
      </c>
      <c r="CR20" s="76" t="e">
        <f t="shared" ca="1" si="16"/>
        <v>#NAME?</v>
      </c>
      <c r="CS20" s="76" t="e">
        <f t="shared" ca="1" si="16"/>
        <v>#NAME?</v>
      </c>
      <c r="CT20" s="76" t="e">
        <f t="shared" ca="1" si="16"/>
        <v>#NAME?</v>
      </c>
      <c r="CU20" s="76" t="e">
        <f t="shared" ca="1" si="16"/>
        <v>#NAME?</v>
      </c>
      <c r="CV20" s="76" t="e">
        <f t="shared" ca="1" si="16"/>
        <v>#NAME?</v>
      </c>
      <c r="CW20" s="76" t="e">
        <f t="shared" ca="1" si="16"/>
        <v>#NAME?</v>
      </c>
      <c r="CX20" s="76" t="e">
        <f t="shared" ca="1" si="16"/>
        <v>#NAME?</v>
      </c>
      <c r="CY20" s="76" t="e">
        <f t="shared" ca="1" si="16"/>
        <v>#NAME?</v>
      </c>
      <c r="CZ20" s="62"/>
    </row>
    <row r="21" spans="1:116" s="28" customFormat="1" ht="15.75" customHeight="1">
      <c r="A21" s="51"/>
      <c r="B21" s="51" t="s">
        <v>114</v>
      </c>
      <c r="C21" s="52">
        <v>14.8478595026153</v>
      </c>
      <c r="D21" s="51"/>
      <c r="E21" s="52" t="e">
        <f t="array" aca="1" ref="E21" ca="1">_xll.BDP("OMX Index", "PE_RATIO")</f>
        <v>#NAME?</v>
      </c>
      <c r="F21" s="53"/>
      <c r="G21" s="54"/>
      <c r="H21" s="53"/>
      <c r="I21" s="53"/>
      <c r="J21" s="53"/>
      <c r="K21" s="53"/>
      <c r="L21" s="53"/>
      <c r="M21" s="53"/>
      <c r="N21" s="77"/>
      <c r="O21" s="77"/>
      <c r="P21" s="77"/>
      <c r="Q21" s="77"/>
      <c r="R21" s="77"/>
      <c r="S21" s="77"/>
      <c r="T21" s="77"/>
      <c r="U21" s="77"/>
      <c r="V21" s="77"/>
      <c r="W21" s="77"/>
      <c r="X21" s="77"/>
      <c r="Y21" s="77"/>
      <c r="Z21" s="77"/>
      <c r="AA21" s="77"/>
      <c r="AB21" s="77"/>
      <c r="AC21" s="77"/>
      <c r="AD21" s="78"/>
      <c r="AE21" s="78"/>
      <c r="AF21" s="78"/>
      <c r="AG21" s="78"/>
      <c r="AH21" s="78"/>
      <c r="AI21" s="78"/>
      <c r="AJ21" s="78"/>
      <c r="AK21" s="78"/>
      <c r="AL21" s="78"/>
      <c r="AM21" s="78"/>
      <c r="AN21" s="78"/>
      <c r="AO21" s="78"/>
      <c r="AP21" s="78"/>
      <c r="AQ21" s="77"/>
      <c r="AR21" s="77"/>
      <c r="AS21" s="77"/>
      <c r="AT21" s="79"/>
      <c r="AU21" s="79"/>
      <c r="AV21" s="79"/>
      <c r="AW21" s="79"/>
      <c r="AX21" s="79"/>
      <c r="AY21" s="79"/>
      <c r="AZ21" s="79"/>
      <c r="BA21" s="79"/>
      <c r="BB21" s="79"/>
      <c r="BC21" s="79"/>
      <c r="BD21" s="79"/>
      <c r="BE21" s="79"/>
      <c r="BF21" s="79"/>
      <c r="BG21" s="79"/>
      <c r="BH21" s="79"/>
      <c r="BI21" s="79"/>
      <c r="BJ21" s="79"/>
      <c r="BK21" s="79"/>
      <c r="BL21" s="79"/>
      <c r="BM21" s="79"/>
      <c r="BN21" s="79"/>
      <c r="BO21" s="79"/>
      <c r="BP21" s="79"/>
      <c r="BQ21" s="79"/>
      <c r="BR21" s="79"/>
      <c r="BS21" s="79"/>
      <c r="BT21" s="79"/>
      <c r="BU21" s="79"/>
      <c r="BV21" s="79"/>
      <c r="BW21" s="79"/>
      <c r="BX21" s="79"/>
      <c r="BY21" s="79"/>
      <c r="BZ21" s="79"/>
      <c r="CA21" s="79"/>
      <c r="CB21" s="79"/>
      <c r="CC21" s="79"/>
      <c r="CD21" s="79"/>
      <c r="CE21" s="79"/>
      <c r="CF21" s="79"/>
      <c r="CG21" s="79"/>
      <c r="CH21" s="79"/>
      <c r="CI21" s="79"/>
      <c r="CJ21" s="79"/>
      <c r="CK21" s="79"/>
      <c r="CL21" s="78"/>
      <c r="CM21" s="78"/>
      <c r="CN21" s="78"/>
      <c r="CO21" s="78"/>
      <c r="CP21" s="78"/>
      <c r="CQ21" s="78"/>
      <c r="CR21" s="80"/>
      <c r="CS21" s="80"/>
      <c r="CT21" s="80"/>
      <c r="CU21" s="80"/>
      <c r="CV21" s="80"/>
      <c r="CW21" s="78"/>
      <c r="CX21" s="78"/>
      <c r="CY21" s="78"/>
      <c r="CZ21" s="62"/>
    </row>
    <row r="22" spans="1:116" s="7" customFormat="1" ht="15" customHeight="1">
      <c r="A22" s="4"/>
      <c r="B22" s="4" t="s">
        <v>115</v>
      </c>
      <c r="C22" s="52">
        <v>40.245419383884098</v>
      </c>
      <c r="D22" s="4"/>
      <c r="E22" s="52" t="e">
        <f t="array" aca="1" ref="E22" ca="1">_xll.BDP("ndx Index", "PE_RATIO")</f>
        <v>#NAME?</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4"/>
      <c r="CM22" s="4"/>
      <c r="CN22" s="4"/>
      <c r="CO22" s="4"/>
      <c r="CP22" s="4"/>
      <c r="CQ22" s="4"/>
      <c r="CR22" s="6"/>
      <c r="CS22" s="6"/>
      <c r="CT22" s="6"/>
      <c r="CU22" s="6"/>
      <c r="CV22" s="6"/>
      <c r="CW22" s="4"/>
      <c r="CX22" s="4"/>
      <c r="CY22" s="4"/>
      <c r="DB22" s="4"/>
      <c r="DC22" s="4"/>
      <c r="DD22" s="4"/>
      <c r="DE22" s="4"/>
      <c r="DF22" s="4"/>
      <c r="DG22" s="4"/>
      <c r="DH22" s="4"/>
      <c r="DI22" s="4"/>
      <c r="DJ22" s="4"/>
      <c r="DK22" s="4"/>
      <c r="DL22" s="8"/>
    </row>
    <row r="23" spans="1:116" s="7" customFormat="1" ht="15" customHeight="1">
      <c r="A23" s="4"/>
      <c r="B23" s="4"/>
      <c r="C23" s="50"/>
      <c r="D23" s="4"/>
      <c r="E23" s="4" t="s">
        <v>176</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4"/>
      <c r="CM23" s="4"/>
      <c r="CN23" s="4"/>
      <c r="CO23" s="4"/>
      <c r="CP23" s="4"/>
      <c r="CQ23" s="4"/>
      <c r="CR23" s="6"/>
      <c r="CS23" s="6"/>
      <c r="CT23" s="6"/>
      <c r="CU23" s="6"/>
      <c r="CV23" s="6"/>
      <c r="CW23" s="4"/>
      <c r="CX23" s="4"/>
      <c r="CY23" s="4"/>
      <c r="DB23" s="4"/>
      <c r="DC23" s="4"/>
      <c r="DD23" s="4"/>
      <c r="DE23" s="4"/>
      <c r="DF23" s="4"/>
      <c r="DG23" s="4"/>
      <c r="DH23" s="4"/>
      <c r="DI23" s="4"/>
      <c r="DJ23" s="4"/>
      <c r="DK23" s="4"/>
      <c r="DL23" s="8"/>
    </row>
    <row r="24" spans="1:116" s="7" customFormat="1" ht="15" customHeight="1">
      <c r="A24" s="4"/>
      <c r="B24" s="51" t="s">
        <v>106</v>
      </c>
      <c r="C24" s="4">
        <v>4.569684510475037</v>
      </c>
      <c r="D24" s="4"/>
      <c r="E24" s="4" t="e" cm="1">
        <f t="array" aca="1" ref="E24" ca="1">_xll.BQL("members('HSI Index')", "avg(group(px_to_sales_ratio().value))")</f>
        <v>#NAME?</v>
      </c>
      <c r="F24" s="4"/>
      <c r="G24" s="4"/>
      <c r="H24" s="4"/>
      <c r="I24" s="4"/>
      <c r="J24" s="52"/>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4"/>
      <c r="CM24" s="4"/>
      <c r="CN24" s="4"/>
      <c r="CO24" s="4"/>
      <c r="CP24" s="4"/>
      <c r="CQ24" s="4"/>
      <c r="CR24" s="6"/>
      <c r="CS24" s="6"/>
      <c r="CT24" s="6"/>
      <c r="CU24" s="6"/>
      <c r="CV24" s="6"/>
      <c r="CW24" s="4"/>
      <c r="CX24" s="4"/>
      <c r="CY24" s="4"/>
      <c r="DB24" s="4"/>
      <c r="DC24" s="4"/>
      <c r="DD24" s="4"/>
      <c r="DE24" s="4"/>
      <c r="DF24" s="4"/>
      <c r="DG24" s="4"/>
      <c r="DH24" s="4"/>
      <c r="DI24" s="4"/>
      <c r="DJ24" s="4"/>
      <c r="DK24" s="4"/>
      <c r="DL24" s="8"/>
    </row>
    <row r="25" spans="1:116" s="7" customFormat="1" ht="15.75" customHeight="1">
      <c r="A25" s="4"/>
      <c r="B25" s="51" t="s">
        <v>108</v>
      </c>
      <c r="C25" s="4"/>
      <c r="D25" s="4"/>
      <c r="E25" s="4" t="e" cm="1">
        <f t="array" aca="1" ref="E25" ca="1">_xll.BQL("members('NYA Index')", "avg(group(px_to_sales_ratio().value))")</f>
        <v>#NAME?</v>
      </c>
      <c r="F25" s="4"/>
      <c r="G25" s="4"/>
      <c r="H25" s="4"/>
      <c r="I25" s="4"/>
      <c r="J25" s="4" t="e">
        <f ca="1">E24/E25</f>
        <v>#NAME?</v>
      </c>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4"/>
      <c r="CM25" s="4"/>
      <c r="CN25" s="4"/>
      <c r="CO25" s="4"/>
      <c r="CP25" s="4"/>
      <c r="CQ25" s="4"/>
      <c r="CR25" s="6"/>
      <c r="CS25" s="6"/>
      <c r="CT25" s="6"/>
      <c r="CU25" s="6"/>
      <c r="CV25" s="6"/>
      <c r="CW25" s="4"/>
      <c r="CX25" s="4"/>
      <c r="CY25" s="4"/>
      <c r="DB25" s="4"/>
      <c r="DC25" s="4"/>
      <c r="DD25" s="4"/>
      <c r="DE25" s="4"/>
      <c r="DF25" s="4"/>
      <c r="DG25" s="4"/>
      <c r="DH25" s="4"/>
      <c r="DI25" s="4"/>
      <c r="DJ25" s="4"/>
      <c r="DK25" s="4"/>
      <c r="DL25" s="8"/>
    </row>
    <row r="26" spans="1:116" s="7" customFormat="1" ht="15.75" customHeight="1">
      <c r="A26" s="4"/>
      <c r="B26" s="51" t="s">
        <v>110</v>
      </c>
      <c r="C26" s="4">
        <v>2.7864859892707536</v>
      </c>
      <c r="D26" s="4"/>
      <c r="E26" s="4" t="e" cm="1">
        <f t="array" aca="1" ref="E26" ca="1">_xll.BQL("members('UKX Index')", "avg(group(px_to_sales_ratio().value))")</f>
        <v>#NAME?</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4"/>
      <c r="CM26" s="4"/>
      <c r="CN26" s="4"/>
      <c r="CO26" s="4"/>
      <c r="CP26" s="4"/>
      <c r="CQ26" s="4"/>
      <c r="CR26" s="6"/>
      <c r="CS26" s="6"/>
      <c r="CT26" s="6"/>
      <c r="CU26" s="6"/>
      <c r="CV26" s="6"/>
      <c r="CW26" s="4"/>
      <c r="CX26" s="4"/>
      <c r="CY26" s="4"/>
      <c r="DB26" s="4"/>
      <c r="DC26" s="4"/>
      <c r="DD26" s="4"/>
      <c r="DE26" s="4"/>
      <c r="DF26" s="4"/>
      <c r="DG26" s="4"/>
      <c r="DH26" s="4"/>
      <c r="DI26" s="4"/>
      <c r="DJ26" s="4"/>
      <c r="DK26" s="4"/>
      <c r="DL26" s="8"/>
    </row>
    <row r="27" spans="1:116" s="7" customFormat="1" ht="15.75" customHeight="1">
      <c r="A27" s="4"/>
      <c r="B27" s="51" t="s">
        <v>112</v>
      </c>
      <c r="C27" s="4">
        <v>4.8486972633638956</v>
      </c>
      <c r="D27" s="4"/>
      <c r="E27" s="4" t="e" cm="1">
        <f t="array" aca="1" ref="E27" ca="1">_xll.BQL("members('NIFTY Index')", "avg(group(px_to_sales_ratio().value))")</f>
        <v>#NAME?</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4"/>
      <c r="CM27" s="4"/>
      <c r="CN27" s="4"/>
      <c r="CO27" s="4"/>
      <c r="CP27" s="4"/>
      <c r="CQ27" s="4"/>
      <c r="CR27" s="6"/>
      <c r="CS27" s="6"/>
      <c r="CT27" s="6"/>
      <c r="CU27" s="6"/>
      <c r="CV27" s="6"/>
      <c r="CW27" s="4"/>
      <c r="CX27" s="4"/>
      <c r="CY27" s="4"/>
      <c r="DB27" s="4"/>
      <c r="DC27" s="4"/>
      <c r="DD27" s="4"/>
      <c r="DE27" s="4"/>
      <c r="DF27" s="4"/>
      <c r="DG27" s="4"/>
      <c r="DH27" s="4"/>
      <c r="DI27" s="4"/>
      <c r="DJ27" s="4"/>
      <c r="DK27" s="4"/>
      <c r="DL27" s="8"/>
    </row>
    <row r="28" spans="1:116" s="7" customFormat="1" ht="15.75" customHeight="1">
      <c r="A28" s="4"/>
      <c r="B28" s="51" t="s">
        <v>114</v>
      </c>
      <c r="C28" s="4">
        <v>3.5492543052377168</v>
      </c>
      <c r="D28" s="4"/>
      <c r="E28" s="4" t="e" cm="1">
        <f t="array" aca="1" ref="E28" ca="1">_xll.BQL("members('OMX Index')", "avg(group(px_to_sales_ratio().value))")</f>
        <v>#NAME?</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4"/>
      <c r="CM28" s="4"/>
      <c r="CN28" s="4"/>
      <c r="CO28" s="4"/>
      <c r="CP28" s="4"/>
      <c r="CQ28" s="4"/>
      <c r="CR28" s="6"/>
      <c r="CS28" s="6"/>
      <c r="CT28" s="6"/>
      <c r="CU28" s="6"/>
      <c r="CV28" s="6"/>
      <c r="CW28" s="4"/>
      <c r="CX28" s="4"/>
      <c r="CY28" s="4"/>
      <c r="DB28" s="4"/>
      <c r="DC28" s="4"/>
      <c r="DD28" s="4"/>
      <c r="DE28" s="4"/>
      <c r="DF28" s="4"/>
      <c r="DG28" s="4"/>
      <c r="DH28" s="4"/>
      <c r="DI28" s="4"/>
      <c r="DJ28" s="4"/>
      <c r="DK28" s="4"/>
      <c r="DL28" s="8"/>
    </row>
    <row r="29" spans="1:116" s="7" customFormat="1" ht="15.75" customHeight="1">
      <c r="A29" s="4"/>
      <c r="B29" s="4" t="s">
        <v>115</v>
      </c>
      <c r="C29" s="4">
        <v>11.666455263160142</v>
      </c>
      <c r="D29" s="4"/>
      <c r="E29" s="4" t="e" cm="1">
        <f t="array" aca="1" ref="E29" ca="1">_xll.BQL("members('NDX Index')", "avg(group(px_to_sales_ratio().value))")</f>
        <v>#NAME?</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4"/>
      <c r="CM29" s="4"/>
      <c r="CN29" s="4"/>
      <c r="CO29" s="4"/>
      <c r="CP29" s="4"/>
      <c r="CQ29" s="4"/>
      <c r="CR29" s="6"/>
      <c r="CS29" s="6"/>
      <c r="CT29" s="6"/>
      <c r="CU29" s="6"/>
      <c r="CV29" s="6"/>
      <c r="CW29" s="4"/>
      <c r="CX29" s="4"/>
      <c r="CY29" s="4"/>
      <c r="DB29" s="4"/>
      <c r="DC29" s="4"/>
      <c r="DD29" s="4"/>
      <c r="DE29" s="4"/>
      <c r="DF29" s="4"/>
      <c r="DG29" s="4"/>
      <c r="DH29" s="4"/>
      <c r="DI29" s="4"/>
      <c r="DJ29" s="4"/>
      <c r="DK29" s="4"/>
      <c r="DL29" s="8"/>
    </row>
    <row r="30" spans="1:116" s="7" customFormat="1"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4"/>
      <c r="CM30" s="4"/>
      <c r="CN30" s="4"/>
      <c r="CO30" s="4"/>
      <c r="CP30" s="4"/>
      <c r="CQ30" s="4"/>
      <c r="CR30" s="6"/>
      <c r="CS30" s="6"/>
      <c r="CT30" s="6"/>
      <c r="CU30" s="6"/>
      <c r="CV30" s="6"/>
      <c r="CW30" s="4"/>
      <c r="CX30" s="4"/>
      <c r="CY30" s="4"/>
      <c r="DB30" s="4"/>
      <c r="DC30" s="4"/>
      <c r="DD30" s="4"/>
      <c r="DE30" s="4"/>
      <c r="DF30" s="4"/>
      <c r="DG30" s="4"/>
      <c r="DH30" s="4"/>
      <c r="DI30" s="4"/>
      <c r="DJ30" s="4"/>
      <c r="DK30" s="4"/>
      <c r="DL30" s="8"/>
    </row>
    <row r="31" spans="1:116" s="7" customFormat="1" ht="15.75" customHeight="1">
      <c r="A31" s="4"/>
      <c r="B31" s="4"/>
      <c r="C31" s="51"/>
      <c r="D31" s="4"/>
      <c r="E31" s="4" t="e" cm="1">
        <f t="array" aca="1" ref="E31" ca="1">_xll.BQL("members('HSI Index')", "avg(group(EV_TO_EBITDAR().value))")</f>
        <v>#NAME?</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4"/>
      <c r="CM31" s="4"/>
      <c r="CN31" s="4"/>
      <c r="CO31" s="4"/>
      <c r="CP31" s="4"/>
      <c r="CQ31" s="4"/>
      <c r="CR31" s="6"/>
      <c r="CS31" s="6"/>
      <c r="CT31" s="6"/>
      <c r="CU31" s="6"/>
      <c r="CV31" s="6"/>
      <c r="CW31" s="4"/>
      <c r="CX31" s="4"/>
      <c r="CY31" s="4"/>
      <c r="DB31" s="4"/>
      <c r="DC31" s="4"/>
      <c r="DD31" s="4"/>
      <c r="DE31" s="4"/>
      <c r="DF31" s="4"/>
      <c r="DG31" s="4"/>
      <c r="DH31" s="4"/>
      <c r="DI31" s="4"/>
      <c r="DJ31" s="4"/>
      <c r="DK31" s="4"/>
      <c r="DL31" s="8"/>
    </row>
    <row r="32" spans="1:116" s="7" customFormat="1" ht="15.75" customHeight="1">
      <c r="A32" s="4"/>
      <c r="B32" s="4"/>
      <c r="C32" s="51"/>
      <c r="D32" s="4"/>
      <c r="E32" s="4" t="s">
        <v>177</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4"/>
      <c r="CM32" s="4"/>
      <c r="CN32" s="4"/>
      <c r="CO32" s="4"/>
      <c r="CP32" s="4"/>
      <c r="CQ32" s="4"/>
      <c r="CR32" s="6"/>
      <c r="CS32" s="6"/>
      <c r="CT32" s="6"/>
      <c r="CU32" s="6"/>
      <c r="CV32" s="6"/>
      <c r="CW32" s="4"/>
      <c r="CX32" s="4"/>
      <c r="CY32" s="4"/>
      <c r="DB32" s="4"/>
      <c r="DC32" s="4"/>
      <c r="DD32" s="4"/>
      <c r="DE32" s="4"/>
      <c r="DF32" s="4"/>
      <c r="DG32" s="4"/>
      <c r="DH32" s="4"/>
      <c r="DI32" s="4"/>
      <c r="DJ32" s="4"/>
      <c r="DK32" s="4"/>
      <c r="DL32" s="8"/>
    </row>
    <row r="33" spans="1:116" s="7" customFormat="1" ht="15.75" customHeight="1">
      <c r="A33" s="4"/>
      <c r="B33" s="4"/>
      <c r="C33" s="51"/>
      <c r="D33" s="4"/>
      <c r="E33" s="4" t="e" cm="1">
        <f t="array" aca="1" ref="E33" ca="1">_xll.BQL("members('UKX Index')", "avg(group(EV_TO_EBITDAR().value))")</f>
        <v>#NAME?</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4"/>
      <c r="CM33" s="4"/>
      <c r="CN33" s="4"/>
      <c r="CO33" s="4"/>
      <c r="CP33" s="4"/>
      <c r="CQ33" s="4"/>
      <c r="CR33" s="6"/>
      <c r="CS33" s="6"/>
      <c r="CT33" s="6"/>
      <c r="CU33" s="6"/>
      <c r="CV33" s="6"/>
      <c r="CW33" s="4"/>
      <c r="CX33" s="4"/>
      <c r="CY33" s="4"/>
      <c r="DB33" s="4"/>
      <c r="DC33" s="4"/>
      <c r="DD33" s="4"/>
      <c r="DE33" s="4"/>
      <c r="DF33" s="4"/>
      <c r="DG33" s="4"/>
      <c r="DH33" s="4"/>
      <c r="DI33" s="4"/>
      <c r="DJ33" s="4"/>
      <c r="DK33" s="4"/>
      <c r="DL33" s="8"/>
    </row>
    <row r="34" spans="1:116" s="7" customFormat="1" ht="15.75" customHeight="1">
      <c r="A34" s="4"/>
      <c r="B34" s="4"/>
      <c r="C34" s="51"/>
      <c r="D34" s="4"/>
      <c r="E34" s="4" t="e" cm="1">
        <f t="array" aca="1" ref="E34" ca="1">_xll.BQL("members('HSI Index')", "avg(group(EV_TO_EBITDAR().value))")</f>
        <v>#NAME?</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4"/>
      <c r="CM34" s="4"/>
      <c r="CN34" s="4"/>
      <c r="CO34" s="4"/>
      <c r="CP34" s="4"/>
      <c r="CQ34" s="4"/>
      <c r="CR34" s="6"/>
      <c r="CS34" s="6"/>
      <c r="CT34" s="6"/>
      <c r="CU34" s="6"/>
      <c r="CV34" s="6"/>
      <c r="CW34" s="4"/>
      <c r="CX34" s="4"/>
      <c r="CY34" s="4"/>
      <c r="DB34" s="4"/>
      <c r="DC34" s="4"/>
      <c r="DD34" s="4"/>
      <c r="DE34" s="4"/>
      <c r="DF34" s="4"/>
      <c r="DG34" s="4"/>
      <c r="DH34" s="4"/>
      <c r="DI34" s="4"/>
      <c r="DJ34" s="4"/>
      <c r="DK34" s="4"/>
      <c r="DL34" s="8"/>
    </row>
    <row r="35" spans="1:116">
      <c r="E35" s="4" t="s">
        <v>177</v>
      </c>
    </row>
    <row r="36" spans="1:116">
      <c r="E36" s="4" t="e" cm="1">
        <f t="array" aca="1" ref="E36" ca="1">_xll.BQL("members('NDX Index')", "avg(group(EV_TO_EBITDAR().value))")</f>
        <v>#NAME?</v>
      </c>
    </row>
  </sheetData>
  <mergeCells count="61">
    <mergeCell ref="A3:A5"/>
    <mergeCell ref="B3:B5"/>
    <mergeCell ref="C3:C5"/>
    <mergeCell ref="E3:Z3"/>
    <mergeCell ref="AD3:AV3"/>
    <mergeCell ref="R4:R5"/>
    <mergeCell ref="S4:S5"/>
    <mergeCell ref="T4:T5"/>
    <mergeCell ref="U4:U5"/>
    <mergeCell ref="V4:V5"/>
    <mergeCell ref="W4:W5"/>
    <mergeCell ref="X4:X5"/>
    <mergeCell ref="Y4:Y5"/>
    <mergeCell ref="Z4:Z5"/>
    <mergeCell ref="AA4:AA5"/>
    <mergeCell ref="AB4:AB5"/>
    <mergeCell ref="AW3:AY3"/>
    <mergeCell ref="AZ3:CG3"/>
    <mergeCell ref="CO3:CV3"/>
    <mergeCell ref="E4:E5"/>
    <mergeCell ref="F4:F5"/>
    <mergeCell ref="G4:G5"/>
    <mergeCell ref="H4:H5"/>
    <mergeCell ref="I4:I5"/>
    <mergeCell ref="J4:J5"/>
    <mergeCell ref="K4:K5"/>
    <mergeCell ref="L4:L5"/>
    <mergeCell ref="M4:M5"/>
    <mergeCell ref="N4:N5"/>
    <mergeCell ref="O4:O5"/>
    <mergeCell ref="P4:P5"/>
    <mergeCell ref="Q4:Q5"/>
    <mergeCell ref="AC4:AC5"/>
    <mergeCell ref="AD4:AF4"/>
    <mergeCell ref="AG4:AI4"/>
    <mergeCell ref="AJ4:AL4"/>
    <mergeCell ref="AM4:AP4"/>
    <mergeCell ref="CD4:CG4"/>
    <mergeCell ref="CH4:CK4"/>
    <mergeCell ref="CL4:CL5"/>
    <mergeCell ref="AQ4:AS4"/>
    <mergeCell ref="AT4:AV4"/>
    <mergeCell ref="AZ4:BE4"/>
    <mergeCell ref="BF4:BK4"/>
    <mergeCell ref="BL4:BQ4"/>
    <mergeCell ref="CW4:CW5"/>
    <mergeCell ref="CX4:CX5"/>
    <mergeCell ref="CY4:CY5"/>
    <mergeCell ref="AW5:AY5"/>
    <mergeCell ref="CR4:CR5"/>
    <mergeCell ref="CS4:CS5"/>
    <mergeCell ref="CT4:CT5"/>
    <mergeCell ref="CU4:CU5"/>
    <mergeCell ref="CV4:CV5"/>
    <mergeCell ref="CM4:CM5"/>
    <mergeCell ref="CN4:CN5"/>
    <mergeCell ref="CO4:CO5"/>
    <mergeCell ref="CP4:CP5"/>
    <mergeCell ref="CQ4:CQ5"/>
    <mergeCell ref="BR4:BW4"/>
    <mergeCell ref="BX4:CC4"/>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U27"/>
  <sheetViews>
    <sheetView tabSelected="1" topLeftCell="F2" zoomScaleNormal="100" workbookViewId="0">
      <selection activeCell="J4" sqref="J4"/>
    </sheetView>
  </sheetViews>
  <sheetFormatPr defaultColWidth="8.54296875" defaultRowHeight="14.5"/>
  <cols>
    <col min="1" max="1" width="27.26953125" hidden="1" customWidth="1"/>
    <col min="2" max="2" width="32.453125" customWidth="1"/>
    <col min="5" max="5" width="10.81640625" style="81" customWidth="1"/>
    <col min="6" max="6" width="16.7265625" style="81" customWidth="1"/>
    <col min="7" max="7" width="11" customWidth="1"/>
    <col min="8" max="8" width="16.54296875" customWidth="1"/>
    <col min="9" max="9" width="11" customWidth="1"/>
    <col min="10" max="10" width="16.54296875" customWidth="1"/>
  </cols>
  <sheetData>
    <row r="2" spans="2:21" ht="45" customHeight="1">
      <c r="C2" s="82" t="s">
        <v>173</v>
      </c>
      <c r="D2" s="83" t="s">
        <v>174</v>
      </c>
      <c r="E2" s="82" t="s">
        <v>116</v>
      </c>
      <c r="F2" s="83" t="s">
        <v>117</v>
      </c>
      <c r="G2" s="84" t="s">
        <v>118</v>
      </c>
      <c r="H2" s="83" t="s">
        <v>119</v>
      </c>
      <c r="I2" s="84" t="s">
        <v>120</v>
      </c>
      <c r="J2" s="83" t="s">
        <v>121</v>
      </c>
      <c r="K2" s="84" t="s">
        <v>172</v>
      </c>
      <c r="L2" s="84" t="s">
        <v>178</v>
      </c>
      <c r="M2" s="84" t="s">
        <v>164</v>
      </c>
      <c r="N2" s="84" t="s">
        <v>165</v>
      </c>
      <c r="O2" s="84" t="s">
        <v>179</v>
      </c>
      <c r="P2" s="84" t="s">
        <v>166</v>
      </c>
      <c r="Q2" s="84" t="s">
        <v>180</v>
      </c>
      <c r="R2" s="84" t="s">
        <v>181</v>
      </c>
      <c r="S2" s="84" t="s">
        <v>182</v>
      </c>
      <c r="T2" s="84" t="s">
        <v>181</v>
      </c>
      <c r="U2" s="84" t="s">
        <v>183</v>
      </c>
    </row>
    <row r="3" spans="2:21" ht="15" customHeight="1">
      <c r="B3" s="85" t="s">
        <v>122</v>
      </c>
      <c r="C3" s="86">
        <v>37.379277443007325</v>
      </c>
      <c r="D3" s="86">
        <f>IF(C3="","",C3*Sheet2!$C$17/Sheet2!C20)</f>
        <v>23.378742084827543</v>
      </c>
      <c r="E3" s="86">
        <f>IFERROR(VLOOKUP(B3,Sheet2!$B$7:$AF$15,29,0),"")</f>
        <v>34.063096865437203</v>
      </c>
      <c r="F3" s="86">
        <f>IF(E3="","",E3*Sheet2!$C$17/Sheet2!C20)</f>
        <v>21.304648208937767</v>
      </c>
      <c r="G3">
        <f>IFERROR(VLOOKUP(B3,Sheet2!$B$7:$AF$15,30,0),"")</f>
        <v>34.159526008982901</v>
      </c>
      <c r="H3">
        <f>IF(G3="","",G3*Sheet2!$C$17/Sheet2!C20)</f>
        <v>21.36495948916123</v>
      </c>
      <c r="I3">
        <f>IFERROR(VLOOKUP(B3,Sheet2!$B$7:$AF$15,31,0),"")</f>
        <v>27.694362975718899</v>
      </c>
      <c r="J3">
        <f>IF(I3="","",I3*Sheet2!$C$17/Sheet2!C20)</f>
        <v>17.321345234672314</v>
      </c>
      <c r="K3" s="97">
        <v>0.32874790287081873</v>
      </c>
      <c r="L3" s="86">
        <f>IF(K3="","",K3*Sheet2!$C$24/Sheet2!$C27)</f>
        <v>0.30983047981793255</v>
      </c>
      <c r="M3" s="97">
        <f>IFERROR(VLOOKUP(B3,Sheet2!$B$7:$AJ$15,32,0),"")</f>
        <v>37.379277443007325</v>
      </c>
      <c r="N3" s="97">
        <f>IFERROR(VLOOKUP(B3,Sheet2!$B$7:$AJ$15,33,0),"")</f>
        <v>0.29020148639999299</v>
      </c>
      <c r="O3" s="86">
        <f>IF(N3="","",N3*Sheet2!$C$24/Sheet2!$C27)</f>
        <v>0.27350217291125478</v>
      </c>
      <c r="P3" s="97">
        <f>IFERROR(VLOOKUP(B3,Sheet2!$B$7:$AJ$15,34,0),"")</f>
        <v>0.29706215042506301</v>
      </c>
      <c r="Q3" s="86">
        <f>IF(P3="","",P3*Sheet2!$C$24/Sheet2!$C27)</f>
        <v>0.27996804785127638</v>
      </c>
      <c r="R3" s="43" t="s">
        <v>138</v>
      </c>
      <c r="S3" s="86" t="e">
        <f>IF(R3="","",R3*Sheet2!$C$31/Sheet2!$C34)</f>
        <v>#VALUE!</v>
      </c>
      <c r="T3" s="43" t="s">
        <v>138</v>
      </c>
      <c r="U3" s="86" t="e">
        <f>IF(T3="","",T3*Sheet2!$C$31/Sheet2!$C34)</f>
        <v>#VALUE!</v>
      </c>
    </row>
    <row r="4" spans="2:21" ht="15" customHeight="1">
      <c r="B4" s="87" t="s">
        <v>123</v>
      </c>
      <c r="C4" s="86">
        <v>45.288335967692284</v>
      </c>
      <c r="D4" s="86">
        <f>IF(C4="","",C4*Sheet2!$C$17/Sheet2!C22)</f>
        <v>15.453147940319944</v>
      </c>
      <c r="E4" s="86">
        <f>IFERROR(VLOOKUP(B4,Sheet2!$B$7:$AF$15,29,0),"")</f>
        <v>49.093332273206002</v>
      </c>
      <c r="F4" s="86">
        <f>IF(E4="","",E4*Sheet2!$C$17/Sheet2!C22)</f>
        <v>16.751477180401103</v>
      </c>
      <c r="G4">
        <f>IFERROR(VLOOKUP(B4,Sheet2!$B$7:$AF$15,30,0),"")</f>
        <v>46.576104375821799</v>
      </c>
      <c r="H4">
        <f>IF(G4="","",G4*Sheet2!$C$17/Sheet2!C22)</f>
        <v>15.892556350862828</v>
      </c>
      <c r="I4">
        <f>IFERROR(VLOOKUP(B4,Sheet2!$B$7:$AF$15,31,0),"")</f>
        <v>40.8524096616108</v>
      </c>
      <c r="J4">
        <f>IF(I4="","",I4*Sheet2!$C$17/Sheet2!C22)</f>
        <v>13.939534688794527</v>
      </c>
      <c r="K4" s="97">
        <v>1.3370260490229453</v>
      </c>
      <c r="L4" s="86">
        <f>IF(K4="","",K4*Sheet2!$C$24/Sheet2!$C29)</f>
        <v>0.52370553767218642</v>
      </c>
      <c r="M4" s="97">
        <f>IFERROR(VLOOKUP(B4,Sheet2!$B$7:$AJ$15,32,0),"")</f>
        <v>45.288335967692284</v>
      </c>
      <c r="N4" s="97">
        <f>IFERROR(VLOOKUP(B4,Sheet2!$B$7:$AJ$15,33,0),"")</f>
        <v>1.5070892957953499</v>
      </c>
      <c r="O4" s="86">
        <f>IF(N4="","",N4*Sheet2!$C$24/Sheet2!$C29)</f>
        <v>0.59031834910866077</v>
      </c>
      <c r="P4" s="97">
        <f>IFERROR(VLOOKUP(B4,Sheet2!$B$7:$AJ$15,34,0),"")</f>
        <v>1.4334049709871901</v>
      </c>
      <c r="Q4" s="86">
        <f>IF(P4="","",P4*Sheet2!$C$24/Sheet2!$C29)</f>
        <v>0.56145661603332631</v>
      </c>
      <c r="R4" s="43">
        <v>21.6984045587228</v>
      </c>
      <c r="S4" s="86">
        <f>IF(R4="","",R4*Sheet2!$C$31/Sheet2!$C36)</f>
        <v>4.110140243641867</v>
      </c>
      <c r="T4" s="43">
        <v>19.712839487909701</v>
      </c>
      <c r="U4" s="86">
        <f>IF(T4="","",T4*Sheet2!$C$31/Sheet2!$C36)</f>
        <v>3.7340319043475012</v>
      </c>
    </row>
    <row r="5" spans="2:21" ht="15" customHeight="1">
      <c r="B5" s="87" t="s">
        <v>124</v>
      </c>
      <c r="C5" s="86">
        <v>15.937873677753339</v>
      </c>
      <c r="D5" s="86">
        <f>IF(C5="","",C5*Sheet2!$C$17/Sheet2!C18)</f>
        <v>10.634805722203145</v>
      </c>
      <c r="E5" s="86">
        <f>IFERROR(VLOOKUP(B5,Sheet2!$B$7:$AF$15,29,0),"")</f>
        <v>13.4665018159103</v>
      </c>
      <c r="F5" s="86">
        <f>IF(E5="","",E5*Sheet2!$C$17/Sheet2!C18)</f>
        <v>8.9857426069203132</v>
      </c>
      <c r="G5">
        <f>IFERROR(VLOOKUP(B5,Sheet2!$B$7:$AF$15,30,0),"")</f>
        <v>8.8269913741503903</v>
      </c>
      <c r="H5">
        <f>IF(G5="","",G5*Sheet2!$C$17/Sheet2!C18)</f>
        <v>5.8899537211594408</v>
      </c>
      <c r="I5">
        <f>IFERROR(VLOOKUP(B5,Sheet2!$B$7:$AF$15,31,0),"")</f>
        <v>7.7833708127592596</v>
      </c>
      <c r="J5">
        <f>IF(I5="","",I5*Sheet2!$C$17/Sheet2!C18)</f>
        <v>5.1935809086692002</v>
      </c>
      <c r="K5" s="97">
        <v>0.54861583798123481</v>
      </c>
      <c r="L5" s="86" t="s">
        <v>177</v>
      </c>
      <c r="M5" s="97">
        <f>IFERROR(VLOOKUP(B5,Sheet2!$B$7:$AJ$15,32,0),"")</f>
        <v>15.937873677753339</v>
      </c>
      <c r="N5" s="97">
        <f>IFERROR(VLOOKUP(B5,Sheet2!$B$7:$AJ$15,33,0),"")</f>
        <v>0.46605902797788101</v>
      </c>
      <c r="O5" s="86" t="s">
        <v>177</v>
      </c>
      <c r="P5" s="97">
        <f>IFERROR(VLOOKUP(B5,Sheet2!$B$7:$AJ$15,34,0),"")</f>
        <v>0.44585488254475503</v>
      </c>
      <c r="Q5" s="86" t="s">
        <v>177</v>
      </c>
      <c r="R5" s="43">
        <v>8.3320804700764004</v>
      </c>
      <c r="S5" s="86" t="s">
        <v>177</v>
      </c>
      <c r="T5" s="43">
        <v>7.6098393331340999</v>
      </c>
      <c r="U5" s="86" t="s">
        <v>177</v>
      </c>
    </row>
    <row r="6" spans="2:21" ht="15" customHeight="1">
      <c r="B6" s="87" t="s">
        <v>125</v>
      </c>
      <c r="C6" s="86">
        <v>53.670447866392564</v>
      </c>
      <c r="D6" s="86">
        <f>IF(C6="","",C6*Sheet2!$C$17/Sheet2!C22)</f>
        <v>18.313266610066066</v>
      </c>
      <c r="E6" s="86">
        <f>IFERROR(VLOOKUP(B6,Sheet2!$B$7:$AF$15,29,0),"")</f>
        <v>57.053171158863499</v>
      </c>
      <c r="F6" s="86">
        <f>IF(E6="","",E6*Sheet2!$C$17/Sheet2!C22)</f>
        <v>19.467509139908859</v>
      </c>
      <c r="G6">
        <f>IFERROR(VLOOKUP(B6,Sheet2!$B$7:$AF$15,30,0),"")</f>
        <v>51.687613270343</v>
      </c>
      <c r="H6">
        <f>IF(G6="","",G6*Sheet2!$C$17/Sheet2!C22)</f>
        <v>17.636689833745621</v>
      </c>
      <c r="I6">
        <f>IFERROR(VLOOKUP(B6,Sheet2!$B$7:$AF$15,31,0),"")</f>
        <v>46.888178326196197</v>
      </c>
      <c r="J6">
        <f>IF(I6="","",I6*Sheet2!$C$17/Sheet2!C22)</f>
        <v>15.999041272872233</v>
      </c>
      <c r="K6" s="97">
        <v>1.5737516166094763</v>
      </c>
      <c r="L6" s="86">
        <f>IF(K6="","",K6*Sheet2!$C$24/Sheet2!$C29)</f>
        <v>0.61642960295442539</v>
      </c>
      <c r="M6" s="97">
        <f>IFERROR(VLOOKUP(B6,Sheet2!$B$7:$AJ$15,32,0),"")</f>
        <v>53.670447866392564</v>
      </c>
      <c r="N6" s="97">
        <f>IFERROR(VLOOKUP(B6,Sheet2!$B$7:$AJ$15,33,0),"")</f>
        <v>1.7038323240253701</v>
      </c>
      <c r="O6" s="86">
        <f>IF(N6="","",N6*Sheet2!$C$24/Sheet2!$C29)</f>
        <v>0.66738147997118347</v>
      </c>
      <c r="P6" s="97">
        <f>IFERROR(VLOOKUP(B6,Sheet2!$B$7:$AJ$15,34,0),"")</f>
        <v>1.5700454419001999</v>
      </c>
      <c r="Q6" s="86">
        <f>IF(P6="","",P6*Sheet2!$C$24/Sheet2!$C29)</f>
        <v>0.61497791529265766</v>
      </c>
      <c r="R6" s="43">
        <v>27.9648934745058</v>
      </c>
      <c r="S6" s="86">
        <f>IF(R6="","",R6*Sheet2!$C$31/Sheet2!$C36)</f>
        <v>5.2971467910306886</v>
      </c>
      <c r="T6" s="43">
        <v>25.553506221143401</v>
      </c>
      <c r="U6" s="86">
        <f>IF(T6="","",T6*Sheet2!$C$31/Sheet2!$C36)</f>
        <v>4.8403786555566208</v>
      </c>
    </row>
    <row r="7" spans="2:21" ht="15" customHeight="1">
      <c r="B7" s="88" t="s">
        <v>126</v>
      </c>
      <c r="C7" s="89">
        <v>10.963299886363354</v>
      </c>
      <c r="D7" s="89">
        <f>IF(C7="","",C7*Sheet2!$C$17/Sheet2!C19)</f>
        <v>9.0043020088693417</v>
      </c>
      <c r="E7" s="89">
        <f>IFERROR(VLOOKUP(B7,Sheet2!$B$7:$AF$15,29,0),"")</f>
        <v>13.6577850814821</v>
      </c>
      <c r="F7" s="89">
        <f>IF(E7="","",E7*Sheet2!$C$17/Sheet2!C19)</f>
        <v>11.217318044803426</v>
      </c>
      <c r="G7">
        <f>IFERROR(VLOOKUP(B7,Sheet2!$B$7:$AF$15,30,0),"")</f>
        <v>11.2746597489185</v>
      </c>
      <c r="H7">
        <f>IF(G7="","",G7*Sheet2!$C$17/Sheet2!C19)</f>
        <v>9.2600259482804876</v>
      </c>
      <c r="I7">
        <f>IFERROR(VLOOKUP(B7,Sheet2!$B$7:$AF$15,31,0),"")</f>
        <v>10.646149380396301</v>
      </c>
      <c r="J7">
        <f>IF(I7="","",I7*Sheet2!$C$17/Sheet2!C19)</f>
        <v>8.7438221380646475</v>
      </c>
      <c r="K7" s="97">
        <v>0.67762956776779659</v>
      </c>
      <c r="L7" s="86">
        <f>IF(K7="","",K7*Sheet2!$C$24/Sheet2!$C26)</f>
        <v>1.1112754026367051</v>
      </c>
      <c r="M7" s="97">
        <f>IFERROR(VLOOKUP(B7,Sheet2!$B$7:$AJ$15,32,0),"")</f>
        <v>10.963299886363354</v>
      </c>
      <c r="N7" s="97">
        <f>IFERROR(VLOOKUP(B7,Sheet2!$B$7:$AJ$15,33,0),"")</f>
        <v>0.66812027947517905</v>
      </c>
      <c r="O7" s="86">
        <f>IF(N7="","",N7*Sheet2!$C$24/Sheet2!$C26)</f>
        <v>1.0956806903059289</v>
      </c>
      <c r="P7" s="97">
        <f>IFERROR(VLOOKUP(B7,Sheet2!$B$7:$AJ$15,34,0),"")</f>
        <v>0.68200855424378604</v>
      </c>
      <c r="Q7" s="86">
        <f>IF(P7="","",P7*Sheet2!$C$24/Sheet2!$C26)</f>
        <v>1.118456700783532</v>
      </c>
      <c r="R7" s="43">
        <v>7.2901670277806199</v>
      </c>
      <c r="S7" s="86">
        <f>IF(R7="","",R7*Sheet2!$C$31/Sheet2!$C33)</f>
        <v>26.031739202965134</v>
      </c>
      <c r="T7" s="43">
        <v>6.9691059195078102</v>
      </c>
      <c r="U7" s="86">
        <f>IF(T7="","",T7*Sheet2!$C$31/Sheet2!$C33)</f>
        <v>24.88529372278289</v>
      </c>
    </row>
    <row r="8" spans="2:21" ht="15" customHeight="1">
      <c r="B8" s="90" t="s">
        <v>127</v>
      </c>
      <c r="C8" s="89">
        <v>27.839920238129505</v>
      </c>
      <c r="D8" s="89">
        <f>IF(C8="","",C8*Sheet2!$C$17/Sheet2!C18)</f>
        <v>18.576640086400424</v>
      </c>
      <c r="E8" s="89">
        <f>IFERROR(VLOOKUP(B8,Sheet2!$B$7:$AF$15,29,0),"")</f>
        <v>41.142406813303303</v>
      </c>
      <c r="F8" s="89">
        <f>IF(E8="","",E8*Sheet2!$C$17/Sheet2!C18)</f>
        <v>27.452940853337537</v>
      </c>
      <c r="G8">
        <f>IFERROR(VLOOKUP(B8,Sheet2!$B$7:$AF$15,30,0),"")</f>
        <v>12.7551164137226</v>
      </c>
      <c r="H8">
        <f>IF(G8="","",G8*Sheet2!$C$17/Sheet2!C18)</f>
        <v>8.511059114075362</v>
      </c>
      <c r="I8">
        <f>IFERROR(VLOOKUP(B8,Sheet2!$B$7:$AF$15,31,0),"")</f>
        <v>11.256228776016201</v>
      </c>
      <c r="J8">
        <f>IF(I8="","",I8*Sheet2!$C$17/Sheet2!C18)</f>
        <v>7.5109019319620582</v>
      </c>
      <c r="K8" s="97">
        <v>7.6194476724920559</v>
      </c>
      <c r="L8" s="86" t="s">
        <v>177</v>
      </c>
      <c r="M8" s="97">
        <f>IFERROR(VLOOKUP(B8,Sheet2!$B$7:$AJ$15,32,0),"")</f>
        <v>13.818396180612558</v>
      </c>
      <c r="N8" s="97">
        <f>IFERROR(VLOOKUP(B8,Sheet2!$B$7:$AJ$15,33,0),"")</f>
        <v>0.29572948793617398</v>
      </c>
      <c r="O8" s="86" t="s">
        <v>177</v>
      </c>
      <c r="P8" s="97">
        <f>IFERROR(VLOOKUP(B8,Sheet2!$B$7:$AJ$15,34,0),"")</f>
        <v>0.295037195620313</v>
      </c>
      <c r="Q8" s="86" t="s">
        <v>177</v>
      </c>
      <c r="R8" s="43">
        <v>22.767814938659502</v>
      </c>
      <c r="S8" s="86" t="s">
        <v>177</v>
      </c>
      <c r="T8" s="43">
        <v>20.555925877140101</v>
      </c>
      <c r="U8" s="86" t="s">
        <v>177</v>
      </c>
    </row>
    <row r="9" spans="2:21" ht="15" customHeight="1">
      <c r="B9" s="88" t="s">
        <v>128</v>
      </c>
      <c r="C9" s="89">
        <v>35.431550790072322</v>
      </c>
      <c r="D9" s="89">
        <f>IF(C9="","",C9*Sheet2!$C$17/Sheet2!C21)</f>
        <v>32.769768086838312</v>
      </c>
      <c r="E9" s="89">
        <f>IFERROR(VLOOKUP(B9,Sheet2!$B$7:$AF$15,29,0),"")</f>
        <v>21.549060966332799</v>
      </c>
      <c r="F9" s="89">
        <f>IF(E9="","",E9*Sheet2!$C$17/Sheet2!C21)</f>
        <v>19.930195393923494</v>
      </c>
      <c r="G9">
        <f>IFERROR(VLOOKUP(B9,Sheet2!$B$7:$AF$15,30,0),"")</f>
        <v>19.0942643359441</v>
      </c>
      <c r="H9">
        <f>IF(G9="","",G9*Sheet2!$C$17/Sheet2!C21)</f>
        <v>17.65981449090275</v>
      </c>
      <c r="I9">
        <f>IFERROR(VLOOKUP(B9,Sheet2!$B$7:$AF$15,31,0),"")</f>
        <v>18.103522744434599</v>
      </c>
      <c r="J9">
        <f>IF(I9="","",I9*Sheet2!$C$17/Sheet2!C21)</f>
        <v>16.743502010534311</v>
      </c>
      <c r="K9" s="97">
        <v>1.2761391646725575</v>
      </c>
      <c r="L9" s="86">
        <f>IF(K9="","",K9*Sheet2!$C$24/Sheet2!$C28)</f>
        <v>1.6430362190190149</v>
      </c>
      <c r="M9" s="97">
        <f>IFERROR(VLOOKUP(B9,Sheet2!$B$7:$AJ$15,32,0),"")</f>
        <v>23.23655824096582</v>
      </c>
      <c r="N9" s="97">
        <f>IFERROR(VLOOKUP(B9,Sheet2!$B$7:$AJ$15,33,0),"")</f>
        <v>1.19016106919137</v>
      </c>
      <c r="O9" s="86">
        <f>IF(N9="","",N9*Sheet2!$C$24/Sheet2!$C28)</f>
        <v>1.5323389464734198</v>
      </c>
      <c r="P9" s="97">
        <f>IFERROR(VLOOKUP(B9,Sheet2!$B$7:$AJ$15,34,0),"")</f>
        <v>1.1749797076948501</v>
      </c>
      <c r="Q9" s="86">
        <f>IF(P9="","",P9*Sheet2!$C$24/Sheet2!$C28)</f>
        <v>1.5127928597429781</v>
      </c>
      <c r="R9" s="43">
        <v>21.826218369867199</v>
      </c>
      <c r="S9" s="86" t="e">
        <f>IF(R9="","",R9*Sheet2!$C$24/Sheet2!$C35)</f>
        <v>#VALUE!</v>
      </c>
      <c r="T9" s="43">
        <v>18.8130969819168</v>
      </c>
      <c r="U9" s="86" t="e">
        <f>IF(T9="","",T9*Sheet2!$C$24/Sheet2!$C35)</f>
        <v>#VALUE!</v>
      </c>
    </row>
    <row r="10" spans="2:21" s="91" customFormat="1" ht="15" customHeight="1">
      <c r="B10" s="92" t="s">
        <v>129</v>
      </c>
      <c r="C10" s="93">
        <v>13.818396180612558</v>
      </c>
      <c r="D10" s="93">
        <f>IF(C10="","",C10*Sheet2!$C$17/Sheet2!C22)</f>
        <v>4.7150710202576462</v>
      </c>
      <c r="E10" s="93">
        <f>IFERROR(VLOOKUP(B10,Sheet2!$B$7:$AF$15,29,0),"")</f>
        <v>37.120723117351702</v>
      </c>
      <c r="F10" s="93">
        <f>IF(E10="","",E10*Sheet2!$C$17/Sheet2!C22)</f>
        <v>12.666219981968579</v>
      </c>
      <c r="G10" s="91">
        <f>IFERROR(VLOOKUP(B10,Sheet2!$B$7:$AF$15,30,0),"")</f>
        <v>25.272783484095601</v>
      </c>
      <c r="H10" s="91">
        <f>IF(G10="","",G10*Sheet2!$C$17/Sheet2!C22)</f>
        <v>8.6235021379900001</v>
      </c>
      <c r="I10" s="91">
        <f>IFERROR(VLOOKUP(B10,Sheet2!$B$7:$AF$15,31,0),"")</f>
        <v>22.7056025992363</v>
      </c>
      <c r="J10" s="91">
        <f>IF(I10="","",I10*Sheet2!$C$17/Sheet2!C22)</f>
        <v>7.7475365023439329</v>
      </c>
      <c r="K10" s="97">
        <v>0.29359520136510575</v>
      </c>
      <c r="L10" s="86">
        <f>IF(K10="","",K10*Sheet2!$C$24/Sheet2!$C29)</f>
        <v>0.11499957902932963</v>
      </c>
      <c r="M10" s="97">
        <f>IFERROR(VLOOKUP(B10,Sheet2!$B$7:$AJ$15,32,0),"")</f>
        <v>27.839920238129505</v>
      </c>
      <c r="N10" s="97">
        <f>IFERROR(VLOOKUP(B10,Sheet2!$B$7:$AJ$15,33,0),"")</f>
        <v>7.3060200498978398</v>
      </c>
      <c r="O10" s="86">
        <f>IF(N10="","",N10*Sheet2!$C$24/Sheet2!$C29)</f>
        <v>2.8617267115114071</v>
      </c>
      <c r="P10" s="97">
        <f>IFERROR(VLOOKUP(B10,Sheet2!$B$7:$AJ$15,34,0),"")</f>
        <v>6.9463798521838402</v>
      </c>
      <c r="Q10" s="86">
        <f>IF(P10="","",P10*Sheet2!$C$24/Sheet2!$C29)</f>
        <v>2.720857681136136</v>
      </c>
      <c r="R10" s="43">
        <v>9.0639446193858006</v>
      </c>
      <c r="S10" s="86">
        <f>IF(R10="","",R10*Sheet2!$C$31/Sheet2!$C36)</f>
        <v>1.7169042749413821</v>
      </c>
      <c r="T10" s="43">
        <v>8.7266068723634103</v>
      </c>
      <c r="U10" s="86">
        <f>IF(T10="","",T10*Sheet2!$C$31/Sheet2!$C36)</f>
        <v>1.6530053165647935</v>
      </c>
    </row>
    <row r="11" spans="2:21" s="91" customFormat="1" ht="15" customHeight="1">
      <c r="B11" s="92" t="s">
        <v>130</v>
      </c>
      <c r="C11" s="93">
        <v>23.23655824096582</v>
      </c>
      <c r="D11" s="93">
        <f>IF(C11="","",C11*Sheet2!$C$17/Sheet2!C22)</f>
        <v>7.9287075678307941</v>
      </c>
      <c r="E11" s="93">
        <f>IFERROR(VLOOKUP(B11,Sheet2!$B$7:$AF$15,29,0),"")</f>
        <v>34.169947225312903</v>
      </c>
      <c r="F11" s="93">
        <f>IF(E11="","",E11*Sheet2!$C$17/Sheet2!C22)</f>
        <v>11.659365227337403</v>
      </c>
      <c r="G11" s="91">
        <f>IFERROR(VLOOKUP(B11,Sheet2!$B$7:$AF$15,30,0),"")</f>
        <v>28.120531184576301</v>
      </c>
      <c r="H11" s="91">
        <f>IF(G11="","",G11*Sheet2!$C$17/Sheet2!C22)</f>
        <v>9.5952019271725284</v>
      </c>
      <c r="I11" s="91">
        <f>IFERROR(VLOOKUP(B11,Sheet2!$B$7:$AF$15,31,0),"")</f>
        <v>23.718265651212</v>
      </c>
      <c r="J11" s="91">
        <f>IF(I11="","",I11*Sheet2!$C$17/Sheet2!C22)</f>
        <v>8.0930743019009732</v>
      </c>
      <c r="K11" s="97">
        <v>1.1661492780763241</v>
      </c>
      <c r="L11" s="86">
        <f>IF(K11="","",K11*Sheet2!$C$24/Sheet2!$C29)</f>
        <v>0.45677407342010024</v>
      </c>
      <c r="M11" s="97">
        <f>IFERROR(VLOOKUP(B11,Sheet2!$B$7:$AJ$15,32,0),"")</f>
        <v>35.431550790072322</v>
      </c>
      <c r="N11" s="97">
        <f>IFERROR(VLOOKUP(B11,Sheet2!$B$7:$AJ$15,33,0),"")</f>
        <v>1.26355100685366</v>
      </c>
      <c r="O11" s="86">
        <f>IF(N11="","",N11*Sheet2!$C$24/Sheet2!$C29)</f>
        <v>0.49492577942224686</v>
      </c>
      <c r="P11" s="97">
        <f>IFERROR(VLOOKUP(B11,Sheet2!$B$7:$AJ$15,34,0),"")</f>
        <v>1.2081684715160601</v>
      </c>
      <c r="Q11" s="86">
        <f>IF(P11="","",P11*Sheet2!$C$24/Sheet2!$C29)</f>
        <v>0.47323275371955248</v>
      </c>
      <c r="R11" s="43">
        <v>8.3000655734975499</v>
      </c>
      <c r="S11" s="86">
        <f>IF(R11="","",R11*Sheet2!$C$31/Sheet2!$C36)</f>
        <v>1.5722093044294645</v>
      </c>
      <c r="T11" s="43">
        <v>8.0155369268439003</v>
      </c>
      <c r="U11" s="86">
        <f>IF(T11="","",T11*Sheet2!$C$31/Sheet2!$C36)</f>
        <v>1.5183135150908886</v>
      </c>
    </row>
    <row r="12" spans="2:21" s="91" customFormat="1" ht="15" customHeight="1">
      <c r="C12" s="93"/>
      <c r="D12" s="93"/>
      <c r="E12" s="93"/>
      <c r="F12" s="93"/>
      <c r="L12" s="93"/>
      <c r="O12" s="93"/>
      <c r="Q12" s="93"/>
    </row>
    <row r="13" spans="2:21" ht="15" customHeight="1">
      <c r="B13" s="94" t="s">
        <v>131</v>
      </c>
      <c r="C13" s="95">
        <f t="shared" ref="C13:D13" si="0">MEDIAN(C3:C11)</f>
        <v>27.839920238129505</v>
      </c>
      <c r="D13" s="95">
        <f t="shared" si="0"/>
        <v>15.453147940319944</v>
      </c>
      <c r="E13" s="95">
        <f t="shared" ref="E13:K13" si="1">MEDIAN(E3:E11)</f>
        <v>34.169947225312903</v>
      </c>
      <c r="F13" s="95">
        <f t="shared" si="1"/>
        <v>16.751477180401103</v>
      </c>
      <c r="G13" s="95">
        <f t="shared" si="1"/>
        <v>25.272783484095601</v>
      </c>
      <c r="H13" s="95">
        <f t="shared" si="1"/>
        <v>9.5952019271725284</v>
      </c>
      <c r="I13" s="95">
        <f t="shared" si="1"/>
        <v>22.7056025992363</v>
      </c>
      <c r="J13" s="95">
        <f t="shared" si="1"/>
        <v>8.7438221380646475</v>
      </c>
      <c r="K13" s="95">
        <f t="shared" si="1"/>
        <v>1.1661492780763241</v>
      </c>
      <c r="L13" s="95">
        <f>MEDIAN(L3:L4,L6:L7,L9:L11)</f>
        <v>0.52370553767218642</v>
      </c>
      <c r="M13" s="95">
        <f t="shared" ref="M13:P13" si="2">MEDIAN(M3:M11)</f>
        <v>27.839920238129505</v>
      </c>
      <c r="N13" s="95">
        <f t="shared" si="2"/>
        <v>1.19016106919137</v>
      </c>
      <c r="O13" s="95">
        <f>MEDIAN(O3:O4,O6:O7,O9:O11)</f>
        <v>0.66738147997118347</v>
      </c>
      <c r="P13" s="95">
        <f t="shared" si="2"/>
        <v>1.1749797076948501</v>
      </c>
      <c r="Q13" s="95">
        <f>MEDIAN(Q3:Q4,Q6:Q7,Q9:Q11)</f>
        <v>0.61497791529265766</v>
      </c>
      <c r="S13" s="95">
        <f>MEDIAN(S4,S6,S7,S11,S10)</f>
        <v>4.110140243641867</v>
      </c>
      <c r="U13" s="95">
        <f>MEDIAN(U4,U6,U7,U11,U10)</f>
        <v>3.7340319043475012</v>
      </c>
    </row>
    <row r="14" spans="2:21" ht="15" customHeight="1">
      <c r="B14" t="s">
        <v>132</v>
      </c>
      <c r="C14" s="81">
        <f t="shared" ref="C14:D14" si="3">AVERAGE(C3:C11)</f>
        <v>29.28507336566545</v>
      </c>
      <c r="D14" s="95">
        <f t="shared" si="3"/>
        <v>15.641605680845913</v>
      </c>
      <c r="E14" s="81">
        <f t="shared" ref="E14:K14" si="4">AVERAGE(E3:E11)</f>
        <v>33.479558368577756</v>
      </c>
      <c r="F14" s="95">
        <f t="shared" si="4"/>
        <v>16.603935181948721</v>
      </c>
      <c r="G14" s="95">
        <f t="shared" si="4"/>
        <v>26.418621132950577</v>
      </c>
      <c r="H14" s="95">
        <f t="shared" si="4"/>
        <v>12.714862557038916</v>
      </c>
      <c r="I14" s="95">
        <f t="shared" si="4"/>
        <v>23.294232325286728</v>
      </c>
      <c r="J14" s="95">
        <f t="shared" si="4"/>
        <v>11.254704332201577</v>
      </c>
      <c r="K14" s="95">
        <f t="shared" si="4"/>
        <v>1.6467891434287014</v>
      </c>
      <c r="L14" s="95">
        <f>AVERAGE(L3:L4,L6:L7,L9:L11)</f>
        <v>0.68229298493567059</v>
      </c>
      <c r="M14" s="95">
        <f t="shared" ref="M14:P14" si="5">AVERAGE(M3:M11)</f>
        <v>29.28507336566545</v>
      </c>
      <c r="N14" s="95">
        <f t="shared" si="5"/>
        <v>1.6323071141725352</v>
      </c>
      <c r="O14" s="95">
        <f>AVERAGE(O3:O4,O6:O7,O9:O11)</f>
        <v>1.0736963042434431</v>
      </c>
      <c r="P14" s="95">
        <f t="shared" si="5"/>
        <v>1.5614379141240065</v>
      </c>
      <c r="Q14" s="95">
        <f>AVERAGE(Q3:Q4,Q6:Q7,Q9:Q11)</f>
        <v>1.0402489392227801</v>
      </c>
      <c r="S14" s="95">
        <f>AVERAGE(S11,S10,S7,S6,S4)</f>
        <v>7.7456279634017076</v>
      </c>
      <c r="U14" s="95">
        <f>AVERAGE(U11,U10,U7,U6,U4)</f>
        <v>7.3262046228685396</v>
      </c>
    </row>
    <row r="16" spans="2:21">
      <c r="O16">
        <v>0.27350217291125478</v>
      </c>
    </row>
    <row r="17" spans="15:15">
      <c r="O17">
        <v>0.59031834910866077</v>
      </c>
    </row>
    <row r="18" spans="15:15">
      <c r="O18">
        <v>0.47</v>
      </c>
    </row>
    <row r="19" spans="15:15">
      <c r="O19">
        <v>0.66738147997118347</v>
      </c>
    </row>
    <row r="20" spans="15:15">
      <c r="O20">
        <v>1.0956806903059289</v>
      </c>
    </row>
    <row r="21" spans="15:15">
      <c r="O21">
        <v>0.3</v>
      </c>
    </row>
    <row r="22" spans="15:15">
      <c r="O22">
        <v>1.5323389464734198</v>
      </c>
    </row>
    <row r="23" spans="15:15">
      <c r="O23">
        <v>2.8617267115114071</v>
      </c>
    </row>
    <row r="24" spans="15:15">
      <c r="O24">
        <v>0.49492577942224686</v>
      </c>
    </row>
    <row r="26" spans="15:15">
      <c r="O26">
        <f>MEDIAN(O16:O24)</f>
        <v>0.59031834910866077</v>
      </c>
    </row>
    <row r="27" spans="15:15">
      <c r="O27">
        <f>AVERAGE(O16:O24)</f>
        <v>0.9206526810782335</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zoomScaleNormal="100" workbookViewId="0">
      <selection activeCell="A25" sqref="A25"/>
    </sheetView>
  </sheetViews>
  <sheetFormatPr defaultColWidth="8.54296875" defaultRowHeight="14.5"/>
  <sheetData>
    <row r="1" spans="1:1" ht="15" customHeight="1">
      <c r="A1" t="s">
        <v>133</v>
      </c>
    </row>
    <row r="3" spans="1:1" ht="15" customHeight="1">
      <c r="A3" t="s">
        <v>134</v>
      </c>
    </row>
    <row r="7" spans="1:1" ht="15" customHeight="1">
      <c r="A7" t="s">
        <v>135</v>
      </c>
    </row>
    <row r="25" spans="1:1" ht="15" customHeight="1">
      <c r="A25" t="s">
        <v>136</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N36"/>
  <sheetViews>
    <sheetView topLeftCell="B22" zoomScaleNormal="100" workbookViewId="0">
      <selection activeCell="C31" sqref="C31"/>
    </sheetView>
  </sheetViews>
  <sheetFormatPr defaultColWidth="10.26953125" defaultRowHeight="13" outlineLevelCol="1"/>
  <cols>
    <col min="1" max="1" width="41.453125" style="4" hidden="1" customWidth="1"/>
    <col min="2" max="2" width="27.26953125" style="4" customWidth="1"/>
    <col min="3" max="3" width="20.54296875" style="4" customWidth="1"/>
    <col min="4" max="4" width="20.54296875" style="4" hidden="1" customWidth="1"/>
    <col min="5" max="5" width="12.54296875" style="4" customWidth="1"/>
    <col min="6" max="6" width="12.54296875" style="4" hidden="1" customWidth="1" outlineLevel="1"/>
    <col min="7" max="9" width="12" style="4" hidden="1" customWidth="1" outlineLevel="1"/>
    <col min="10" max="10" width="13.7265625" style="4" customWidth="1" collapsed="1"/>
    <col min="11" max="11" width="10.1796875" style="4" hidden="1" customWidth="1" outlineLevel="1"/>
    <col min="12" max="12" width="10.1796875" style="4" customWidth="1" collapsed="1"/>
    <col min="13" max="13" width="10.1796875" style="4" hidden="1" customWidth="1" outlineLevel="1"/>
    <col min="14" max="14" width="10.1796875" style="4" customWidth="1" collapsed="1"/>
    <col min="15" max="15" width="10.1796875" style="4" hidden="1" customWidth="1" outlineLevel="1"/>
    <col min="16" max="16" width="10.1796875" style="4" customWidth="1" collapsed="1"/>
    <col min="17" max="17" width="12.1796875" style="4" customWidth="1"/>
    <col min="18" max="22" width="13.26953125" style="4" hidden="1" customWidth="1" outlineLevel="1"/>
    <col min="23" max="23" width="10.1796875" style="4" hidden="1" customWidth="1" outlineLevel="1"/>
    <col min="24" max="25" width="12.1796875" style="4" hidden="1" customWidth="1" outlineLevel="1"/>
    <col min="26" max="26" width="10.1796875" style="4" hidden="1" customWidth="1" outlineLevel="1"/>
    <col min="27" max="27" width="13.1796875" style="4" customWidth="1" collapsed="1"/>
    <col min="28" max="29" width="10.1796875" style="4" customWidth="1"/>
    <col min="30" max="30" width="8.81640625" style="4" customWidth="1"/>
    <col min="31" max="37" width="9" style="4" customWidth="1"/>
    <col min="38" max="38" width="12.1796875" style="4" customWidth="1"/>
    <col min="39" max="43" width="9" style="4" customWidth="1"/>
    <col min="44" max="44" width="9" style="4" hidden="1" customWidth="1"/>
    <col min="45" max="47" width="9" style="4" customWidth="1"/>
    <col min="48" max="48" width="10" style="5" hidden="1" customWidth="1"/>
    <col min="49" max="91" width="9" style="5" hidden="1" customWidth="1"/>
    <col min="92" max="97" width="12.26953125" style="4" hidden="1" customWidth="1"/>
    <col min="98" max="102" width="9" style="6" hidden="1" customWidth="1"/>
    <col min="103" max="105" width="10.54296875" style="4" hidden="1" customWidth="1"/>
    <col min="106" max="106" width="175.26953125" style="7" customWidth="1"/>
    <col min="107" max="107" width="9.81640625" style="7" customWidth="1"/>
    <col min="108" max="110" width="10.453125" style="4" customWidth="1"/>
    <col min="111" max="112" width="9" style="4" customWidth="1"/>
    <col min="113" max="113" width="12.453125" style="4" customWidth="1"/>
    <col min="114" max="116" width="9" style="4" customWidth="1"/>
    <col min="117" max="117" width="9.81640625" style="4" customWidth="1"/>
    <col min="118" max="118" width="99.453125" style="8" customWidth="1"/>
    <col min="119" max="16384" width="10.26953125" style="9"/>
  </cols>
  <sheetData>
    <row r="1" spans="1:118" s="11" customFormat="1" ht="15" customHeight="1">
      <c r="A1" s="10" t="s">
        <v>0</v>
      </c>
      <c r="B1" s="10" t="s">
        <v>1</v>
      </c>
      <c r="C1" s="10" t="s">
        <v>2</v>
      </c>
      <c r="D1" s="10"/>
      <c r="E1" s="11" t="s">
        <v>3</v>
      </c>
      <c r="F1" s="11" t="s">
        <v>4</v>
      </c>
      <c r="G1" s="11" t="s">
        <v>5</v>
      </c>
      <c r="H1" s="11" t="s">
        <v>6</v>
      </c>
      <c r="I1" s="11" t="s">
        <v>6</v>
      </c>
      <c r="J1" s="11" t="s">
        <v>7</v>
      </c>
      <c r="K1" s="11" t="s">
        <v>7</v>
      </c>
      <c r="L1" s="11" t="s">
        <v>8</v>
      </c>
      <c r="M1" s="11" t="s">
        <v>8</v>
      </c>
      <c r="N1" s="11" t="s">
        <v>9</v>
      </c>
      <c r="O1" s="11" t="s">
        <v>10</v>
      </c>
      <c r="P1" s="11" t="s">
        <v>11</v>
      </c>
      <c r="Q1" s="11" t="s">
        <v>12</v>
      </c>
      <c r="R1" s="12" t="s">
        <v>13</v>
      </c>
      <c r="S1" s="12" t="s">
        <v>14</v>
      </c>
      <c r="T1" s="12" t="s">
        <v>15</v>
      </c>
      <c r="U1" s="12" t="s">
        <v>16</v>
      </c>
      <c r="V1" s="12" t="s">
        <v>17</v>
      </c>
      <c r="W1" s="12" t="s">
        <v>18</v>
      </c>
      <c r="X1" s="12"/>
      <c r="Y1" s="12"/>
      <c r="Z1" s="12" t="s">
        <v>19</v>
      </c>
      <c r="AA1" s="12"/>
      <c r="AB1" s="12"/>
      <c r="AC1" s="12"/>
      <c r="AD1" s="11" t="s">
        <v>20</v>
      </c>
      <c r="AL1" s="11" t="s">
        <v>21</v>
      </c>
      <c r="AO1" s="12" t="s">
        <v>22</v>
      </c>
      <c r="AV1" s="13" t="s">
        <v>23</v>
      </c>
      <c r="AW1" s="14" t="s">
        <v>24</v>
      </c>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5"/>
      <c r="CO1" s="15"/>
      <c r="CP1" s="15"/>
      <c r="CQ1" s="15"/>
      <c r="CR1" s="15"/>
      <c r="CS1" s="15"/>
      <c r="CT1" s="16"/>
      <c r="CU1" s="16"/>
      <c r="CV1" s="16"/>
      <c r="CW1" s="16"/>
      <c r="CX1" s="16"/>
      <c r="CY1" s="15"/>
      <c r="CZ1" s="15"/>
      <c r="DA1" s="15"/>
      <c r="DB1" s="17" t="s">
        <v>25</v>
      </c>
    </row>
    <row r="2" spans="1:118" ht="13.5" customHeight="1">
      <c r="DB2" s="8"/>
      <c r="DC2" s="9"/>
      <c r="DD2" s="9"/>
      <c r="DE2" s="9"/>
      <c r="DF2" s="9"/>
      <c r="DG2" s="9"/>
      <c r="DH2" s="9"/>
      <c r="DI2" s="9"/>
      <c r="DJ2" s="9"/>
      <c r="DK2" s="9"/>
      <c r="DL2" s="9"/>
      <c r="DM2" s="9"/>
      <c r="DN2" s="9"/>
    </row>
    <row r="3" spans="1:118" s="21" customFormat="1" ht="16.5" customHeight="1" thickBot="1">
      <c r="A3" s="109" t="s">
        <v>26</v>
      </c>
      <c r="B3" s="110" t="s">
        <v>27</v>
      </c>
      <c r="C3" s="111" t="s">
        <v>28</v>
      </c>
      <c r="D3" s="18"/>
      <c r="E3" s="111" t="s">
        <v>29</v>
      </c>
      <c r="F3" s="111"/>
      <c r="G3" s="111"/>
      <c r="H3" s="111"/>
      <c r="I3" s="111"/>
      <c r="J3" s="111"/>
      <c r="K3" s="111"/>
      <c r="L3" s="111"/>
      <c r="M3" s="111"/>
      <c r="N3" s="111"/>
      <c r="O3" s="111"/>
      <c r="P3" s="111"/>
      <c r="Q3" s="111"/>
      <c r="R3" s="111"/>
      <c r="S3" s="111"/>
      <c r="T3" s="111"/>
      <c r="U3" s="111"/>
      <c r="V3" s="111"/>
      <c r="W3" s="111"/>
      <c r="X3" s="111"/>
      <c r="Y3" s="111"/>
      <c r="Z3" s="111"/>
      <c r="AA3" s="3"/>
      <c r="AB3" s="3"/>
      <c r="AC3" s="3"/>
      <c r="AD3" s="111" t="s">
        <v>30</v>
      </c>
      <c r="AE3" s="111"/>
      <c r="AF3" s="111"/>
      <c r="AG3" s="111"/>
      <c r="AH3" s="111"/>
      <c r="AI3" s="111"/>
      <c r="AJ3" s="111"/>
      <c r="AK3" s="111"/>
      <c r="AL3" s="111"/>
      <c r="AM3" s="111"/>
      <c r="AN3" s="111"/>
      <c r="AO3" s="111"/>
      <c r="AP3" s="111"/>
      <c r="AQ3" s="111"/>
      <c r="AR3" s="111"/>
      <c r="AS3" s="111"/>
      <c r="AT3" s="111"/>
      <c r="AU3" s="111"/>
      <c r="AV3" s="111"/>
      <c r="AW3" s="111"/>
      <c r="AX3" s="111"/>
      <c r="AY3" s="106" t="s">
        <v>31</v>
      </c>
      <c r="AZ3" s="106"/>
      <c r="BA3" s="106"/>
      <c r="BB3" s="107" t="s">
        <v>32</v>
      </c>
      <c r="BC3" s="107"/>
      <c r="BD3" s="107"/>
      <c r="BE3" s="107"/>
      <c r="BF3" s="107"/>
      <c r="BG3" s="107"/>
      <c r="BH3" s="107"/>
      <c r="BI3" s="107"/>
      <c r="BJ3" s="107"/>
      <c r="BK3" s="107"/>
      <c r="BL3" s="107"/>
      <c r="BM3" s="107"/>
      <c r="BN3" s="107"/>
      <c r="BO3" s="107"/>
      <c r="BP3" s="107"/>
      <c r="BQ3" s="107"/>
      <c r="BR3" s="107"/>
      <c r="BS3" s="107"/>
      <c r="BT3" s="107"/>
      <c r="BU3" s="107"/>
      <c r="BV3" s="107"/>
      <c r="BW3" s="107"/>
      <c r="BX3" s="107"/>
      <c r="BY3" s="107"/>
      <c r="BZ3" s="107"/>
      <c r="CA3" s="107"/>
      <c r="CB3" s="107"/>
      <c r="CC3" s="107"/>
      <c r="CD3" s="107"/>
      <c r="CE3" s="107"/>
      <c r="CF3" s="107"/>
      <c r="CG3" s="107"/>
      <c r="CH3" s="107"/>
      <c r="CI3" s="107"/>
      <c r="CJ3" s="3"/>
      <c r="CK3" s="3"/>
      <c r="CL3" s="3"/>
      <c r="CM3" s="3"/>
      <c r="CN3" s="3"/>
      <c r="CO3" s="3"/>
      <c r="CP3" s="3"/>
      <c r="CQ3" s="108"/>
      <c r="CR3" s="108"/>
      <c r="CS3" s="108"/>
      <c r="CT3" s="108"/>
      <c r="CU3" s="108"/>
      <c r="CV3" s="108"/>
      <c r="CW3" s="108"/>
      <c r="CX3" s="108"/>
      <c r="CY3" s="19" t="s">
        <v>33</v>
      </c>
      <c r="CZ3" s="19"/>
      <c r="DA3" s="19"/>
      <c r="DB3" s="20"/>
    </row>
    <row r="4" spans="1:118" s="21" customFormat="1" ht="33" customHeight="1" thickTop="1" thickBot="1">
      <c r="A4" s="109"/>
      <c r="B4" s="110"/>
      <c r="C4" s="110"/>
      <c r="D4" s="22" t="s">
        <v>34</v>
      </c>
      <c r="E4" s="105" t="s">
        <v>35</v>
      </c>
      <c r="F4" s="105" t="s">
        <v>36</v>
      </c>
      <c r="G4" s="105" t="s">
        <v>37</v>
      </c>
      <c r="H4" s="105" t="s">
        <v>38</v>
      </c>
      <c r="I4" s="105" t="s">
        <v>39</v>
      </c>
      <c r="J4" s="105" t="s">
        <v>40</v>
      </c>
      <c r="K4" s="105" t="s">
        <v>41</v>
      </c>
      <c r="L4" s="105" t="s">
        <v>42</v>
      </c>
      <c r="M4" s="105" t="s">
        <v>43</v>
      </c>
      <c r="N4" s="105" t="s">
        <v>44</v>
      </c>
      <c r="O4" s="105" t="s">
        <v>45</v>
      </c>
      <c r="P4" s="105" t="s">
        <v>46</v>
      </c>
      <c r="Q4" s="105" t="s">
        <v>47</v>
      </c>
      <c r="R4" s="105" t="s">
        <v>48</v>
      </c>
      <c r="S4" s="105" t="s">
        <v>49</v>
      </c>
      <c r="T4" s="105" t="s">
        <v>50</v>
      </c>
      <c r="U4" s="105" t="s">
        <v>51</v>
      </c>
      <c r="V4" s="105" t="s">
        <v>52</v>
      </c>
      <c r="W4" s="105" t="s">
        <v>53</v>
      </c>
      <c r="X4" s="105" t="s">
        <v>54</v>
      </c>
      <c r="Y4" s="105" t="s">
        <v>55</v>
      </c>
      <c r="Z4" s="105" t="s">
        <v>56</v>
      </c>
      <c r="AA4" s="105" t="s">
        <v>57</v>
      </c>
      <c r="AB4" s="105" t="s">
        <v>58</v>
      </c>
      <c r="AC4" s="105" t="s">
        <v>59</v>
      </c>
      <c r="AD4" s="103" t="s">
        <v>60</v>
      </c>
      <c r="AE4" s="103"/>
      <c r="AF4" s="103"/>
      <c r="AG4" s="2"/>
      <c r="AH4" s="103" t="s">
        <v>61</v>
      </c>
      <c r="AI4" s="103"/>
      <c r="AJ4" s="103"/>
      <c r="AK4" s="2"/>
      <c r="AL4" s="103" t="s">
        <v>62</v>
      </c>
      <c r="AM4" s="103"/>
      <c r="AN4" s="103"/>
      <c r="AO4" s="103" t="s">
        <v>63</v>
      </c>
      <c r="AP4" s="103"/>
      <c r="AQ4" s="103"/>
      <c r="AR4" s="103"/>
      <c r="AS4" s="103" t="s">
        <v>64</v>
      </c>
      <c r="AT4" s="103"/>
      <c r="AU4" s="103"/>
      <c r="AV4" s="104" t="s">
        <v>65</v>
      </c>
      <c r="AW4" s="104"/>
      <c r="AX4" s="104"/>
      <c r="AY4" s="1" t="s">
        <v>66</v>
      </c>
      <c r="AZ4" s="1" t="s">
        <v>67</v>
      </c>
      <c r="BA4" s="1" t="s">
        <v>68</v>
      </c>
      <c r="BB4" s="102" t="s">
        <v>69</v>
      </c>
      <c r="BC4" s="102"/>
      <c r="BD4" s="102"/>
      <c r="BE4" s="102"/>
      <c r="BF4" s="102"/>
      <c r="BG4" s="102"/>
      <c r="BH4" s="102" t="s">
        <v>70</v>
      </c>
      <c r="BI4" s="102"/>
      <c r="BJ4" s="102"/>
      <c r="BK4" s="102"/>
      <c r="BL4" s="102"/>
      <c r="BM4" s="102"/>
      <c r="BN4" s="102" t="s">
        <v>66</v>
      </c>
      <c r="BO4" s="102"/>
      <c r="BP4" s="102"/>
      <c r="BQ4" s="102"/>
      <c r="BR4" s="102"/>
      <c r="BS4" s="102"/>
      <c r="BT4" s="102" t="s">
        <v>67</v>
      </c>
      <c r="BU4" s="102"/>
      <c r="BV4" s="102"/>
      <c r="BW4" s="102"/>
      <c r="BX4" s="102"/>
      <c r="BY4" s="102"/>
      <c r="BZ4" s="102" t="s">
        <v>68</v>
      </c>
      <c r="CA4" s="102"/>
      <c r="CB4" s="102"/>
      <c r="CC4" s="102"/>
      <c r="CD4" s="102"/>
      <c r="CE4" s="102"/>
      <c r="CF4" s="102" t="s">
        <v>71</v>
      </c>
      <c r="CG4" s="102"/>
      <c r="CH4" s="102"/>
      <c r="CI4" s="102"/>
      <c r="CJ4" s="102" t="s">
        <v>72</v>
      </c>
      <c r="CK4" s="102"/>
      <c r="CL4" s="102"/>
      <c r="CM4" s="102"/>
      <c r="CN4" s="99" t="s">
        <v>73</v>
      </c>
      <c r="CO4" s="99" t="s">
        <v>74</v>
      </c>
      <c r="CP4" s="99" t="s">
        <v>75</v>
      </c>
      <c r="CQ4" s="99" t="s">
        <v>76</v>
      </c>
      <c r="CR4" s="99" t="s">
        <v>77</v>
      </c>
      <c r="CS4" s="99" t="s">
        <v>78</v>
      </c>
      <c r="CT4" s="99" t="s">
        <v>79</v>
      </c>
      <c r="CU4" s="99" t="s">
        <v>80</v>
      </c>
      <c r="CV4" s="99" t="s">
        <v>81</v>
      </c>
      <c r="CW4" s="101" t="s">
        <v>82</v>
      </c>
      <c r="CX4" s="99" t="s">
        <v>83</v>
      </c>
      <c r="CY4" s="98" t="s">
        <v>84</v>
      </c>
      <c r="CZ4" s="98" t="s">
        <v>85</v>
      </c>
      <c r="DA4" s="98" t="s">
        <v>86</v>
      </c>
      <c r="DB4" s="20"/>
    </row>
    <row r="5" spans="1:118" s="28" customFormat="1" ht="16.5" customHeight="1" thickTop="1" thickBot="1">
      <c r="A5" s="109"/>
      <c r="B5" s="110"/>
      <c r="C5" s="110"/>
      <c r="D5" s="23"/>
      <c r="E5" s="105"/>
      <c r="F5" s="105"/>
      <c r="G5" s="105"/>
      <c r="H5" s="105"/>
      <c r="I5" s="105"/>
      <c r="J5" s="105"/>
      <c r="K5" s="105"/>
      <c r="L5" s="105"/>
      <c r="M5" s="105"/>
      <c r="N5" s="105"/>
      <c r="O5" s="105"/>
      <c r="P5" s="105"/>
      <c r="Q5" s="105"/>
      <c r="R5" s="105"/>
      <c r="S5" s="105"/>
      <c r="T5" s="105"/>
      <c r="U5" s="105"/>
      <c r="V5" s="105"/>
      <c r="W5" s="105"/>
      <c r="X5" s="105"/>
      <c r="Y5" s="105"/>
      <c r="Z5" s="105"/>
      <c r="AA5" s="105"/>
      <c r="AB5" s="105"/>
      <c r="AC5" s="105"/>
      <c r="AD5" s="24" t="s">
        <v>87</v>
      </c>
      <c r="AE5" s="24" t="s">
        <v>88</v>
      </c>
      <c r="AF5" s="24" t="s">
        <v>89</v>
      </c>
      <c r="AG5" s="24" t="s">
        <v>167</v>
      </c>
      <c r="AH5" s="24" t="s">
        <v>87</v>
      </c>
      <c r="AI5" s="24" t="s">
        <v>88</v>
      </c>
      <c r="AJ5" s="24" t="s">
        <v>89</v>
      </c>
      <c r="AK5" s="24"/>
      <c r="AL5" s="24" t="s">
        <v>87</v>
      </c>
      <c r="AM5" s="24" t="s">
        <v>88</v>
      </c>
      <c r="AN5" s="24" t="s">
        <v>89</v>
      </c>
      <c r="AO5" s="24" t="s">
        <v>87</v>
      </c>
      <c r="AP5" s="24" t="s">
        <v>88</v>
      </c>
      <c r="AQ5" s="24" t="s">
        <v>89</v>
      </c>
      <c r="AR5" s="24" t="s">
        <v>89</v>
      </c>
      <c r="AS5" s="24" t="s">
        <v>87</v>
      </c>
      <c r="AT5" s="24" t="s">
        <v>88</v>
      </c>
      <c r="AU5" s="24" t="s">
        <v>89</v>
      </c>
      <c r="AV5" s="25" t="s">
        <v>87</v>
      </c>
      <c r="AW5" s="24" t="s">
        <v>88</v>
      </c>
      <c r="AX5" s="24" t="s">
        <v>89</v>
      </c>
      <c r="AY5" s="100" t="s">
        <v>90</v>
      </c>
      <c r="AZ5" s="100"/>
      <c r="BA5" s="100"/>
      <c r="BB5" s="26" t="s">
        <v>91</v>
      </c>
      <c r="BC5" s="26" t="s">
        <v>92</v>
      </c>
      <c r="BD5" s="26" t="s">
        <v>93</v>
      </c>
      <c r="BE5" s="26" t="s">
        <v>94</v>
      </c>
      <c r="BF5" s="26" t="s">
        <v>95</v>
      </c>
      <c r="BG5" s="26" t="s">
        <v>96</v>
      </c>
      <c r="BH5" s="26" t="s">
        <v>91</v>
      </c>
      <c r="BI5" s="26" t="s">
        <v>92</v>
      </c>
      <c r="BJ5" s="26" t="s">
        <v>93</v>
      </c>
      <c r="BK5" s="26" t="s">
        <v>94</v>
      </c>
      <c r="BL5" s="26" t="s">
        <v>95</v>
      </c>
      <c r="BM5" s="26" t="s">
        <v>96</v>
      </c>
      <c r="BN5" s="26" t="s">
        <v>91</v>
      </c>
      <c r="BO5" s="26" t="s">
        <v>92</v>
      </c>
      <c r="BP5" s="26" t="s">
        <v>93</v>
      </c>
      <c r="BQ5" s="26" t="s">
        <v>94</v>
      </c>
      <c r="BR5" s="26" t="s">
        <v>95</v>
      </c>
      <c r="BS5" s="26" t="s">
        <v>96</v>
      </c>
      <c r="BT5" s="26" t="s">
        <v>91</v>
      </c>
      <c r="BU5" s="26" t="s">
        <v>92</v>
      </c>
      <c r="BV5" s="26" t="s">
        <v>93</v>
      </c>
      <c r="BW5" s="26" t="s">
        <v>94</v>
      </c>
      <c r="BX5" s="26" t="s">
        <v>95</v>
      </c>
      <c r="BY5" s="26" t="s">
        <v>96</v>
      </c>
      <c r="BZ5" s="26" t="s">
        <v>91</v>
      </c>
      <c r="CA5" s="26" t="s">
        <v>92</v>
      </c>
      <c r="CB5" s="26" t="s">
        <v>93</v>
      </c>
      <c r="CC5" s="26" t="s">
        <v>94</v>
      </c>
      <c r="CD5" s="26" t="s">
        <v>95</v>
      </c>
      <c r="CE5" s="26" t="s">
        <v>96</v>
      </c>
      <c r="CF5" s="26" t="s">
        <v>93</v>
      </c>
      <c r="CG5" s="26" t="s">
        <v>94</v>
      </c>
      <c r="CH5" s="26" t="s">
        <v>95</v>
      </c>
      <c r="CI5" s="26" t="s">
        <v>96</v>
      </c>
      <c r="CJ5" s="26" t="s">
        <v>93</v>
      </c>
      <c r="CK5" s="26" t="s">
        <v>94</v>
      </c>
      <c r="CL5" s="26" t="s">
        <v>95</v>
      </c>
      <c r="CM5" s="26" t="s">
        <v>96</v>
      </c>
      <c r="CN5" s="99"/>
      <c r="CO5" s="99"/>
      <c r="CP5" s="99"/>
      <c r="CQ5" s="99"/>
      <c r="CR5" s="99"/>
      <c r="CS5" s="99"/>
      <c r="CT5" s="99"/>
      <c r="CU5" s="99"/>
      <c r="CV5" s="99"/>
      <c r="CW5" s="101"/>
      <c r="CX5" s="99"/>
      <c r="CY5" s="99"/>
      <c r="CZ5" s="99"/>
      <c r="DA5" s="99"/>
      <c r="DB5" s="20"/>
      <c r="DC5" s="27"/>
      <c r="DD5" s="27"/>
      <c r="DE5" s="27"/>
    </row>
    <row r="6" spans="1:118" s="28" customFormat="1" ht="15.75" customHeight="1" thickTop="1">
      <c r="A6" s="29"/>
      <c r="B6" s="30"/>
      <c r="C6" s="30"/>
      <c r="D6" s="30"/>
      <c r="E6" s="30"/>
      <c r="F6" s="30"/>
      <c r="G6" s="30"/>
      <c r="H6" s="31"/>
      <c r="I6" s="31"/>
      <c r="J6" s="31"/>
      <c r="K6" s="31"/>
      <c r="L6" s="31"/>
      <c r="M6" s="31"/>
      <c r="N6" s="31"/>
      <c r="O6" s="31"/>
      <c r="P6" s="32"/>
      <c r="Q6" s="32"/>
      <c r="R6" s="32"/>
      <c r="S6" s="32"/>
      <c r="T6" s="32"/>
      <c r="U6" s="32"/>
      <c r="V6" s="32"/>
      <c r="W6" s="32"/>
      <c r="X6" s="32"/>
      <c r="Y6" s="32"/>
      <c r="Z6" s="32"/>
      <c r="AA6" s="32"/>
      <c r="AB6" s="32"/>
      <c r="AC6" s="32"/>
      <c r="AD6" s="33"/>
      <c r="AE6" s="33"/>
      <c r="AF6" s="33"/>
      <c r="AG6" s="33"/>
      <c r="AH6" s="33"/>
      <c r="AI6" s="33"/>
      <c r="AJ6" s="33"/>
      <c r="AK6" s="33"/>
      <c r="AL6" s="33"/>
      <c r="AM6" s="33"/>
      <c r="AN6" s="33"/>
      <c r="AO6" s="33"/>
      <c r="AP6" s="33"/>
      <c r="AQ6" s="33"/>
      <c r="AR6" s="33"/>
      <c r="AS6" s="33"/>
      <c r="AT6" s="33"/>
      <c r="AU6" s="33"/>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3"/>
      <c r="CO6" s="33"/>
      <c r="CP6" s="33"/>
      <c r="CQ6" s="33"/>
      <c r="CR6" s="33"/>
      <c r="CS6" s="33"/>
      <c r="CT6" s="35"/>
      <c r="CU6" s="35"/>
      <c r="CV6" s="35"/>
      <c r="CW6" s="35"/>
      <c r="CX6" s="35"/>
      <c r="CY6" s="33"/>
      <c r="CZ6" s="33"/>
      <c r="DA6" s="33"/>
      <c r="DB6" s="36"/>
    </row>
    <row r="7" spans="1:118" s="49" customFormat="1" ht="31.5" customHeight="1">
      <c r="A7" s="37" t="s">
        <v>122</v>
      </c>
      <c r="B7" s="37" t="s">
        <v>122</v>
      </c>
      <c r="C7" s="38" t="s">
        <v>97</v>
      </c>
      <c r="D7" s="39" t="s">
        <v>137</v>
      </c>
      <c r="E7" s="39">
        <v>3363.64853195858</v>
      </c>
      <c r="F7" s="39">
        <v>429.365392450792</v>
      </c>
      <c r="G7" s="40">
        <v>293.8</v>
      </c>
      <c r="H7" s="39">
        <v>1544.22953751808</v>
      </c>
      <c r="I7" s="39">
        <v>196.945444721662</v>
      </c>
      <c r="J7" s="39">
        <v>11590.735022364301</v>
      </c>
      <c r="K7" s="39">
        <v>1484.7960227864401</v>
      </c>
      <c r="L7" s="39">
        <v>98.747584379844596</v>
      </c>
      <c r="M7" s="39">
        <v>12.649760370162801</v>
      </c>
      <c r="N7" s="41" t="e">
        <f>#VALUE!</f>
        <v>#VALUE!</v>
      </c>
      <c r="O7" s="41">
        <v>2.9377398921930399E-2</v>
      </c>
      <c r="P7" s="41">
        <v>8.5195273802145706E-3</v>
      </c>
      <c r="Q7" s="41">
        <v>8.3469248235208293E-2</v>
      </c>
      <c r="R7" s="41">
        <v>-0.28810317343465103</v>
      </c>
      <c r="S7" s="41">
        <v>0.67994450068502699</v>
      </c>
      <c r="T7" s="41">
        <v>0.71671869863121695</v>
      </c>
      <c r="U7" s="41">
        <v>0.122623566423248</v>
      </c>
      <c r="V7" s="41">
        <v>0.240047350032009</v>
      </c>
      <c r="W7" s="41">
        <v>2.2891973136851099E-2</v>
      </c>
      <c r="X7" s="42">
        <v>3632.2403408484001</v>
      </c>
      <c r="Y7" s="42">
        <v>463.62062543224403</v>
      </c>
      <c r="Z7" s="41">
        <v>6.5611821531453798E-2</v>
      </c>
      <c r="AA7" s="42">
        <v>11590.735022364301</v>
      </c>
      <c r="AB7" s="42">
        <v>98.747584379844596</v>
      </c>
      <c r="AC7" s="42">
        <v>340.37462166666501</v>
      </c>
      <c r="AD7" s="43">
        <v>34.063096865437203</v>
      </c>
      <c r="AE7" s="43">
        <v>34.159526008982901</v>
      </c>
      <c r="AF7" s="43">
        <v>27.694362975718899</v>
      </c>
      <c r="AG7" s="43">
        <v>37.379277443007325</v>
      </c>
      <c r="AH7" s="43">
        <v>0.29020148639999299</v>
      </c>
      <c r="AI7" s="43">
        <v>0.29706215042506301</v>
      </c>
      <c r="AJ7" s="43">
        <v>0.27930084132840499</v>
      </c>
      <c r="AK7" s="43"/>
      <c r="AL7" s="43">
        <v>10.6713018822112</v>
      </c>
      <c r="AM7" s="43" t="s">
        <v>138</v>
      </c>
      <c r="AN7" s="43" t="s">
        <v>138</v>
      </c>
      <c r="AO7" s="43">
        <v>2.3563055873706298</v>
      </c>
      <c r="AP7" s="43">
        <v>2.2737623720389801</v>
      </c>
      <c r="AQ7" s="43">
        <v>2.1338397518707901</v>
      </c>
      <c r="AR7" s="43">
        <v>2.2325227963525802</v>
      </c>
      <c r="AS7" s="41">
        <v>6.5611821531453798E-2</v>
      </c>
      <c r="AT7" s="41">
        <v>5.5500000000000001E-2</v>
      </c>
      <c r="AU7" s="41">
        <v>6.9900000000000004E-2</v>
      </c>
      <c r="AV7" s="44">
        <v>1.1232130538857299</v>
      </c>
      <c r="AW7" s="44" t="s">
        <v>139</v>
      </c>
      <c r="AX7" s="44" t="s">
        <v>139</v>
      </c>
      <c r="AY7" s="44">
        <v>-4.5296929787097496E-3</v>
      </c>
      <c r="AZ7" s="44" t="e">
        <f>#VALUE!</f>
        <v>#VALUE!</v>
      </c>
      <c r="BA7" s="44">
        <v>-0.19253060074300599</v>
      </c>
      <c r="BB7" s="45">
        <v>5.4043298192910698E-2</v>
      </c>
      <c r="BC7" s="45">
        <v>2.1999611183629499E-2</v>
      </c>
      <c r="BD7" s="45">
        <v>-9.8155305458605506E-3</v>
      </c>
      <c r="BE7" s="45" t="e">
        <f>#VALUE!</f>
        <v>#VALUE!</v>
      </c>
      <c r="BF7" s="45" t="e">
        <f>#VALUE!</f>
        <v>#VALUE!</v>
      </c>
      <c r="BG7" s="45" t="e">
        <f>#VALUE!</f>
        <v>#VALUE!</v>
      </c>
      <c r="BH7" s="45">
        <v>4.9792862185346898E-2</v>
      </c>
      <c r="BI7" s="45">
        <v>6.29535556359928E-3</v>
      </c>
      <c r="BJ7" s="45">
        <v>-2.2833283939933498E-2</v>
      </c>
      <c r="BK7" s="45" t="e">
        <f>#VALUE!</f>
        <v>#VALUE!</v>
      </c>
      <c r="BL7" s="45" t="e">
        <f>#VALUE!</f>
        <v>#VALUE!</v>
      </c>
      <c r="BM7" s="45" t="e">
        <f>#VALUE!</f>
        <v>#VALUE!</v>
      </c>
      <c r="BN7" s="45">
        <v>1.35129446843157</v>
      </c>
      <c r="BO7" s="45">
        <v>1.1990861063149501</v>
      </c>
      <c r="BP7" s="45">
        <v>1.4662795540906599</v>
      </c>
      <c r="BQ7" s="45">
        <v>1.39311294051781</v>
      </c>
      <c r="BR7" s="45">
        <v>1.4530260469862999</v>
      </c>
      <c r="BS7" s="45">
        <v>1.5454269313634299</v>
      </c>
      <c r="BT7" s="45">
        <v>5.4375123455348902E-2</v>
      </c>
      <c r="BU7" s="45">
        <v>4.9776923515937301E-2</v>
      </c>
      <c r="BV7" s="45">
        <v>5.25704663072422E-2</v>
      </c>
      <c r="BW7" s="45" t="e">
        <f>#VALUE!</f>
        <v>#VALUE!</v>
      </c>
      <c r="BX7" s="45" t="e">
        <f>#VALUE!</f>
        <v>#VALUE!</v>
      </c>
      <c r="BY7" s="45" t="e">
        <f>#VALUE!</f>
        <v>#VALUE!</v>
      </c>
      <c r="BZ7" s="45">
        <v>3.6362787945426397E-2</v>
      </c>
      <c r="CA7" s="45">
        <v>1.8778826595749001E-2</v>
      </c>
      <c r="CB7" s="45">
        <v>1.9408023621945301E-2</v>
      </c>
      <c r="CC7" s="45">
        <v>1.1725291328767099E-2</v>
      </c>
      <c r="CD7" s="45">
        <v>1.2654163972602699E-2</v>
      </c>
      <c r="CE7" s="45">
        <v>1.56089468603189E-2</v>
      </c>
      <c r="CF7" s="45">
        <v>7.4249515619039998E-3</v>
      </c>
      <c r="CG7" s="45" t="e">
        <f>#VALUE!</f>
        <v>#VALUE!</v>
      </c>
      <c r="CH7" s="45" t="e">
        <f>#VALUE!</f>
        <v>#VALUE!</v>
      </c>
      <c r="CI7" s="45" t="e">
        <f>#VALUE!</f>
        <v>#VALUE!</v>
      </c>
      <c r="CJ7" s="46">
        <v>1.72928505474622E-5</v>
      </c>
      <c r="CK7" s="46" t="e">
        <f>#VALUE!</f>
        <v>#VALUE!</v>
      </c>
      <c r="CL7" s="46" t="e">
        <f>#VALUE!</f>
        <v>#VALUE!</v>
      </c>
      <c r="CM7" s="46" t="e">
        <f>#VALUE!</f>
        <v>#VALUE!</v>
      </c>
      <c r="CN7" s="43">
        <v>7.2448675010885601</v>
      </c>
      <c r="CO7" s="43">
        <v>4.2623237329105299</v>
      </c>
      <c r="CP7" s="43">
        <v>3.4449756290483702</v>
      </c>
      <c r="CQ7" s="43">
        <v>3.3175718201642801</v>
      </c>
      <c r="CR7" s="43">
        <v>10.078577978625001</v>
      </c>
      <c r="CS7" s="43">
        <v>7.5417473358759404</v>
      </c>
      <c r="CT7" s="47">
        <v>-3.4023099999999998E-4</v>
      </c>
      <c r="CU7" s="47">
        <v>-3.8769820000000003E-2</v>
      </c>
      <c r="CV7" s="47">
        <v>-0.27884140000000002</v>
      </c>
      <c r="CW7" s="47">
        <v>-0.28472310000000001</v>
      </c>
      <c r="CX7" s="47">
        <v>-0.21328159999999999</v>
      </c>
      <c r="CY7" s="41">
        <v>0.36384717501464597</v>
      </c>
      <c r="CZ7" s="41">
        <v>0.43541756063218201</v>
      </c>
      <c r="DA7" s="41">
        <v>0.43323303973048899</v>
      </c>
      <c r="DB7" s="48" t="s">
        <v>140</v>
      </c>
    </row>
    <row r="8" spans="1:118" s="49" customFormat="1" ht="47.25" customHeight="1">
      <c r="A8" s="37" t="s">
        <v>141</v>
      </c>
      <c r="B8" s="96" t="s">
        <v>123</v>
      </c>
      <c r="C8" s="38" t="s">
        <v>98</v>
      </c>
      <c r="D8" s="39" t="s">
        <v>142</v>
      </c>
      <c r="E8" s="39">
        <v>8380084.1853408804</v>
      </c>
      <c r="F8" s="39">
        <v>1069706.9271130001</v>
      </c>
      <c r="G8" s="40">
        <v>134.19999999999999</v>
      </c>
      <c r="H8" s="39">
        <v>829276.41799999995</v>
      </c>
      <c r="I8" s="39">
        <v>106180</v>
      </c>
      <c r="J8" s="39">
        <v>5560443.03991846</v>
      </c>
      <c r="K8" s="39">
        <v>713163</v>
      </c>
      <c r="L8" s="39">
        <v>170696.99279538501</v>
      </c>
      <c r="M8" s="39">
        <v>21893</v>
      </c>
      <c r="N8" s="41">
        <v>0.24926699786724801</v>
      </c>
      <c r="O8" s="41">
        <v>6.5759160248077902E-2</v>
      </c>
      <c r="P8" s="41">
        <v>3.0698451826581E-2</v>
      </c>
      <c r="Q8" s="41">
        <v>4.7252142117667803E-2</v>
      </c>
      <c r="R8" s="41">
        <v>0.126414900185223</v>
      </c>
      <c r="S8" s="41">
        <v>0.63189866264833305</v>
      </c>
      <c r="T8" s="41">
        <v>0.67352961843862003</v>
      </c>
      <c r="U8" s="41">
        <v>0.530872103974383</v>
      </c>
      <c r="V8" s="41">
        <v>0.23569561735073799</v>
      </c>
      <c r="W8" s="41">
        <v>8.0268968690592496E-2</v>
      </c>
      <c r="X8" s="42">
        <v>8871581.4701032396</v>
      </c>
      <c r="Y8" s="42">
        <v>1132637.9271130001</v>
      </c>
      <c r="Z8" s="41">
        <v>0.229691024497718</v>
      </c>
      <c r="AA8" s="42">
        <v>5560443.03991846</v>
      </c>
      <c r="AB8" s="42">
        <v>170696.99279538501</v>
      </c>
      <c r="AC8" s="42">
        <v>362258.42411999998</v>
      </c>
      <c r="AD8" s="43">
        <v>49.093332273206002</v>
      </c>
      <c r="AE8" s="43">
        <v>46.576104375821799</v>
      </c>
      <c r="AF8" s="43">
        <v>40.8524096616108</v>
      </c>
      <c r="AG8" s="43">
        <v>45.288335967692284</v>
      </c>
      <c r="AH8" s="43">
        <v>1.5070892957953499</v>
      </c>
      <c r="AI8" s="43">
        <v>1.4334049709871901</v>
      </c>
      <c r="AJ8" s="43">
        <v>1.36717946031976</v>
      </c>
      <c r="AK8" s="43"/>
      <c r="AL8" s="43">
        <v>24.489648492382599</v>
      </c>
      <c r="AM8" s="43">
        <v>21.6984045587228</v>
      </c>
      <c r="AN8" s="43">
        <v>19.712839487909701</v>
      </c>
      <c r="AO8" s="43">
        <v>10.735514778406699</v>
      </c>
      <c r="AP8" s="43">
        <v>9.7242298765684296</v>
      </c>
      <c r="AQ8" s="43">
        <v>8.8181213490270594</v>
      </c>
      <c r="AR8" s="43">
        <v>9.7232285176061399</v>
      </c>
      <c r="AS8" s="41">
        <v>0.229691024497718</v>
      </c>
      <c r="AT8" s="41">
        <v>0.21592</v>
      </c>
      <c r="AU8" s="41">
        <v>0.21426999999999999</v>
      </c>
      <c r="AV8" s="44">
        <v>0.73770492513915298</v>
      </c>
      <c r="AW8" s="44">
        <v>0.69523099850968695</v>
      </c>
      <c r="AX8" s="44">
        <v>0.73099850968703395</v>
      </c>
      <c r="AY8" s="44">
        <v>4.8698145750562603E-2</v>
      </c>
      <c r="AZ8" s="44">
        <v>7.7160566451922999E-2</v>
      </c>
      <c r="BA8" s="44">
        <v>7.9747431728917101E-2</v>
      </c>
      <c r="BB8" s="45">
        <v>27.0709673913044</v>
      </c>
      <c r="BC8" s="45">
        <v>34.523402173912999</v>
      </c>
      <c r="BD8" s="45">
        <v>37.5168804347826</v>
      </c>
      <c r="BE8" s="45">
        <v>39.1562135631102</v>
      </c>
      <c r="BF8" s="45">
        <v>40.128463358296997</v>
      </c>
      <c r="BG8" s="45">
        <v>43.735808530930299</v>
      </c>
      <c r="BH8" s="45">
        <v>10.307641304347801</v>
      </c>
      <c r="BI8" s="45">
        <v>14.300184782608699</v>
      </c>
      <c r="BJ8" s="45">
        <v>14.1230652173913</v>
      </c>
      <c r="BK8" s="45">
        <v>16.499710685809699</v>
      </c>
      <c r="BL8" s="45">
        <v>14.119225660792299</v>
      </c>
      <c r="BM8" s="45">
        <v>18.194062541596299</v>
      </c>
      <c r="BN8" s="45">
        <v>607.52283695652204</v>
      </c>
      <c r="BO8" s="45">
        <v>644.97782608695695</v>
      </c>
      <c r="BP8" s="45">
        <v>678.57036956521699</v>
      </c>
      <c r="BQ8" s="45">
        <v>706.70367539678705</v>
      </c>
      <c r="BR8" s="45">
        <v>746.26984309309296</v>
      </c>
      <c r="BS8" s="45">
        <v>782.41879272914196</v>
      </c>
      <c r="BT8" s="45">
        <v>31.4474673913044</v>
      </c>
      <c r="BU8" s="45">
        <v>38.191423913043501</v>
      </c>
      <c r="BV8" s="45">
        <v>42.030543478260903</v>
      </c>
      <c r="BW8" s="45">
        <v>44.809955130606703</v>
      </c>
      <c r="BX8" s="45">
        <v>48.7669840393539</v>
      </c>
      <c r="BY8" s="45">
        <v>53.679012069452199</v>
      </c>
      <c r="BZ8" s="45">
        <v>10.765836956521699</v>
      </c>
      <c r="CA8" s="45">
        <v>15.7741630434783</v>
      </c>
      <c r="CB8" s="45">
        <v>19.516869565217402</v>
      </c>
      <c r="CC8" s="45">
        <v>20.761633827842701</v>
      </c>
      <c r="CD8" s="45">
        <v>22.753830527138401</v>
      </c>
      <c r="CE8" s="45">
        <v>25.800935386473402</v>
      </c>
      <c r="CF8" s="45">
        <v>6.6374565217391304</v>
      </c>
      <c r="CG8" s="45">
        <v>7.3985839966762104</v>
      </c>
      <c r="CH8" s="45">
        <v>7.6709595748585704</v>
      </c>
      <c r="CI8" s="45">
        <v>8.1391110313670794</v>
      </c>
      <c r="CJ8" s="46">
        <v>6.20492992379956E-6</v>
      </c>
      <c r="CK8" s="46">
        <v>6.9164589002372998E-6</v>
      </c>
      <c r="CL8" s="46">
        <v>7.1710852574933798E-6</v>
      </c>
      <c r="CM8" s="46">
        <v>7.6087298540110298E-6</v>
      </c>
      <c r="CN8" s="43">
        <v>19123.992726929198</v>
      </c>
      <c r="CO8" s="43">
        <v>17589.413088146299</v>
      </c>
      <c r="CP8" s="43">
        <v>16368.911965053499</v>
      </c>
      <c r="CQ8" s="43">
        <v>16610.733457109902</v>
      </c>
      <c r="CR8" s="43">
        <v>18447.681637282501</v>
      </c>
      <c r="CS8" s="43">
        <v>23745.788588133499</v>
      </c>
      <c r="CT8" s="47">
        <v>4.9093199999999997E-2</v>
      </c>
      <c r="CU8" s="47">
        <v>9.114564E-2</v>
      </c>
      <c r="CV8" s="47">
        <v>0.25291760000000002</v>
      </c>
      <c r="CW8" s="47">
        <v>0.37218810000000002</v>
      </c>
      <c r="CX8" s="47">
        <v>0.20455970000000001</v>
      </c>
      <c r="CY8" s="41">
        <v>0.20586469550991299</v>
      </c>
      <c r="CZ8" s="41">
        <v>0.22858560801012501</v>
      </c>
      <c r="DA8" s="41">
        <v>0.23829710360519099</v>
      </c>
      <c r="DB8" s="48" t="s">
        <v>143</v>
      </c>
    </row>
    <row r="9" spans="1:118" s="49" customFormat="1" ht="31.5" customHeight="1">
      <c r="A9" s="37" t="s">
        <v>144</v>
      </c>
      <c r="B9" s="96" t="s">
        <v>145</v>
      </c>
      <c r="C9" s="38" t="s">
        <v>99</v>
      </c>
      <c r="D9" s="39" t="s">
        <v>142</v>
      </c>
      <c r="E9" s="39">
        <v>20157.569270046199</v>
      </c>
      <c r="F9" s="39">
        <v>2573.0876927999998</v>
      </c>
      <c r="G9" s="40">
        <v>15.36</v>
      </c>
      <c r="H9" s="39">
        <v>13210.2686834</v>
      </c>
      <c r="I9" s="39">
        <v>1691.434</v>
      </c>
      <c r="J9" s="39">
        <v>43251.107821052297</v>
      </c>
      <c r="K9" s="39">
        <v>5547.2359999999999</v>
      </c>
      <c r="L9" s="39">
        <v>1496.8675269646201</v>
      </c>
      <c r="M9" s="39">
        <v>191.983</v>
      </c>
      <c r="N9" s="41">
        <v>0.36510453133776899</v>
      </c>
      <c r="O9" s="41">
        <v>0.17345971939899399</v>
      </c>
      <c r="P9" s="41">
        <v>3.4608767321238902E-2</v>
      </c>
      <c r="Q9" s="41">
        <v>4.1020505748921098E-2</v>
      </c>
      <c r="R9" s="41">
        <v>-0.41713825976076302</v>
      </c>
      <c r="S9" s="41">
        <v>1.00525530407926</v>
      </c>
      <c r="T9" s="41">
        <v>1.0042347029476999</v>
      </c>
      <c r="U9" s="41">
        <v>0.86400060540346202</v>
      </c>
      <c r="V9" s="41">
        <v>0.42405453801799697</v>
      </c>
      <c r="W9" s="41">
        <v>4.89724129530748E-2</v>
      </c>
      <c r="X9" s="42">
        <v>31557.8235634952</v>
      </c>
      <c r="Y9" s="42">
        <v>4032.7686927999998</v>
      </c>
      <c r="Z9" s="41">
        <v>0.110972415421561</v>
      </c>
      <c r="AA9" s="42">
        <v>43251.107821052297</v>
      </c>
      <c r="AB9" s="42">
        <v>1496.8675269646201</v>
      </c>
      <c r="AC9" s="42">
        <v>6710.1390966323097</v>
      </c>
      <c r="AD9" s="43">
        <v>13.4665018159103</v>
      </c>
      <c r="AE9" s="43">
        <v>8.8269913741503903</v>
      </c>
      <c r="AF9" s="43">
        <v>7.7833708127592596</v>
      </c>
      <c r="AG9" s="43">
        <v>15.937873677753339</v>
      </c>
      <c r="AH9" s="43">
        <v>0.46605902797788101</v>
      </c>
      <c r="AI9" s="43">
        <v>0.44585488254475503</v>
      </c>
      <c r="AJ9" s="43">
        <v>0.43027256869314101</v>
      </c>
      <c r="AK9" s="43"/>
      <c r="AL9" s="43">
        <v>4.7030058705241302</v>
      </c>
      <c r="AM9" s="43">
        <v>8.3320804700764004</v>
      </c>
      <c r="AN9" s="43">
        <v>7.6098393331340999</v>
      </c>
      <c r="AO9" s="43">
        <v>1.5327586000750499</v>
      </c>
      <c r="AP9" s="43">
        <v>1.2597357604303201</v>
      </c>
      <c r="AQ9" s="43">
        <v>1.1445369018973499</v>
      </c>
      <c r="AR9" s="43">
        <v>1.2687923343796501</v>
      </c>
      <c r="AS9" s="41">
        <v>0.110972415421561</v>
      </c>
      <c r="AT9" s="41">
        <v>0.13893</v>
      </c>
      <c r="AU9" s="41">
        <v>0.17072000000000001</v>
      </c>
      <c r="AV9" s="44">
        <v>3.2552083333333299</v>
      </c>
      <c r="AW9" s="44">
        <v>3.2747395833333299</v>
      </c>
      <c r="AX9" s="44">
        <v>3.2356770833333299</v>
      </c>
      <c r="AY9" s="44">
        <v>3.8917206511914999E-2</v>
      </c>
      <c r="AZ9" s="44">
        <v>2.4437769690176501E-2</v>
      </c>
      <c r="BA9" s="44">
        <v>1.58408716049219E-2</v>
      </c>
      <c r="BB9" s="45">
        <v>0.30877057142857101</v>
      </c>
      <c r="BC9" s="45">
        <v>0.62958048822606005</v>
      </c>
      <c r="BD9" s="45">
        <v>0.44467309419152301</v>
      </c>
      <c r="BE9" s="45">
        <v>0.884133344845354</v>
      </c>
      <c r="BF9" s="45">
        <v>0.60041393283369104</v>
      </c>
      <c r="BG9" s="45">
        <v>0.60689928375148705</v>
      </c>
      <c r="BH9" s="45">
        <v>3.8662615384615399E-2</v>
      </c>
      <c r="BI9" s="45">
        <v>0.45008166405023597</v>
      </c>
      <c r="BJ9" s="45">
        <v>0.23123480847723701</v>
      </c>
      <c r="BK9" s="45">
        <v>0.49798701584321697</v>
      </c>
      <c r="BL9" s="45">
        <v>0.357819425004331</v>
      </c>
      <c r="BM9" s="45">
        <v>0.321220465428115</v>
      </c>
      <c r="BN9" s="45">
        <v>5.0100485824175802</v>
      </c>
      <c r="BO9" s="45">
        <v>5.1396257896389299</v>
      </c>
      <c r="BP9" s="45">
        <v>5.3468644301412898</v>
      </c>
      <c r="BQ9" s="45">
        <v>5.3619101121101096</v>
      </c>
      <c r="BR9" s="45">
        <v>5.7711325725556497</v>
      </c>
      <c r="BS9" s="45">
        <v>5.9801340417823896</v>
      </c>
      <c r="BT9" s="45">
        <v>0.45867070329670301</v>
      </c>
      <c r="BU9" s="45">
        <v>0.47541237205651499</v>
      </c>
      <c r="BV9" s="45">
        <v>0.60213290266875996</v>
      </c>
      <c r="BW9" s="45">
        <v>0.458686996336996</v>
      </c>
      <c r="BX9" s="45">
        <v>0.63192206959706998</v>
      </c>
      <c r="BY9" s="45">
        <v>0.69189706959706898</v>
      </c>
      <c r="BZ9" s="45">
        <v>0.12441023076923099</v>
      </c>
      <c r="CA9" s="45">
        <v>0.18464496546310799</v>
      </c>
      <c r="CB9" s="45">
        <v>0.29487916640502398</v>
      </c>
      <c r="CC9" s="45">
        <v>0.20500813186813199</v>
      </c>
      <c r="CD9" s="45">
        <v>0.30429544740973302</v>
      </c>
      <c r="CE9" s="45">
        <v>0.35161114599686</v>
      </c>
      <c r="CF9" s="45">
        <v>9.6647050235478801E-2</v>
      </c>
      <c r="CG9" s="45">
        <v>9.06148008974407E-2</v>
      </c>
      <c r="CH9" s="45">
        <v>8.8729528800366303E-2</v>
      </c>
      <c r="CI9" s="45">
        <v>9.3559921817765596E-2</v>
      </c>
      <c r="CJ9" s="46">
        <v>3.7560729277092301E-5</v>
      </c>
      <c r="CK9" s="46">
        <v>3.52163671494752E-5</v>
      </c>
      <c r="CL9" s="46">
        <v>3.4483678519254801E-5</v>
      </c>
      <c r="CM9" s="46">
        <v>3.6360953448871698E-5</v>
      </c>
      <c r="CN9" s="43">
        <v>554.67983058284005</v>
      </c>
      <c r="CO9" s="43">
        <v>543.59402436892901</v>
      </c>
      <c r="CP9" s="43">
        <v>540.687251639019</v>
      </c>
      <c r="CQ9" s="43">
        <v>563.99768178215299</v>
      </c>
      <c r="CR9" s="43">
        <v>780.81676237908698</v>
      </c>
      <c r="CS9" s="43">
        <v>1081.93671610413</v>
      </c>
      <c r="CT9" s="47">
        <v>-0.22736419999999999</v>
      </c>
      <c r="CU9" s="47">
        <v>-0.39192399999999999</v>
      </c>
      <c r="CV9" s="47">
        <v>-0.12428740000000001</v>
      </c>
      <c r="CW9" s="47">
        <v>0.33914559999999999</v>
      </c>
      <c r="CX9" s="47">
        <v>-0.4175199</v>
      </c>
      <c r="CY9" s="41">
        <v>0.37298253319275898</v>
      </c>
      <c r="CZ9" s="41">
        <v>0.53793434103625704</v>
      </c>
      <c r="DA9" s="41">
        <v>0.54402539551794304</v>
      </c>
      <c r="DB9" s="48" t="s">
        <v>146</v>
      </c>
    </row>
    <row r="10" spans="1:118" s="49" customFormat="1" ht="31.5" customHeight="1">
      <c r="A10" s="37" t="s">
        <v>147</v>
      </c>
      <c r="B10" s="96" t="s">
        <v>125</v>
      </c>
      <c r="C10" s="38" t="s">
        <v>100</v>
      </c>
      <c r="D10" s="39" t="s">
        <v>148</v>
      </c>
      <c r="E10" s="39">
        <v>3803390.1915941099</v>
      </c>
      <c r="F10" s="39">
        <v>485497.8475728</v>
      </c>
      <c r="G10" s="40">
        <v>1094.32</v>
      </c>
      <c r="H10" s="39">
        <v>227315.88159999999</v>
      </c>
      <c r="I10" s="39">
        <v>29164</v>
      </c>
      <c r="J10" s="39">
        <v>2145593.8073423002</v>
      </c>
      <c r="K10" s="39">
        <v>275235</v>
      </c>
      <c r="L10" s="39">
        <v>63135.735809999896</v>
      </c>
      <c r="M10" s="39">
        <v>8099</v>
      </c>
      <c r="N10" s="41">
        <v>0.12843206714262401</v>
      </c>
      <c r="O10" s="41">
        <v>4.7097934492342897E-2</v>
      </c>
      <c r="P10" s="41">
        <v>2.94257634385162E-2</v>
      </c>
      <c r="Q10" s="41">
        <v>8.1673236314761505E-2</v>
      </c>
      <c r="R10" s="41">
        <v>9.93620198181078E-2</v>
      </c>
      <c r="S10" s="41">
        <v>0.29262103963790997</v>
      </c>
      <c r="T10" s="41">
        <v>0.29262103963790997</v>
      </c>
      <c r="U10" s="41">
        <v>-0.23144973254697601</v>
      </c>
      <c r="V10" s="41">
        <v>0.11068885458955401</v>
      </c>
      <c r="W10" s="41">
        <v>0.10899957287569401</v>
      </c>
      <c r="X10" s="42">
        <v>3724627.8178853202</v>
      </c>
      <c r="Y10" s="42">
        <v>475422.8475728</v>
      </c>
      <c r="Z10" s="41">
        <v>0.296510821309656</v>
      </c>
      <c r="AA10" s="42">
        <v>2232256.1545307701</v>
      </c>
      <c r="AB10" s="42">
        <v>66663.957749230802</v>
      </c>
      <c r="AC10" s="42">
        <v>104959.278430769</v>
      </c>
      <c r="AD10" s="43">
        <v>57.053171158863499</v>
      </c>
      <c r="AE10" s="43">
        <v>51.687613270343</v>
      </c>
      <c r="AF10" s="43">
        <v>46.888178326196197</v>
      </c>
      <c r="AG10" s="43">
        <v>53.670447866392564</v>
      </c>
      <c r="AH10" s="43">
        <v>1.7038323240253701</v>
      </c>
      <c r="AI10" s="43">
        <v>1.5700454419001999</v>
      </c>
      <c r="AJ10" s="43">
        <v>1.45226412634581</v>
      </c>
      <c r="AK10" s="43"/>
      <c r="AL10" s="43">
        <v>35.486408382104699</v>
      </c>
      <c r="AM10" s="43">
        <v>27.9648934745058</v>
      </c>
      <c r="AN10" s="43">
        <v>25.553506221143401</v>
      </c>
      <c r="AO10" s="43">
        <v>15.132016256081499</v>
      </c>
      <c r="AP10" s="43">
        <v>12.5626267379713</v>
      </c>
      <c r="AQ10" s="43">
        <v>10.9056528580508</v>
      </c>
      <c r="AR10" s="43">
        <v>11.5621202996397</v>
      </c>
      <c r="AS10" s="41">
        <v>0.296510821309656</v>
      </c>
      <c r="AT10" s="41">
        <v>0.28724</v>
      </c>
      <c r="AU10" s="41">
        <v>0.26458999999999999</v>
      </c>
      <c r="AV10" s="44">
        <v>0.53711384570225995</v>
      </c>
      <c r="AW10" s="44">
        <v>0.49382264785437502</v>
      </c>
      <c r="AX10" s="44">
        <v>0.53530959865487304</v>
      </c>
      <c r="AY10" s="44">
        <v>8.5310884518697797E-2</v>
      </c>
      <c r="AZ10" s="44">
        <v>0.108816183275966</v>
      </c>
      <c r="BA10" s="44">
        <v>0.11049496666962701</v>
      </c>
      <c r="BB10" s="45">
        <v>8.1110476190476195</v>
      </c>
      <c r="BC10" s="45">
        <v>11.8555833333333</v>
      </c>
      <c r="BD10" s="45">
        <v>10.8538452380952</v>
      </c>
      <c r="BE10" s="45">
        <v>12.7764009153214</v>
      </c>
      <c r="BF10" s="45">
        <v>14.7292379201107</v>
      </c>
      <c r="BG10" s="45">
        <v>15.302553196503601</v>
      </c>
      <c r="BH10" s="45">
        <v>4.1279285714285701</v>
      </c>
      <c r="BI10" s="45">
        <v>7.5544047619047596</v>
      </c>
      <c r="BJ10" s="45">
        <v>5.8486071428571398</v>
      </c>
      <c r="BK10" s="45">
        <v>6.8187958147063998</v>
      </c>
      <c r="BL10" s="45">
        <v>7.5226846793997</v>
      </c>
      <c r="BM10" s="45">
        <v>8.8964660771914605</v>
      </c>
      <c r="BN10" s="45">
        <v>233.28688095238101</v>
      </c>
      <c r="BO10" s="45">
        <v>243.027761904762</v>
      </c>
      <c r="BP10" s="45">
        <v>262.52263095238101</v>
      </c>
      <c r="BQ10" s="45">
        <v>282.94783894492701</v>
      </c>
      <c r="BR10" s="45">
        <v>309.225332456758</v>
      </c>
      <c r="BS10" s="45">
        <v>334.304080735931</v>
      </c>
      <c r="BT10" s="45">
        <v>9.8537738095238101</v>
      </c>
      <c r="BU10" s="45">
        <v>10.393083333333299</v>
      </c>
      <c r="BV10" s="45">
        <v>11.970952380952401</v>
      </c>
      <c r="BW10" s="45">
        <v>13.1759896059593</v>
      </c>
      <c r="BX10" s="45">
        <v>14.717966666666699</v>
      </c>
      <c r="BY10" s="45">
        <v>16.1068452380952</v>
      </c>
      <c r="BZ10" s="45">
        <v>5.9809761904761896</v>
      </c>
      <c r="CA10" s="45">
        <v>6.5277023809523804</v>
      </c>
      <c r="CB10" s="45">
        <v>7.6373214285714299</v>
      </c>
      <c r="CC10" s="45">
        <v>8.3099475210467304</v>
      </c>
      <c r="CD10" s="45">
        <v>9.4183376906318106</v>
      </c>
      <c r="CE10" s="45">
        <v>10.3819447751323</v>
      </c>
      <c r="CF10" s="45">
        <v>5.6897500000000001</v>
      </c>
      <c r="CG10" s="45">
        <v>2.35183542149657</v>
      </c>
      <c r="CH10" s="45">
        <v>4.3629675912349501</v>
      </c>
      <c r="CI10" s="45">
        <v>3.06429747193088</v>
      </c>
      <c r="CJ10" s="46">
        <v>1.1719413440132399E-5</v>
      </c>
      <c r="CK10" s="46">
        <v>4.8441727048932303E-6</v>
      </c>
      <c r="CL10" s="46">
        <v>8.9865848284337208E-6</v>
      </c>
      <c r="CM10" s="46">
        <v>6.3116602622453297E-6</v>
      </c>
      <c r="CN10" s="43">
        <v>18203.0747884681</v>
      </c>
      <c r="CO10" s="43">
        <v>16602.223006074699</v>
      </c>
      <c r="CP10" s="43">
        <v>15043.9037187301</v>
      </c>
      <c r="CQ10" s="43">
        <v>14440.370437612401</v>
      </c>
      <c r="CR10" s="43">
        <v>14496.7439352738</v>
      </c>
      <c r="CS10" s="43">
        <v>16842.298414881701</v>
      </c>
      <c r="CT10" s="47">
        <v>9.6688819999999995E-2</v>
      </c>
      <c r="CU10" s="47">
        <v>0.1106803</v>
      </c>
      <c r="CV10" s="47">
        <v>0.22504450000000001</v>
      </c>
      <c r="CW10" s="47">
        <v>5.5458090000000002E-2</v>
      </c>
      <c r="CX10" s="47">
        <v>0.26901219999999998</v>
      </c>
      <c r="CY10" s="41">
        <v>0.18496034818183499</v>
      </c>
      <c r="CZ10" s="41">
        <v>0.18377652678834999</v>
      </c>
      <c r="DA10" s="41">
        <v>0.195265603273132</v>
      </c>
      <c r="DB10" s="48" t="s">
        <v>149</v>
      </c>
    </row>
    <row r="11" spans="1:118" s="49" customFormat="1" ht="31.5" customHeight="1">
      <c r="A11" s="37" t="s">
        <v>150</v>
      </c>
      <c r="B11" s="96" t="s">
        <v>126</v>
      </c>
      <c r="C11" s="38" t="s">
        <v>101</v>
      </c>
      <c r="D11" s="39" t="s">
        <v>142</v>
      </c>
      <c r="E11" s="39">
        <v>135311.196308399</v>
      </c>
      <c r="F11" s="39">
        <v>17272.299514632301</v>
      </c>
      <c r="G11" s="40">
        <v>1833</v>
      </c>
      <c r="H11" s="39">
        <v>118036.0232688</v>
      </c>
      <c r="I11" s="39">
        <v>15168.216</v>
      </c>
      <c r="J11" s="39">
        <v>198050.84302384601</v>
      </c>
      <c r="K11" s="39">
        <v>25404.338206923101</v>
      </c>
      <c r="L11" s="39">
        <v>10432.2994038462</v>
      </c>
      <c r="M11" s="39">
        <v>1338.1698269230801</v>
      </c>
      <c r="N11" s="41">
        <v>0.23922092604964301</v>
      </c>
      <c r="O11" s="41">
        <v>0.13253507374479701</v>
      </c>
      <c r="P11" s="41">
        <v>5.2674854822961102E-2</v>
      </c>
      <c r="Q11" s="41">
        <v>-2.71959206119082E-2</v>
      </c>
      <c r="R11" s="41">
        <v>-0.29553264604811003</v>
      </c>
      <c r="S11" s="41">
        <v>0.32951904165921703</v>
      </c>
      <c r="T11" s="41">
        <v>0.33330319197034097</v>
      </c>
      <c r="U11" s="41">
        <v>0.23502592526372301</v>
      </c>
      <c r="V11" s="41">
        <v>0.19107355761754199</v>
      </c>
      <c r="W11" s="41">
        <v>4.9596700514239499E-2</v>
      </c>
      <c r="X11" s="42">
        <v>168838.27876835901</v>
      </c>
      <c r="Y11" s="42">
        <v>21558.664839783702</v>
      </c>
      <c r="Z11" s="41">
        <v>8.4613671788020497E-2</v>
      </c>
      <c r="AA11" s="42">
        <v>202525.20461538501</v>
      </c>
      <c r="AB11" s="42">
        <v>9907.2576923076904</v>
      </c>
      <c r="AC11" s="42">
        <v>24622.142538461499</v>
      </c>
      <c r="AD11" s="43">
        <v>13.6577850814821</v>
      </c>
      <c r="AE11" s="43">
        <v>11.2746597489185</v>
      </c>
      <c r="AF11" s="43">
        <v>10.646149380396301</v>
      </c>
      <c r="AG11" s="43">
        <v>10.963299886363354</v>
      </c>
      <c r="AH11" s="43">
        <v>0.66812027947517905</v>
      </c>
      <c r="AI11" s="43">
        <v>0.68200855424378604</v>
      </c>
      <c r="AJ11" s="43">
        <v>0.64486100444100403</v>
      </c>
      <c r="AK11" s="43"/>
      <c r="AL11" s="43">
        <v>6.8571725025399903</v>
      </c>
      <c r="AM11" s="43">
        <v>7.2901670277806199</v>
      </c>
      <c r="AN11" s="43">
        <v>6.9691059195078102</v>
      </c>
      <c r="AO11" s="43">
        <v>1.1298632841178</v>
      </c>
      <c r="AP11" s="43">
        <v>1.1192198582867601</v>
      </c>
      <c r="AQ11" s="43">
        <v>1.04948985517678</v>
      </c>
      <c r="AR11" s="43">
        <v>1.07519943688409</v>
      </c>
      <c r="AS11" s="41">
        <v>8.4613671788020497E-2</v>
      </c>
      <c r="AT11" s="41">
        <v>9.8140000000000005E-2</v>
      </c>
      <c r="AU11" s="41">
        <v>0.10043000000000001</v>
      </c>
      <c r="AV11" s="44">
        <v>3.4369885433715202</v>
      </c>
      <c r="AW11" s="44">
        <v>3.2460447354064401</v>
      </c>
      <c r="AX11" s="44">
        <v>3.37152209492635</v>
      </c>
      <c r="AY11" s="44">
        <v>2.3239674312065502E-3</v>
      </c>
      <c r="AZ11" s="44">
        <v>8.7649320633582696E-3</v>
      </c>
      <c r="BA11" s="44">
        <v>-0.10748367937964901</v>
      </c>
      <c r="BB11" s="45">
        <v>1.1691067398969801</v>
      </c>
      <c r="BC11" s="45">
        <v>2.9357923093629399</v>
      </c>
      <c r="BD11" s="45">
        <v>3.3824466107918298</v>
      </c>
      <c r="BE11" s="45">
        <v>2.3953423857395801</v>
      </c>
      <c r="BF11" s="45">
        <v>1.9686017077040401</v>
      </c>
      <c r="BG11" s="45">
        <v>2.0516050833024702</v>
      </c>
      <c r="BH11" s="45">
        <v>0.21227288250686799</v>
      </c>
      <c r="BI11" s="45">
        <v>1.62103495484005</v>
      </c>
      <c r="BJ11" s="45">
        <v>1.9691316122650999</v>
      </c>
      <c r="BK11" s="45">
        <v>0.91571911775604398</v>
      </c>
      <c r="BL11" s="45">
        <v>0.94270928425426703</v>
      </c>
      <c r="BM11" s="45">
        <v>0.92799303836477998</v>
      </c>
      <c r="BN11" s="45">
        <v>21.9379776592308</v>
      </c>
      <c r="BO11" s="45">
        <v>24.950845464699398</v>
      </c>
      <c r="BP11" s="45">
        <v>25.454993010381301</v>
      </c>
      <c r="BQ11" s="45">
        <v>26.1372909879966</v>
      </c>
      <c r="BR11" s="45">
        <v>25.573443637769699</v>
      </c>
      <c r="BS11" s="45">
        <v>27.046615010546699</v>
      </c>
      <c r="BT11" s="45">
        <v>2.3553044384752702</v>
      </c>
      <c r="BU11" s="45">
        <v>2.94009494553227</v>
      </c>
      <c r="BV11" s="45">
        <v>3.38787794466338</v>
      </c>
      <c r="BW11" s="45">
        <v>3.5387547337278198</v>
      </c>
      <c r="BX11" s="45">
        <v>3.4475272551619001</v>
      </c>
      <c r="BY11" s="45">
        <v>3.6063520648472598</v>
      </c>
      <c r="BZ11" s="45">
        <v>0.89085900379807703</v>
      </c>
      <c r="CA11" s="45">
        <v>1.4193106677468299</v>
      </c>
      <c r="CB11" s="45">
        <v>1.7471448044198099</v>
      </c>
      <c r="CC11" s="45">
        <v>1.53778994386447</v>
      </c>
      <c r="CD11" s="45">
        <v>1.3917500124403901</v>
      </c>
      <c r="CE11" s="45">
        <v>1.4961077611859801</v>
      </c>
      <c r="CF11" s="45">
        <v>0.776104233333333</v>
      </c>
      <c r="CG11" s="45">
        <v>0.49583444796958098</v>
      </c>
      <c r="CH11" s="45">
        <v>0.55177702616167901</v>
      </c>
      <c r="CI11" s="45">
        <v>0.47900223425027499</v>
      </c>
      <c r="CJ11" s="46">
        <v>4.4933463125500702E-5</v>
      </c>
      <c r="CK11" s="46">
        <v>2.8706915807564199E-5</v>
      </c>
      <c r="CL11" s="46">
        <v>3.19457768604719E-5</v>
      </c>
      <c r="CM11" s="46">
        <v>2.7732395089865498E-5</v>
      </c>
      <c r="CN11" s="43">
        <v>129.29820265016201</v>
      </c>
      <c r="CO11" s="43">
        <v>135.86172772068201</v>
      </c>
      <c r="CP11" s="43">
        <v>149.59611564624299</v>
      </c>
      <c r="CQ11" s="43">
        <v>163.17554024451101</v>
      </c>
      <c r="CR11" s="43">
        <v>160.58720074141499</v>
      </c>
      <c r="CS11" s="43">
        <v>154.519152941719</v>
      </c>
      <c r="CT11" s="47">
        <v>-2.758621E-2</v>
      </c>
      <c r="CU11" s="47">
        <v>-6.1684160000000002E-2</v>
      </c>
      <c r="CV11" s="47">
        <v>-0.12672700000000001</v>
      </c>
      <c r="CW11" s="47">
        <v>-0.1390324</v>
      </c>
      <c r="CX11" s="47">
        <v>-0.13822280000000001</v>
      </c>
      <c r="CY11" s="41">
        <v>0.218251528811088</v>
      </c>
      <c r="CZ11" s="41">
        <v>0.21275674971744901</v>
      </c>
      <c r="DA11" s="41">
        <v>0.27060939873926698</v>
      </c>
      <c r="DB11" s="48" t="s">
        <v>151</v>
      </c>
    </row>
    <row r="12" spans="1:118" s="49" customFormat="1" ht="31.5" customHeight="1">
      <c r="A12" s="37" t="s">
        <v>152</v>
      </c>
      <c r="B12" s="96" t="s">
        <v>129</v>
      </c>
      <c r="C12" s="38" t="s">
        <v>102</v>
      </c>
      <c r="D12" s="39" t="s">
        <v>153</v>
      </c>
      <c r="E12" s="39">
        <v>62764.157357330703</v>
      </c>
      <c r="F12" s="39">
        <v>8012.0704028399996</v>
      </c>
      <c r="G12" s="40">
        <v>135.41999999999999</v>
      </c>
      <c r="H12" s="39">
        <v>2450.0992835000002</v>
      </c>
      <c r="I12" s="39">
        <v>314.76499999999999</v>
      </c>
      <c r="J12" s="39">
        <v>8430.3509713471194</v>
      </c>
      <c r="K12" s="39">
        <v>1081.3920000000001</v>
      </c>
      <c r="L12" s="39">
        <v>1714.67778145747</v>
      </c>
      <c r="M12" s="39">
        <v>219.94800000000001</v>
      </c>
      <c r="N12" s="41">
        <v>0.56321204521579604</v>
      </c>
      <c r="O12" s="41">
        <v>0.269977029606285</v>
      </c>
      <c r="P12" s="41">
        <v>0.20339340405699299</v>
      </c>
      <c r="Q12" s="41">
        <v>3.7453758423258099E-2</v>
      </c>
      <c r="R12" s="41">
        <v>7.2539429576303901E-3</v>
      </c>
      <c r="S12" s="41">
        <v>0.19399552046765101</v>
      </c>
      <c r="T12" s="41">
        <v>0.19399552046765101</v>
      </c>
      <c r="U12" s="41">
        <v>-0.85042492017854598</v>
      </c>
      <c r="V12" s="41">
        <v>7.2747049040491396E-2</v>
      </c>
      <c r="W12" s="41">
        <v>0.299098745892174</v>
      </c>
      <c r="X12" s="42">
        <v>61427.690191527698</v>
      </c>
      <c r="Y12" s="42">
        <v>7841.6224028400002</v>
      </c>
      <c r="Z12" s="41">
        <v>0.96236036156084104</v>
      </c>
      <c r="AA12" s="42">
        <v>8590.7452934252906</v>
      </c>
      <c r="AB12" s="42">
        <v>1690.8118184796899</v>
      </c>
      <c r="AC12" s="42">
        <v>2248.89576332874</v>
      </c>
      <c r="AD12" s="43">
        <v>37.120723117351702</v>
      </c>
      <c r="AE12" s="43">
        <v>25.272783484095601</v>
      </c>
      <c r="AF12" s="43">
        <v>22.7056025992363</v>
      </c>
      <c r="AG12" s="43">
        <v>27.839920238129505</v>
      </c>
      <c r="AH12" s="43">
        <v>7.3060200498978398</v>
      </c>
      <c r="AI12" s="43">
        <v>6.9463798521838402</v>
      </c>
      <c r="AJ12" s="43">
        <v>6.3989912501881197</v>
      </c>
      <c r="AK12" s="43"/>
      <c r="AL12" s="43">
        <v>27.314600877990301</v>
      </c>
      <c r="AM12" s="43">
        <v>22.767814938659502</v>
      </c>
      <c r="AN12" s="43">
        <v>20.555925877140101</v>
      </c>
      <c r="AO12" s="43">
        <v>39.0498618170176</v>
      </c>
      <c r="AP12" s="43">
        <v>28.5094732987253</v>
      </c>
      <c r="AQ12" s="43">
        <v>12.603071025495099</v>
      </c>
      <c r="AR12" s="43">
        <v>26.244186046511601</v>
      </c>
      <c r="AS12" s="41">
        <v>0.96236036156084104</v>
      </c>
      <c r="AT12" s="41">
        <v>1.0577300000000001</v>
      </c>
      <c r="AU12" s="41">
        <v>1.47583</v>
      </c>
      <c r="AV12" s="44" t="s">
        <v>139</v>
      </c>
      <c r="AW12" s="44">
        <v>0</v>
      </c>
      <c r="AX12" s="44">
        <v>0</v>
      </c>
      <c r="AY12" s="44">
        <v>5.1927743394516501E-2</v>
      </c>
      <c r="AZ12" s="44">
        <v>0.219506293467923</v>
      </c>
      <c r="BA12" s="44">
        <v>7.3823963904575702E-3</v>
      </c>
      <c r="BB12" s="45">
        <v>0.17963000000000001</v>
      </c>
      <c r="BC12" s="45">
        <v>0.24621799999999999</v>
      </c>
      <c r="BD12" s="45">
        <v>0.29500300000000002</v>
      </c>
      <c r="BE12" s="45">
        <v>0.33073012518</v>
      </c>
      <c r="BF12" s="45">
        <v>0.38220332891999997</v>
      </c>
      <c r="BG12" s="45">
        <v>0.41356056798000002</v>
      </c>
      <c r="BH12" s="45">
        <v>0.173043</v>
      </c>
      <c r="BI12" s="45">
        <v>0.24148800000000001</v>
      </c>
      <c r="BJ12" s="45">
        <v>0.28632800000000003</v>
      </c>
      <c r="BK12" s="45">
        <v>0.31997960154057897</v>
      </c>
      <c r="BL12" s="45">
        <v>0.37471903830393999</v>
      </c>
      <c r="BM12" s="45">
        <v>0.41477037664316702</v>
      </c>
      <c r="BN12" s="45">
        <v>0.76708399999999999</v>
      </c>
      <c r="BO12" s="45">
        <v>0.92872500000000002</v>
      </c>
      <c r="BP12" s="45">
        <v>1.0423519999999999</v>
      </c>
      <c r="BQ12" s="45">
        <v>1.0758333333333301</v>
      </c>
      <c r="BR12" s="45">
        <v>1.1534166666666701</v>
      </c>
      <c r="BS12" s="45">
        <v>1.2520833333333301</v>
      </c>
      <c r="BT12" s="45">
        <v>0.16666300000000001</v>
      </c>
      <c r="BU12" s="45">
        <v>0.22343299999999999</v>
      </c>
      <c r="BV12" s="45">
        <v>0.276897</v>
      </c>
      <c r="BW12" s="45">
        <v>0.39100000000000001</v>
      </c>
      <c r="BX12" s="45">
        <v>0.4118</v>
      </c>
      <c r="BY12" s="45">
        <v>0.45611111111111102</v>
      </c>
      <c r="BZ12" s="45">
        <v>0.12895899999999999</v>
      </c>
      <c r="CA12" s="45">
        <v>0.176568</v>
      </c>
      <c r="CB12" s="45">
        <v>0.218364</v>
      </c>
      <c r="CC12" s="45">
        <v>0.21440000000000001</v>
      </c>
      <c r="CD12" s="45">
        <v>0.22159999999999999</v>
      </c>
      <c r="CE12" s="45">
        <v>0.25369999999999998</v>
      </c>
      <c r="CF12" s="45">
        <v>0</v>
      </c>
      <c r="CG12" s="45" t="e">
        <f>#VALUE!</f>
        <v>#VALUE!</v>
      </c>
      <c r="CH12" s="45" t="e">
        <f>#VALUE!</f>
        <v>#VALUE!</v>
      </c>
      <c r="CI12" s="45" t="e">
        <f>#VALUE!</f>
        <v>#VALUE!</v>
      </c>
      <c r="CJ12" s="46">
        <v>0</v>
      </c>
      <c r="CK12" s="46" t="e">
        <f>#VALUE!</f>
        <v>#VALUE!</v>
      </c>
      <c r="CL12" s="46" t="e">
        <f>#VALUE!</f>
        <v>#VALUE!</v>
      </c>
      <c r="CM12" s="46" t="e">
        <f>#VALUE!</f>
        <v>#VALUE!</v>
      </c>
      <c r="CN12" s="43">
        <v>570.01421772369599</v>
      </c>
      <c r="CO12" s="43">
        <v>599.991875361643</v>
      </c>
      <c r="CP12" s="43">
        <v>758.04170228256805</v>
      </c>
      <c r="CQ12" s="43">
        <v>801.78105716139896</v>
      </c>
      <c r="CR12" s="43">
        <v>751.70416812377096</v>
      </c>
      <c r="CS12" s="43">
        <v>834.43367871048599</v>
      </c>
      <c r="CT12" s="47">
        <v>1.1880730000000001E-2</v>
      </c>
      <c r="CU12" s="47">
        <v>-6.1343340000000003E-2</v>
      </c>
      <c r="CV12" s="47">
        <v>-0.19713049999999999</v>
      </c>
      <c r="CW12" s="47">
        <v>-0.29413610000000001</v>
      </c>
      <c r="CX12" s="47">
        <v>-0.2186256</v>
      </c>
      <c r="CY12" s="41">
        <v>0.51654274752128804</v>
      </c>
      <c r="CZ12" s="41">
        <v>0.49307173940773702</v>
      </c>
      <c r="DA12" s="41">
        <v>0.436774860736315</v>
      </c>
      <c r="DB12" s="48" t="s">
        <v>154</v>
      </c>
    </row>
    <row r="13" spans="1:118" s="49" customFormat="1" ht="15.75" customHeight="1">
      <c r="A13" s="37" t="s">
        <v>155</v>
      </c>
      <c r="B13" s="96" t="s">
        <v>130</v>
      </c>
      <c r="C13" s="38" t="s">
        <v>103</v>
      </c>
      <c r="D13" s="39" t="s">
        <v>156</v>
      </c>
      <c r="E13" s="39">
        <v>159732.89476201899</v>
      </c>
      <c r="F13" s="39">
        <v>20390.47845726</v>
      </c>
      <c r="G13" s="40">
        <v>173.02</v>
      </c>
      <c r="H13" s="39">
        <v>14366.331683300001</v>
      </c>
      <c r="I13" s="39">
        <v>1845.6469999999999</v>
      </c>
      <c r="J13" s="39">
        <v>126547.902448601</v>
      </c>
      <c r="K13" s="39">
        <v>16232.763000000001</v>
      </c>
      <c r="L13" s="39">
        <v>4576.7851792961701</v>
      </c>
      <c r="M13" s="39">
        <v>587.08100000000002</v>
      </c>
      <c r="N13" s="41">
        <v>8.3735097962066005E-2</v>
      </c>
      <c r="O13" s="41">
        <v>6.3262366363631403E-2</v>
      </c>
      <c r="P13" s="41">
        <v>3.6166424656110599E-2</v>
      </c>
      <c r="Q13" s="41">
        <v>-8.4185991773406799E-2</v>
      </c>
      <c r="R13" s="41">
        <v>0.26066911464708298</v>
      </c>
      <c r="S13" s="41">
        <v>0.75604164826751796</v>
      </c>
      <c r="T13" s="41">
        <v>0.75604164826751796</v>
      </c>
      <c r="U13" s="41">
        <v>0.66887926022690103</v>
      </c>
      <c r="V13" s="41">
        <v>0.275856247285446</v>
      </c>
      <c r="W13" s="41">
        <v>0.11451705978464199</v>
      </c>
      <c r="X13" s="42">
        <v>171375.224069538</v>
      </c>
      <c r="Y13" s="42">
        <v>21875.29945726</v>
      </c>
      <c r="Z13" s="41">
        <v>0.348379659920799</v>
      </c>
      <c r="AA13" s="42">
        <v>126415.86599639201</v>
      </c>
      <c r="AB13" s="42">
        <v>4674.6602711662899</v>
      </c>
      <c r="AC13" s="42">
        <v>7712.5744960888896</v>
      </c>
      <c r="AD13" s="43">
        <v>34.169947225312903</v>
      </c>
      <c r="AE13" s="43">
        <v>28.120531184576301</v>
      </c>
      <c r="AF13" s="43">
        <v>23.718265651212</v>
      </c>
      <c r="AG13" s="43">
        <v>35.431550790072322</v>
      </c>
      <c r="AH13" s="43">
        <v>1.26355100685366</v>
      </c>
      <c r="AI13" s="43">
        <v>1.2081684715160601</v>
      </c>
      <c r="AJ13" s="43">
        <v>1.1362245373370601</v>
      </c>
      <c r="AK13" s="43"/>
      <c r="AL13" s="43">
        <v>22.2202358183306</v>
      </c>
      <c r="AM13" s="43">
        <v>21.826218369867199</v>
      </c>
      <c r="AN13" s="43">
        <v>18.8130969819168</v>
      </c>
      <c r="AO13" s="43">
        <v>11.996521752165</v>
      </c>
      <c r="AP13" s="43">
        <v>11.525446594222</v>
      </c>
      <c r="AQ13" s="43">
        <v>10.786783308756901</v>
      </c>
      <c r="AR13" s="43">
        <v>11.0379585326954</v>
      </c>
      <c r="AS13" s="41">
        <v>0.348379659920799</v>
      </c>
      <c r="AT13" s="41">
        <v>0.39700999999999997</v>
      </c>
      <c r="AU13" s="41">
        <v>0.46160000000000001</v>
      </c>
      <c r="AV13" s="44">
        <v>1.4563948338013699</v>
      </c>
      <c r="AW13" s="44">
        <v>1.45243324471159</v>
      </c>
      <c r="AX13" s="44">
        <v>1.4784417986359999</v>
      </c>
      <c r="AY13" s="44">
        <v>-2.4207711480053101E-2</v>
      </c>
      <c r="AZ13" s="44">
        <v>9.7445036927798406E-2</v>
      </c>
      <c r="BA13" s="44">
        <v>0.25302499973189502</v>
      </c>
      <c r="BB13" s="45">
        <v>1.6501710000000001</v>
      </c>
      <c r="BC13" s="45">
        <v>0.73194599999999999</v>
      </c>
      <c r="BD13" s="45">
        <v>0.50908399999999998</v>
      </c>
      <c r="BE13" s="45">
        <v>0.83654122758739602</v>
      </c>
      <c r="BF13" s="45">
        <v>0.81848957959924096</v>
      </c>
      <c r="BG13" s="45">
        <v>0.97863258266178199</v>
      </c>
      <c r="BH13" s="45">
        <v>1.5882559999999999</v>
      </c>
      <c r="BI13" s="45">
        <v>0.70195700000000005</v>
      </c>
      <c r="BJ13" s="45">
        <v>0.486431</v>
      </c>
      <c r="BK13" s="45">
        <v>0.74980138801137097</v>
      </c>
      <c r="BL13" s="45">
        <v>0.74545011129629002</v>
      </c>
      <c r="BM13" s="45">
        <v>0.88281302670574802</v>
      </c>
      <c r="BN13" s="45">
        <v>24.696625000000001</v>
      </c>
      <c r="BO13" s="45">
        <v>17.596443000000001</v>
      </c>
      <c r="BP13" s="45">
        <v>17.724955999999999</v>
      </c>
      <c r="BQ13" s="45">
        <v>16.298708333333298</v>
      </c>
      <c r="BR13" s="45">
        <v>16.8771818181818</v>
      </c>
      <c r="BS13" s="45">
        <v>17.945818181818201</v>
      </c>
      <c r="BT13" s="45">
        <v>1.4515899999999999</v>
      </c>
      <c r="BU13" s="45">
        <v>0.71422699999999995</v>
      </c>
      <c r="BV13" s="45">
        <v>0.875135</v>
      </c>
      <c r="BW13" s="45">
        <v>0.91273913043478305</v>
      </c>
      <c r="BX13" s="45">
        <v>1.054</v>
      </c>
      <c r="BY13" s="45">
        <v>1.22280952380952</v>
      </c>
      <c r="BZ13" s="45">
        <v>0.94052400000000003</v>
      </c>
      <c r="CA13" s="45">
        <v>0.325129</v>
      </c>
      <c r="CB13" s="45">
        <v>0.46568999999999999</v>
      </c>
      <c r="CC13" s="45">
        <v>0.59589999999999999</v>
      </c>
      <c r="CD13" s="45">
        <v>0.73116666666666696</v>
      </c>
      <c r="CE13" s="45">
        <v>0.88388888888888895</v>
      </c>
      <c r="CF13" s="45">
        <v>0.29477199999999998</v>
      </c>
      <c r="CG13" s="45">
        <v>0.30527601618839401</v>
      </c>
      <c r="CH13" s="45">
        <v>0.307680542387194</v>
      </c>
      <c r="CI13" s="45">
        <v>0.32098167369792802</v>
      </c>
      <c r="CJ13" s="46">
        <v>1.44563552355019E-5</v>
      </c>
      <c r="CK13" s="46">
        <v>1.4971498428949401E-5</v>
      </c>
      <c r="CL13" s="46">
        <v>1.50894224003677E-5</v>
      </c>
      <c r="CM13" s="46">
        <v>1.5741743106751E-5</v>
      </c>
      <c r="CN13" s="43">
        <v>3712.5822223771302</v>
      </c>
      <c r="CO13" s="43">
        <v>2629.6554793098298</v>
      </c>
      <c r="CP13" s="43">
        <v>2914.86797897413</v>
      </c>
      <c r="CQ13" s="43">
        <v>2854.8894814635701</v>
      </c>
      <c r="CR13" s="43">
        <v>2562.96123733078</v>
      </c>
      <c r="CS13" s="43">
        <v>2752.9249708257398</v>
      </c>
      <c r="CT13" s="47">
        <v>-5.94183E-2</v>
      </c>
      <c r="CU13" s="47">
        <v>-8.9655890000000002E-2</v>
      </c>
      <c r="CV13" s="47">
        <v>0.16456879999999999</v>
      </c>
      <c r="CW13" s="47">
        <v>0.72898969999999996</v>
      </c>
      <c r="CX13" s="47">
        <v>7.6262789999999997E-2</v>
      </c>
      <c r="CY13" s="41">
        <v>0.44536684969687501</v>
      </c>
      <c r="CZ13" s="41">
        <v>0.42336610813705799</v>
      </c>
      <c r="DA13" s="41">
        <v>0.41262463713821501</v>
      </c>
      <c r="DB13" s="48" t="s">
        <v>157</v>
      </c>
    </row>
    <row r="14" spans="1:118" s="49" customFormat="1" ht="31.5" customHeight="1">
      <c r="A14" s="37" t="s">
        <v>158</v>
      </c>
      <c r="B14" s="37" t="s">
        <v>159</v>
      </c>
      <c r="C14" s="38" t="s">
        <v>104</v>
      </c>
      <c r="D14" s="39" t="s">
        <v>160</v>
      </c>
      <c r="E14" s="39">
        <v>941386.98907332204</v>
      </c>
      <c r="F14" s="39">
        <v>120166.83377326</v>
      </c>
      <c r="G14" s="40">
        <v>94.18</v>
      </c>
      <c r="H14" s="39">
        <v>586765.94979999994</v>
      </c>
      <c r="I14" s="39">
        <v>75382</v>
      </c>
      <c r="J14" s="39">
        <v>3134447.0127360099</v>
      </c>
      <c r="K14" s="39">
        <v>402067</v>
      </c>
      <c r="L14" s="39">
        <v>13783.031978544101</v>
      </c>
      <c r="M14" s="39">
        <v>1768</v>
      </c>
      <c r="N14" s="41">
        <v>0.13769346899894799</v>
      </c>
      <c r="O14" s="41">
        <v>4.82680747238644E-2</v>
      </c>
      <c r="P14" s="41">
        <v>4.3972770707369699E-3</v>
      </c>
      <c r="Q14" s="41">
        <v>7.8479865024717793E-2</v>
      </c>
      <c r="R14" s="41">
        <v>-0.61681837884698698</v>
      </c>
      <c r="S14" s="41">
        <v>1.06059802074766</v>
      </c>
      <c r="T14" s="41">
        <v>1.0629670008243199</v>
      </c>
      <c r="U14" s="41">
        <v>0.92000742882916298</v>
      </c>
      <c r="V14" s="41">
        <v>0.31533734588109102</v>
      </c>
      <c r="W14" s="41">
        <v>1.1530618866247601E-2</v>
      </c>
      <c r="X14" s="42">
        <v>1464563.1873797199</v>
      </c>
      <c r="Y14" s="42">
        <v>186890.83377326</v>
      </c>
      <c r="Z14" s="41">
        <v>3.7982964666256398E-2</v>
      </c>
      <c r="AA14" s="42">
        <v>3183270.6154636</v>
      </c>
      <c r="AB14" s="42">
        <v>22881.184208429098</v>
      </c>
      <c r="AC14" s="42">
        <v>82199.015439080496</v>
      </c>
      <c r="AD14" s="43">
        <v>41.142406813303303</v>
      </c>
      <c r="AE14" s="43">
        <v>12.7551164137226</v>
      </c>
      <c r="AF14" s="43">
        <v>11.256228776016201</v>
      </c>
      <c r="AG14" s="43">
        <v>13.818396180612558</v>
      </c>
      <c r="AH14" s="43">
        <v>0.29572948793617398</v>
      </c>
      <c r="AI14" s="43">
        <v>0.295037195620313</v>
      </c>
      <c r="AJ14" s="43">
        <v>0.28275297013182699</v>
      </c>
      <c r="AK14" s="43"/>
      <c r="AL14" s="43">
        <v>17.817283814854701</v>
      </c>
      <c r="AM14" s="43">
        <v>9.0639446193858006</v>
      </c>
      <c r="AN14" s="43">
        <v>8.7266068723634103</v>
      </c>
      <c r="AO14" s="43">
        <v>1.5478612423632601</v>
      </c>
      <c r="AP14" s="43">
        <v>1.5070608521850799</v>
      </c>
      <c r="AQ14" s="43">
        <v>1.42794329929764</v>
      </c>
      <c r="AR14" s="43">
        <v>1.3983875038976099</v>
      </c>
      <c r="AS14" s="41">
        <v>3.7982964666256398E-2</v>
      </c>
      <c r="AT14" s="41">
        <v>0.1066</v>
      </c>
      <c r="AU14" s="41">
        <v>0.11405</v>
      </c>
      <c r="AV14" s="44">
        <v>2.8243789401472599</v>
      </c>
      <c r="AW14" s="44">
        <v>2.80739010405606</v>
      </c>
      <c r="AX14" s="44">
        <v>2.9868337226587398</v>
      </c>
      <c r="AY14" s="44">
        <v>4.5227265538093198E-2</v>
      </c>
      <c r="AZ14" s="44">
        <v>8.7519531224577798E-2</v>
      </c>
      <c r="BA14" s="44">
        <v>0.30704780728345599</v>
      </c>
      <c r="BB14" s="45">
        <v>16.177</v>
      </c>
      <c r="BC14" s="45">
        <v>13.426</v>
      </c>
      <c r="BD14" s="45">
        <v>9.1069999999999993</v>
      </c>
      <c r="BE14" s="45">
        <v>6.8931972760675002</v>
      </c>
      <c r="BF14" s="45">
        <v>9.50353189163833</v>
      </c>
      <c r="BG14" s="45">
        <v>12.56788397395</v>
      </c>
      <c r="BH14" s="45">
        <v>13.45</v>
      </c>
      <c r="BI14" s="45">
        <v>10.395</v>
      </c>
      <c r="BJ14" s="45">
        <v>6.3259999999999996</v>
      </c>
      <c r="BK14" s="45">
        <v>5.5684130505766296</v>
      </c>
      <c r="BL14" s="45">
        <v>7.2600572906160403</v>
      </c>
      <c r="BM14" s="45">
        <v>10.7511119087984</v>
      </c>
      <c r="BN14" s="45">
        <v>322.46699999999998</v>
      </c>
      <c r="BO14" s="45">
        <v>357.77600000000001</v>
      </c>
      <c r="BP14" s="45">
        <v>372.80900000000003</v>
      </c>
      <c r="BQ14" s="45">
        <v>400.12447826086998</v>
      </c>
      <c r="BR14" s="45">
        <v>407.293846153846</v>
      </c>
      <c r="BS14" s="45">
        <v>424.98876000000001</v>
      </c>
      <c r="BT14" s="45">
        <v>14.696</v>
      </c>
      <c r="BU14" s="45">
        <v>20.577999999999999</v>
      </c>
      <c r="BV14" s="45">
        <v>15.468999999999999</v>
      </c>
      <c r="BW14" s="45">
        <v>17.375388888888899</v>
      </c>
      <c r="BX14" s="45">
        <v>18.295166666666699</v>
      </c>
      <c r="BY14" s="45">
        <v>19.002388888888898</v>
      </c>
      <c r="BZ14" s="45">
        <v>4.3109999999999999</v>
      </c>
      <c r="CA14" s="45">
        <v>8.3439999999999994</v>
      </c>
      <c r="CB14" s="45">
        <v>4.6139999999999999</v>
      </c>
      <c r="CC14" s="45">
        <v>-0.34181818181818202</v>
      </c>
      <c r="CD14" s="45">
        <v>7.8824375</v>
      </c>
      <c r="CE14" s="45">
        <v>9.1240625000000009</v>
      </c>
      <c r="CF14" s="45">
        <v>3.3730000000000002</v>
      </c>
      <c r="CG14" s="45">
        <v>3.3487049889721701</v>
      </c>
      <c r="CH14" s="45">
        <v>3.4198384884770001</v>
      </c>
      <c r="CI14" s="45">
        <v>3.5900269417875701</v>
      </c>
      <c r="CJ14" s="46">
        <v>2.8069309093759101E-5</v>
      </c>
      <c r="CK14" s="46">
        <v>2.78671317519339E-5</v>
      </c>
      <c r="CL14" s="46">
        <v>2.84590879287858E-5</v>
      </c>
      <c r="CM14" s="46">
        <v>2.9875356028448799E-5</v>
      </c>
      <c r="CN14" s="43">
        <v>7181.2995638570501</v>
      </c>
      <c r="CO14" s="43">
        <v>7847.3575195575804</v>
      </c>
      <c r="CP14" s="43">
        <v>6391.7575974967503</v>
      </c>
      <c r="CQ14" s="43">
        <v>6069.4641772708301</v>
      </c>
      <c r="CR14" s="43">
        <v>5187.3016851294897</v>
      </c>
      <c r="CS14" s="43">
        <v>5116.5102505445402</v>
      </c>
      <c r="CT14" s="47">
        <v>0.229825</v>
      </c>
      <c r="CU14" s="47">
        <v>0.22806100000000001</v>
      </c>
      <c r="CV14" s="47">
        <v>0.23855860000000001</v>
      </c>
      <c r="CW14" s="47">
        <v>0.47756510000000002</v>
      </c>
      <c r="CX14" s="47">
        <v>0.18674389999999999</v>
      </c>
      <c r="CY14" s="41">
        <v>0.401334147860957</v>
      </c>
      <c r="CZ14" s="41">
        <v>0.35036859287323602</v>
      </c>
      <c r="DA14" s="41">
        <v>0.363967353643811</v>
      </c>
      <c r="DB14" s="48" t="s">
        <v>161</v>
      </c>
    </row>
    <row r="15" spans="1:118" s="49" customFormat="1" ht="31.5" customHeight="1">
      <c r="A15" s="37" t="s">
        <v>162</v>
      </c>
      <c r="B15" s="96" t="s">
        <v>128</v>
      </c>
      <c r="C15" s="38" t="s">
        <v>105</v>
      </c>
      <c r="D15" s="39" t="s">
        <v>142</v>
      </c>
      <c r="E15" s="39">
        <v>217702.582878327</v>
      </c>
      <c r="F15" s="39">
        <v>27789.453638509702</v>
      </c>
      <c r="G15" s="40">
        <v>163</v>
      </c>
      <c r="H15" s="39">
        <v>35412.183249843802</v>
      </c>
      <c r="I15" s="39">
        <v>4548.36215752518</v>
      </c>
      <c r="J15" s="39">
        <v>179395.13319230801</v>
      </c>
      <c r="K15" s="39">
        <v>23011.543303096201</v>
      </c>
      <c r="L15" s="39">
        <v>9554.2240153846196</v>
      </c>
      <c r="M15" s="39">
        <v>1225.54851820769</v>
      </c>
      <c r="N15" s="41">
        <v>0.53395098232472604</v>
      </c>
      <c r="O15" s="41">
        <v>0.17376963006767901</v>
      </c>
      <c r="P15" s="41">
        <v>5.3257988917362102E-2</v>
      </c>
      <c r="Q15" s="41">
        <v>-2.6411859534796401E-2</v>
      </c>
      <c r="R15" s="41">
        <v>4.6209448412356899E-2</v>
      </c>
      <c r="S15" s="41">
        <v>1.8056441660651501</v>
      </c>
      <c r="T15" s="41">
        <v>1.80673796043895</v>
      </c>
      <c r="U15" s="41">
        <v>1.31881155843249</v>
      </c>
      <c r="V15" s="41">
        <v>0.45542746060737799</v>
      </c>
      <c r="W15" s="41" t="e">
        <f>#VALUE!</f>
        <v>#VALUE!</v>
      </c>
      <c r="X15" s="42">
        <v>268039.39487015601</v>
      </c>
      <c r="Y15" s="42">
        <v>34224.905370120898</v>
      </c>
      <c r="Z15" s="41" t="e">
        <f>#VALUE!</f>
        <v>#VALUE!</v>
      </c>
      <c r="AA15" s="42">
        <v>182918.58851192301</v>
      </c>
      <c r="AB15" s="42">
        <v>10102.6482415385</v>
      </c>
      <c r="AC15" s="42">
        <v>31672.278932307701</v>
      </c>
      <c r="AD15" s="43">
        <v>21.549060966332799</v>
      </c>
      <c r="AE15" s="43">
        <v>19.0942643359441</v>
      </c>
      <c r="AF15" s="43">
        <v>18.103522744434599</v>
      </c>
      <c r="AG15" s="43">
        <v>23.23655824096582</v>
      </c>
      <c r="AH15" s="43">
        <v>1.19016106919137</v>
      </c>
      <c r="AI15" s="43">
        <v>1.1749797076948501</v>
      </c>
      <c r="AJ15" s="43">
        <v>1.15400573303578</v>
      </c>
      <c r="AK15" s="43"/>
      <c r="AL15" s="43">
        <v>8.4629020678628493</v>
      </c>
      <c r="AM15" s="43">
        <v>8.3000655734975499</v>
      </c>
      <c r="AN15" s="43">
        <v>8.0155369268439003</v>
      </c>
      <c r="AO15" s="43">
        <v>6.28695229933615</v>
      </c>
      <c r="AP15" s="43">
        <v>5.9329139895981902</v>
      </c>
      <c r="AQ15" s="43">
        <v>5.6001815787714504</v>
      </c>
      <c r="AR15" s="43">
        <v>5.5768441220747196</v>
      </c>
      <c r="AS15" s="41" t="e">
        <f>#VALUE!</f>
        <v>#VALUE!</v>
      </c>
      <c r="AT15" s="41">
        <v>0.30292999999999998</v>
      </c>
      <c r="AU15" s="41">
        <v>0.32374000000000003</v>
      </c>
      <c r="AV15" s="44">
        <v>4.3585020900138502</v>
      </c>
      <c r="AW15" s="44">
        <v>4.5024539877300596</v>
      </c>
      <c r="AX15" s="44">
        <v>4.7865030674846603</v>
      </c>
      <c r="AY15" s="44">
        <v>3.6145043250063902E-2</v>
      </c>
      <c r="AZ15" s="44">
        <v>9.3730151557475605E-2</v>
      </c>
      <c r="BA15" s="44">
        <v>0.15880726097959899</v>
      </c>
      <c r="BB15" s="45">
        <v>2.4241186449427898</v>
      </c>
      <c r="BC15" s="45">
        <v>3.1688053119305102</v>
      </c>
      <c r="BD15" s="45">
        <v>2.9881701285861002</v>
      </c>
      <c r="BE15" s="45">
        <v>4.68649700793826</v>
      </c>
      <c r="BF15" s="45">
        <v>3.9173809230679502</v>
      </c>
      <c r="BG15" s="45">
        <v>3.9331037495860199</v>
      </c>
      <c r="BH15" s="45">
        <v>1.95977939453908</v>
      </c>
      <c r="BI15" s="45">
        <v>2.41251350297523</v>
      </c>
      <c r="BJ15" s="45">
        <v>2.0299633763161702</v>
      </c>
      <c r="BK15" s="45">
        <v>3.94770559703095</v>
      </c>
      <c r="BL15" s="45">
        <v>2.8950644133667001</v>
      </c>
      <c r="BM15" s="45">
        <v>2.8533000863968199</v>
      </c>
      <c r="BN15" s="45">
        <v>21.915431395475899</v>
      </c>
      <c r="BO15" s="45">
        <v>22.213390476446101</v>
      </c>
      <c r="BP15" s="45">
        <v>22.0704619087605</v>
      </c>
      <c r="BQ15" s="45">
        <v>24.3195444023678</v>
      </c>
      <c r="BR15" s="45">
        <v>23.694771776534498</v>
      </c>
      <c r="BS15" s="45">
        <v>24.125422620431099</v>
      </c>
      <c r="BT15" s="45">
        <v>2.8700988080161798</v>
      </c>
      <c r="BU15" s="45">
        <v>3.5157686016181202</v>
      </c>
      <c r="BV15" s="45">
        <v>3.6334669608876</v>
      </c>
      <c r="BW15" s="45">
        <v>4.1734309665614102</v>
      </c>
      <c r="BX15" s="45">
        <v>4.3465190261273499</v>
      </c>
      <c r="BY15" s="45">
        <v>4.5008080260341004</v>
      </c>
      <c r="BZ15" s="45">
        <v>0.35738188325210801</v>
      </c>
      <c r="CA15" s="45">
        <v>0.847398877650825</v>
      </c>
      <c r="CB15" s="45">
        <v>1.07251059467799</v>
      </c>
      <c r="CC15" s="45">
        <v>1.1936199896359301</v>
      </c>
      <c r="CD15" s="45">
        <v>1.44020397943288</v>
      </c>
      <c r="CE15" s="45">
        <v>1.57876069956211</v>
      </c>
      <c r="CF15" s="45">
        <v>0.98093319184732797</v>
      </c>
      <c r="CG15" s="45">
        <v>1.5864487963418601</v>
      </c>
      <c r="CH15" s="45">
        <v>1.3871056337500101</v>
      </c>
      <c r="CI15" s="45">
        <v>1.3481862095728001</v>
      </c>
      <c r="CJ15" s="46">
        <v>3.5298757744844098E-5</v>
      </c>
      <c r="CK15" s="46">
        <v>5.7088160745391999E-5</v>
      </c>
      <c r="CL15" s="46">
        <v>4.9914822068606903E-5</v>
      </c>
      <c r="CM15" s="46">
        <v>4.8514311476226101E-5</v>
      </c>
      <c r="CN15" s="43">
        <v>309.90781600385998</v>
      </c>
      <c r="CO15" s="43">
        <v>351.318671183731</v>
      </c>
      <c r="CP15" s="43">
        <v>295.32087187542197</v>
      </c>
      <c r="CQ15" s="43">
        <v>291.76019424069699</v>
      </c>
      <c r="CR15" s="43">
        <v>304.36468794394898</v>
      </c>
      <c r="CS15" s="43">
        <v>315.80158671994002</v>
      </c>
      <c r="CT15" s="47">
        <v>-8.3239610000000006E-2</v>
      </c>
      <c r="CU15" s="47">
        <v>-0.1090462</v>
      </c>
      <c r="CV15" s="47">
        <v>-4.9008129999999997E-2</v>
      </c>
      <c r="CW15" s="47">
        <v>0.1470795</v>
      </c>
      <c r="CX15" s="47">
        <v>-0.1231845</v>
      </c>
      <c r="CY15" s="41">
        <v>0.306265810471889</v>
      </c>
      <c r="CZ15" s="41">
        <v>0.280517789892682</v>
      </c>
      <c r="DA15" s="41">
        <v>0.249834311488565</v>
      </c>
      <c r="DB15" s="48" t="s">
        <v>163</v>
      </c>
    </row>
    <row r="16" spans="1:118" s="50" customFormat="1" ht="15" customHeight="1"/>
    <row r="17" spans="1:118" s="28" customFormat="1" ht="15.75" customHeight="1">
      <c r="A17" s="51"/>
      <c r="B17" s="51" t="s">
        <v>106</v>
      </c>
      <c r="C17" s="52">
        <v>13.732419316599399</v>
      </c>
      <c r="D17" s="51"/>
      <c r="E17" s="52">
        <v>13.4247738328766</v>
      </c>
      <c r="F17" s="53"/>
      <c r="G17" s="54"/>
      <c r="L17" s="55" t="s">
        <v>107</v>
      </c>
      <c r="M17" s="55" t="s">
        <v>107</v>
      </c>
      <c r="N17" s="56" t="e">
        <f>#VALUE!</f>
        <v>#VALUE!</v>
      </c>
      <c r="O17" s="56">
        <v>0.17345971939899399</v>
      </c>
      <c r="P17" s="56">
        <v>5.2674854822961102E-2</v>
      </c>
      <c r="Q17" s="56">
        <v>8.3469248235208293E-2</v>
      </c>
      <c r="R17" s="56" t="e">
        <f>#REF!</f>
        <v>#REF!</v>
      </c>
      <c r="S17" s="56" t="e">
        <f>#REF!</f>
        <v>#REF!</v>
      </c>
      <c r="T17" s="56" t="e">
        <f>#REF!</f>
        <v>#REF!</v>
      </c>
      <c r="U17" s="56" t="e">
        <f>#REF!</f>
        <v>#REF!</v>
      </c>
      <c r="V17" s="56" t="e">
        <f>#REF!</f>
        <v>#REF!</v>
      </c>
      <c r="W17" s="56" t="e">
        <f>#REF!</f>
        <v>#REF!</v>
      </c>
      <c r="X17" s="57" t="e">
        <f>#REF!</f>
        <v>#REF!</v>
      </c>
      <c r="Y17" s="57" t="e">
        <f>#REF!</f>
        <v>#REF!</v>
      </c>
      <c r="Z17" s="56" t="e">
        <f>#REF!</f>
        <v>#REF!</v>
      </c>
      <c r="AA17" s="56"/>
      <c r="AB17" s="56"/>
      <c r="AC17" s="56"/>
      <c r="AD17" s="58">
        <v>57.053171158863499</v>
      </c>
      <c r="AE17" s="58">
        <v>46.576104375821799</v>
      </c>
      <c r="AF17" s="58">
        <v>40.8524096616108</v>
      </c>
      <c r="AG17" s="58"/>
      <c r="AH17" s="58">
        <v>1.5070892957953499</v>
      </c>
      <c r="AI17" s="58">
        <v>1.4334049709871901</v>
      </c>
      <c r="AJ17" s="58">
        <v>1.36717946031976</v>
      </c>
      <c r="AK17" s="58"/>
      <c r="AL17" s="58">
        <v>24.489648492382599</v>
      </c>
      <c r="AM17" s="58">
        <v>21.6984045587228</v>
      </c>
      <c r="AN17" s="58">
        <v>19.712839487909701</v>
      </c>
      <c r="AO17" s="58">
        <v>10.735514778406699</v>
      </c>
      <c r="AP17" s="58">
        <v>9.7242298765684296</v>
      </c>
      <c r="AQ17" s="58">
        <v>8.8181213490270594</v>
      </c>
      <c r="AR17" s="58">
        <v>9.7232285176061399</v>
      </c>
      <c r="AS17" s="58">
        <v>0.229691024497718</v>
      </c>
      <c r="AT17" s="58">
        <v>0.21592</v>
      </c>
      <c r="AU17" s="58">
        <v>0.21426999999999999</v>
      </c>
      <c r="AV17" s="58">
        <v>3.2552083333333299</v>
      </c>
      <c r="AW17" s="58">
        <v>3.2747395833333299</v>
      </c>
      <c r="AX17" s="58">
        <v>3.2356770833333299</v>
      </c>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59"/>
      <c r="CM17" s="59"/>
      <c r="CN17" s="60">
        <v>19123.992726929198</v>
      </c>
      <c r="CO17" s="60">
        <v>17589.413088146299</v>
      </c>
      <c r="CP17" s="60">
        <v>16368.911965053499</v>
      </c>
      <c r="CQ17" s="60">
        <v>16610.733457109902</v>
      </c>
      <c r="CR17" s="60">
        <v>18447.681637282501</v>
      </c>
      <c r="CS17" s="60">
        <v>23745.788588133499</v>
      </c>
      <c r="CT17" s="61">
        <v>4.9093199999999997E-2</v>
      </c>
      <c r="CU17" s="61">
        <v>9.114564E-2</v>
      </c>
      <c r="CV17" s="61">
        <v>0.25291760000000002</v>
      </c>
      <c r="CW17" s="61">
        <v>0.37218810000000002</v>
      </c>
      <c r="CX17" s="61">
        <v>0.20455970000000001</v>
      </c>
      <c r="CY17" s="61">
        <v>0.37298253319275898</v>
      </c>
      <c r="CZ17" s="61">
        <v>0.53793434103625704</v>
      </c>
      <c r="DA17" s="61">
        <v>0.54402539551794304</v>
      </c>
      <c r="DB17" s="62"/>
    </row>
    <row r="18" spans="1:118" s="28" customFormat="1" ht="15.75" customHeight="1">
      <c r="A18" s="51"/>
      <c r="B18" s="51" t="s">
        <v>108</v>
      </c>
      <c r="C18" s="52">
        <v>20.580118722898501</v>
      </c>
      <c r="D18" s="51"/>
      <c r="E18" s="52">
        <v>20.3163637695354</v>
      </c>
      <c r="F18" s="53"/>
      <c r="G18" s="54"/>
      <c r="L18" s="63" t="s">
        <v>109</v>
      </c>
      <c r="M18" s="63" t="s">
        <v>109</v>
      </c>
      <c r="N18" s="64" t="e">
        <f>#VALUE!</f>
        <v>#VALUE!</v>
      </c>
      <c r="O18" s="64">
        <v>6.5759160248077902E-2</v>
      </c>
      <c r="P18" s="64">
        <v>3.0698451826581E-2</v>
      </c>
      <c r="Q18" s="64">
        <v>4.7252142117667803E-2</v>
      </c>
      <c r="R18" s="64" t="e">
        <f>#REF!</f>
        <v>#REF!</v>
      </c>
      <c r="S18" s="64" t="e">
        <f>#REF!</f>
        <v>#REF!</v>
      </c>
      <c r="T18" s="64" t="e">
        <f>#REF!</f>
        <v>#REF!</v>
      </c>
      <c r="U18" s="64" t="e">
        <f>#REF!</f>
        <v>#REF!</v>
      </c>
      <c r="V18" s="64" t="e">
        <f>#REF!</f>
        <v>#REF!</v>
      </c>
      <c r="W18" s="64" t="e">
        <f>#REF!</f>
        <v>#REF!</v>
      </c>
      <c r="X18" s="65" t="e">
        <f>#REF!</f>
        <v>#REF!</v>
      </c>
      <c r="Y18" s="65" t="e">
        <f>#REF!</f>
        <v>#REF!</v>
      </c>
      <c r="Z18" s="64" t="e">
        <f>#REF!</f>
        <v>#REF!</v>
      </c>
      <c r="AA18" s="64"/>
      <c r="AB18" s="64"/>
      <c r="AC18" s="64"/>
      <c r="AD18" s="66">
        <v>34.063096865437203</v>
      </c>
      <c r="AE18" s="66">
        <v>34.159526008982901</v>
      </c>
      <c r="AF18" s="66">
        <v>27.694362975718899</v>
      </c>
      <c r="AG18" s="66"/>
      <c r="AH18" s="66">
        <v>0.46605902797788101</v>
      </c>
      <c r="AI18" s="66">
        <v>0.44585488254475503</v>
      </c>
      <c r="AJ18" s="66">
        <v>0.43027256869314101</v>
      </c>
      <c r="AK18" s="66"/>
      <c r="AL18" s="66">
        <v>10.6713018822112</v>
      </c>
      <c r="AM18" s="66">
        <v>15.015242514399599</v>
      </c>
      <c r="AN18" s="66">
        <v>13.661339410521901</v>
      </c>
      <c r="AO18" s="66">
        <v>2.3563055873706298</v>
      </c>
      <c r="AP18" s="66">
        <v>2.2737623720389801</v>
      </c>
      <c r="AQ18" s="66">
        <v>2.1338397518707901</v>
      </c>
      <c r="AR18" s="66">
        <v>2.2325227963525802</v>
      </c>
      <c r="AS18" s="66">
        <v>0.110972415421561</v>
      </c>
      <c r="AT18" s="66">
        <v>0.13893</v>
      </c>
      <c r="AU18" s="66">
        <v>0.17072000000000001</v>
      </c>
      <c r="AV18" s="66">
        <v>1.1232130538857299</v>
      </c>
      <c r="AW18" s="66">
        <v>1.98498529092151</v>
      </c>
      <c r="AX18" s="66">
        <v>1.9833377965101799</v>
      </c>
      <c r="AY18" s="67"/>
      <c r="AZ18" s="67"/>
      <c r="BA18" s="67"/>
      <c r="BB18" s="67"/>
      <c r="BC18" s="67"/>
      <c r="BD18" s="67"/>
      <c r="BE18" s="67"/>
      <c r="BF18" s="67"/>
      <c r="BG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8">
        <v>554.67983058284005</v>
      </c>
      <c r="CO18" s="68">
        <v>543.59402436892901</v>
      </c>
      <c r="CP18" s="68">
        <v>540.687251639019</v>
      </c>
      <c r="CQ18" s="68">
        <v>563.99768178215299</v>
      </c>
      <c r="CR18" s="68">
        <v>780.81676237908698</v>
      </c>
      <c r="CS18" s="68">
        <v>1081.93671610413</v>
      </c>
      <c r="CT18" s="69">
        <v>-3.4023099999999998E-4</v>
      </c>
      <c r="CU18" s="69">
        <v>-3.8769820000000003E-2</v>
      </c>
      <c r="CV18" s="69">
        <v>-0.12428740000000001</v>
      </c>
      <c r="CW18" s="69">
        <v>0.33914559999999999</v>
      </c>
      <c r="CX18" s="69">
        <v>-0.21328159999999999</v>
      </c>
      <c r="CY18" s="69">
        <v>0.36384717501464597</v>
      </c>
      <c r="CZ18" s="69">
        <v>0.43541756063218201</v>
      </c>
      <c r="DA18" s="69">
        <v>0.43323303973048899</v>
      </c>
      <c r="DB18" s="62"/>
    </row>
    <row r="19" spans="1:118" s="28" customFormat="1" ht="15.75" customHeight="1">
      <c r="A19" s="51"/>
      <c r="B19" s="51" t="s">
        <v>110</v>
      </c>
      <c r="C19" s="52">
        <v>16.720077912188199</v>
      </c>
      <c r="D19" s="51"/>
      <c r="E19" s="52">
        <v>16.688295795102601</v>
      </c>
      <c r="F19" s="53"/>
      <c r="G19" s="54"/>
      <c r="L19" s="63" t="s">
        <v>111</v>
      </c>
      <c r="M19" s="63" t="s">
        <v>111</v>
      </c>
      <c r="N19" s="64" t="e">
        <f>#VALUE!</f>
        <v>#VALUE!</v>
      </c>
      <c r="O19" s="64">
        <v>8.9645857361228501E-2</v>
      </c>
      <c r="P19" s="64">
        <v>3.1185472957902399E-2</v>
      </c>
      <c r="Q19" s="64">
        <v>4.5243842360930098E-2</v>
      </c>
      <c r="R19" s="64" t="e">
        <f>#REF!</f>
        <v>#REF!</v>
      </c>
      <c r="S19" s="64" t="e">
        <f>#REF!</f>
        <v>#REF!</v>
      </c>
      <c r="T19" s="64" t="e">
        <f>#REF!</f>
        <v>#REF!</v>
      </c>
      <c r="U19" s="64" t="e">
        <f>#REF!</f>
        <v>#REF!</v>
      </c>
      <c r="V19" s="64" t="e">
        <f>#REF!</f>
        <v>#REF!</v>
      </c>
      <c r="W19" s="64" t="e">
        <f>#REF!</f>
        <v>#REF!</v>
      </c>
      <c r="X19" s="65" t="e">
        <f>#REF!</f>
        <v>#REF!</v>
      </c>
      <c r="Y19" s="65" t="e">
        <f>#REF!</f>
        <v>#REF!</v>
      </c>
      <c r="Z19" s="64" t="e">
        <f>#REF!</f>
        <v>#REF!</v>
      </c>
      <c r="AA19" s="64"/>
      <c r="AB19" s="64"/>
      <c r="AC19" s="64"/>
      <c r="AD19" s="66">
        <v>32.207643651517898</v>
      </c>
      <c r="AE19" s="66">
        <v>29.854207252984999</v>
      </c>
      <c r="AF19" s="66">
        <v>25.443381150029602</v>
      </c>
      <c r="AG19" s="66"/>
      <c r="AH19" s="66">
        <v>0.75444993672440797</v>
      </c>
      <c r="AI19" s="66">
        <v>0.72544066798566798</v>
      </c>
      <c r="AJ19" s="66">
        <v>0.69225095678043602</v>
      </c>
      <c r="AK19" s="66"/>
      <c r="AL19" s="66">
        <v>13.2879854150393</v>
      </c>
      <c r="AM19" s="66">
        <v>15.015242514399599</v>
      </c>
      <c r="AN19" s="66">
        <v>13.661339410521901</v>
      </c>
      <c r="AO19" s="66">
        <v>4.8748596552841299</v>
      </c>
      <c r="AP19" s="66">
        <v>4.4192426696792397</v>
      </c>
      <c r="AQ19" s="66">
        <v>4.0321660009317304</v>
      </c>
      <c r="AR19" s="66">
        <v>4.4081812161127898</v>
      </c>
      <c r="AS19" s="66">
        <v>0.13542508715024401</v>
      </c>
      <c r="AT19" s="66">
        <v>0.13678333333333301</v>
      </c>
      <c r="AU19" s="66">
        <v>0.15162999999999999</v>
      </c>
      <c r="AV19" s="66">
        <v>1.7053754374527399</v>
      </c>
      <c r="AW19" s="66">
        <v>1.98498529092151</v>
      </c>
      <c r="AX19" s="66">
        <v>1.9833377965101799</v>
      </c>
      <c r="AY19" s="67"/>
      <c r="AZ19" s="67"/>
      <c r="BA19" s="67"/>
      <c r="BB19" s="67"/>
      <c r="BC19" s="67"/>
      <c r="BD19" s="67"/>
      <c r="BE19" s="67"/>
      <c r="BF19" s="67"/>
      <c r="BG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8">
        <v>6561.9724750043597</v>
      </c>
      <c r="CO19" s="68">
        <v>6045.7564787493802</v>
      </c>
      <c r="CP19" s="68">
        <v>5637.6813974405204</v>
      </c>
      <c r="CQ19" s="68">
        <v>5726.0162369040499</v>
      </c>
      <c r="CR19" s="68">
        <v>6412.8589925467504</v>
      </c>
      <c r="CS19" s="68">
        <v>8278.42235052449</v>
      </c>
      <c r="CT19" s="69">
        <v>-5.9537077000000001E-2</v>
      </c>
      <c r="CU19" s="69">
        <v>-0.113182726666667</v>
      </c>
      <c r="CV19" s="69">
        <v>-5.0070400000000001E-2</v>
      </c>
      <c r="CW19" s="69">
        <v>0.14220353333333299</v>
      </c>
      <c r="CX19" s="69">
        <v>-0.1420806</v>
      </c>
      <c r="CY19" s="69">
        <v>0.314231467905772</v>
      </c>
      <c r="CZ19" s="69">
        <v>0.40064583655952102</v>
      </c>
      <c r="DA19" s="69">
        <v>0.40518517961787398</v>
      </c>
      <c r="DB19" s="62"/>
    </row>
    <row r="20" spans="1:118" s="28" customFormat="1" ht="15.75" customHeight="1">
      <c r="A20" s="51"/>
      <c r="B20" s="51" t="s">
        <v>112</v>
      </c>
      <c r="C20" s="52">
        <v>21.956181805522</v>
      </c>
      <c r="D20" s="51"/>
      <c r="E20" s="52">
        <v>21.825203256755</v>
      </c>
      <c r="F20" s="53"/>
      <c r="G20" s="54"/>
      <c r="L20" s="70" t="s">
        <v>113</v>
      </c>
      <c r="M20" s="70" t="s">
        <v>113</v>
      </c>
      <c r="N20" s="71" t="e">
        <f>#VALUE!</f>
        <v>#VALUE!</v>
      </c>
      <c r="O20" s="71">
        <v>2.9377398921930399E-2</v>
      </c>
      <c r="P20" s="71">
        <v>8.5195273802145706E-3</v>
      </c>
      <c r="Q20" s="71">
        <v>-2.71959206119082E-2</v>
      </c>
      <c r="R20" s="71" t="e">
        <f>#REF!</f>
        <v>#REF!</v>
      </c>
      <c r="S20" s="71" t="e">
        <f>#REF!</f>
        <v>#REF!</v>
      </c>
      <c r="T20" s="71" t="e">
        <f>#REF!</f>
        <v>#REF!</v>
      </c>
      <c r="U20" s="71" t="e">
        <f>#REF!</f>
        <v>#REF!</v>
      </c>
      <c r="V20" s="71" t="e">
        <f>#REF!</f>
        <v>#REF!</v>
      </c>
      <c r="W20" s="71" t="e">
        <f>#REF!</f>
        <v>#REF!</v>
      </c>
      <c r="X20" s="72" t="e">
        <f>#REF!</f>
        <v>#REF!</v>
      </c>
      <c r="Y20" s="72" t="e">
        <f>#REF!</f>
        <v>#REF!</v>
      </c>
      <c r="Z20" s="71" t="e">
        <f>#REF!</f>
        <v>#REF!</v>
      </c>
      <c r="AA20" s="71"/>
      <c r="AB20" s="71"/>
      <c r="AC20" s="71"/>
      <c r="AD20" s="73">
        <v>13.4665018159103</v>
      </c>
      <c r="AE20" s="73">
        <v>8.8269913741503903</v>
      </c>
      <c r="AF20" s="73">
        <v>7.7833708127592596</v>
      </c>
      <c r="AG20" s="73"/>
      <c r="AH20" s="73">
        <v>0.29020148639999299</v>
      </c>
      <c r="AI20" s="73">
        <v>0.29706215042506301</v>
      </c>
      <c r="AJ20" s="73">
        <v>0.27930084132840499</v>
      </c>
      <c r="AK20" s="73"/>
      <c r="AL20" s="73">
        <v>4.7030058705241302</v>
      </c>
      <c r="AM20" s="73">
        <v>8.3320804700764004</v>
      </c>
      <c r="AN20" s="73">
        <v>7.6098393331340999</v>
      </c>
      <c r="AO20" s="73">
        <v>1.5327586000750499</v>
      </c>
      <c r="AP20" s="73">
        <v>1.2597357604303201</v>
      </c>
      <c r="AQ20" s="73">
        <v>1.1445369018973499</v>
      </c>
      <c r="AR20" s="73">
        <v>1.2687923343796501</v>
      </c>
      <c r="AS20" s="73">
        <v>6.5611821531453798E-2</v>
      </c>
      <c r="AT20" s="73">
        <v>5.5500000000000001E-2</v>
      </c>
      <c r="AU20" s="73">
        <v>6.9900000000000004E-2</v>
      </c>
      <c r="AV20" s="73">
        <v>0.73770492513915298</v>
      </c>
      <c r="AW20" s="73">
        <v>0.69523099850968695</v>
      </c>
      <c r="AX20" s="73">
        <v>0.73099850968703395</v>
      </c>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5">
        <v>7.2448675010885601</v>
      </c>
      <c r="CO20" s="75">
        <v>4.2623237329105299</v>
      </c>
      <c r="CP20" s="75">
        <v>3.4449756290483702</v>
      </c>
      <c r="CQ20" s="75">
        <v>3.3175718201642801</v>
      </c>
      <c r="CR20" s="75">
        <v>10.078577978625001</v>
      </c>
      <c r="CS20" s="75">
        <v>7.5417473358759404</v>
      </c>
      <c r="CT20" s="76">
        <v>-0.22736419999999999</v>
      </c>
      <c r="CU20" s="76">
        <v>-0.39192399999999999</v>
      </c>
      <c r="CV20" s="76">
        <v>-0.27884140000000002</v>
      </c>
      <c r="CW20" s="76">
        <v>-0.28472310000000001</v>
      </c>
      <c r="CX20" s="76">
        <v>-0.4175199</v>
      </c>
      <c r="CY20" s="76">
        <v>0.20586469550991299</v>
      </c>
      <c r="CZ20" s="76">
        <v>0.22858560801012501</v>
      </c>
      <c r="DA20" s="76">
        <v>0.23829710360519099</v>
      </c>
      <c r="DB20" s="62"/>
    </row>
    <row r="21" spans="1:118" s="28" customFormat="1" ht="15.75" customHeight="1">
      <c r="A21" s="51"/>
      <c r="B21" s="51" t="s">
        <v>114</v>
      </c>
      <c r="C21" s="52">
        <v>14.8478595026153</v>
      </c>
      <c r="D21" s="51"/>
      <c r="E21" s="52">
        <v>14.913889490605699</v>
      </c>
      <c r="F21" s="53"/>
      <c r="G21" s="54"/>
      <c r="H21" s="53"/>
      <c r="I21" s="53"/>
      <c r="J21" s="53"/>
      <c r="K21" s="53"/>
      <c r="L21" s="53"/>
      <c r="M21" s="53"/>
      <c r="N21" s="77"/>
      <c r="O21" s="77"/>
      <c r="P21" s="77"/>
      <c r="Q21" s="77"/>
      <c r="R21" s="77"/>
      <c r="S21" s="77"/>
      <c r="T21" s="77"/>
      <c r="U21" s="77"/>
      <c r="V21" s="77"/>
      <c r="W21" s="77"/>
      <c r="X21" s="77"/>
      <c r="Y21" s="77"/>
      <c r="Z21" s="77"/>
      <c r="AA21" s="77"/>
      <c r="AB21" s="77"/>
      <c r="AC21" s="77"/>
      <c r="AD21" s="78"/>
      <c r="AE21" s="78"/>
      <c r="AF21" s="78"/>
      <c r="AG21" s="78"/>
      <c r="AH21" s="78"/>
      <c r="AI21" s="78"/>
      <c r="AJ21" s="78"/>
      <c r="AK21" s="78"/>
      <c r="AL21" s="78"/>
      <c r="AM21" s="78"/>
      <c r="AN21" s="78"/>
      <c r="AO21" s="78"/>
      <c r="AP21" s="78"/>
      <c r="AQ21" s="78"/>
      <c r="AR21" s="78"/>
      <c r="AS21" s="77"/>
      <c r="AT21" s="77"/>
      <c r="AU21" s="77"/>
      <c r="AV21" s="79"/>
      <c r="AW21" s="79"/>
      <c r="AX21" s="79"/>
      <c r="AY21" s="79"/>
      <c r="AZ21" s="79"/>
      <c r="BA21" s="79"/>
      <c r="BB21" s="79"/>
      <c r="BC21" s="79"/>
      <c r="BD21" s="79"/>
      <c r="BE21" s="79"/>
      <c r="BF21" s="79"/>
      <c r="BG21" s="79"/>
      <c r="BH21" s="79"/>
      <c r="BI21" s="79"/>
      <c r="BJ21" s="79"/>
      <c r="BK21" s="79"/>
      <c r="BL21" s="79"/>
      <c r="BM21" s="79"/>
      <c r="BN21" s="79"/>
      <c r="BO21" s="79"/>
      <c r="BP21" s="79"/>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8"/>
      <c r="CO21" s="78"/>
      <c r="CP21" s="78"/>
      <c r="CQ21" s="78"/>
      <c r="CR21" s="78"/>
      <c r="CS21" s="78"/>
      <c r="CT21" s="80"/>
      <c r="CU21" s="80"/>
      <c r="CV21" s="80"/>
      <c r="CW21" s="80"/>
      <c r="CX21" s="80"/>
      <c r="CY21" s="78"/>
      <c r="CZ21" s="78"/>
      <c r="DA21" s="78"/>
      <c r="DB21" s="62"/>
    </row>
    <row r="22" spans="1:118" s="7" customFormat="1" ht="15" customHeight="1">
      <c r="A22" s="4"/>
      <c r="B22" s="4" t="s">
        <v>115</v>
      </c>
      <c r="C22" s="52">
        <v>40.245419383884098</v>
      </c>
      <c r="D22" s="4"/>
      <c r="E22" s="52">
        <v>39.209416468293199</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4"/>
      <c r="CO22" s="4"/>
      <c r="CP22" s="4"/>
      <c r="CQ22" s="4"/>
      <c r="CR22" s="4"/>
      <c r="CS22" s="4"/>
      <c r="CT22" s="6"/>
      <c r="CU22" s="6"/>
      <c r="CV22" s="6"/>
      <c r="CW22" s="6"/>
      <c r="CX22" s="6"/>
      <c r="CY22" s="4"/>
      <c r="CZ22" s="4"/>
      <c r="DA22" s="4"/>
      <c r="DD22" s="4"/>
      <c r="DE22" s="4"/>
      <c r="DF22" s="4"/>
      <c r="DG22" s="4"/>
      <c r="DH22" s="4"/>
      <c r="DI22" s="4"/>
      <c r="DJ22" s="4"/>
      <c r="DK22" s="4"/>
      <c r="DL22" s="4"/>
      <c r="DM22" s="4"/>
      <c r="DN22" s="8"/>
    </row>
    <row r="23" spans="1:118" s="7" customFormat="1" ht="15" customHeight="1">
      <c r="A23" s="4"/>
      <c r="B23" s="4"/>
      <c r="C23" s="50"/>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4"/>
      <c r="CO23" s="4"/>
      <c r="CP23" s="4"/>
      <c r="CQ23" s="4"/>
      <c r="CR23" s="4"/>
      <c r="CS23" s="4"/>
      <c r="CT23" s="6"/>
      <c r="CU23" s="6"/>
      <c r="CV23" s="6"/>
      <c r="CW23" s="6"/>
      <c r="CX23" s="6"/>
      <c r="CY23" s="4"/>
      <c r="CZ23" s="4"/>
      <c r="DA23" s="4"/>
      <c r="DD23" s="4"/>
      <c r="DE23" s="4"/>
      <c r="DF23" s="4"/>
      <c r="DG23" s="4"/>
      <c r="DH23" s="4"/>
      <c r="DI23" s="4"/>
      <c r="DJ23" s="4"/>
      <c r="DK23" s="4"/>
      <c r="DL23" s="4"/>
      <c r="DM23" s="4"/>
      <c r="DN23" s="8"/>
    </row>
    <row r="24" spans="1:118" s="7" customFormat="1" ht="15" customHeight="1">
      <c r="A24" s="4"/>
      <c r="B24" s="51" t="s">
        <v>106</v>
      </c>
      <c r="C24" s="4">
        <v>4.569684510475037</v>
      </c>
      <c r="D24" s="4"/>
      <c r="E24" s="4" t="e" cm="1">
        <f t="array" aca="1" ref="E24" ca="1">_xll.BQL("members('HSI Index')", "avg(group(px_to_sales_ratio().value))")</f>
        <v>#NAME?</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4"/>
      <c r="CO24" s="4"/>
      <c r="CP24" s="4"/>
      <c r="CQ24" s="4"/>
      <c r="CR24" s="4"/>
      <c r="CS24" s="4"/>
      <c r="CT24" s="6"/>
      <c r="CU24" s="6"/>
      <c r="CV24" s="6"/>
      <c r="CW24" s="6"/>
      <c r="CX24" s="6"/>
      <c r="CY24" s="4"/>
      <c r="CZ24" s="4"/>
      <c r="DA24" s="4"/>
      <c r="DD24" s="4"/>
      <c r="DE24" s="4"/>
      <c r="DF24" s="4"/>
      <c r="DG24" s="4"/>
      <c r="DH24" s="4"/>
      <c r="DI24" s="4"/>
      <c r="DJ24" s="4"/>
      <c r="DK24" s="4"/>
      <c r="DL24" s="4"/>
      <c r="DM24" s="4"/>
      <c r="DN24" s="8"/>
    </row>
    <row r="25" spans="1:118" s="7" customFormat="1" ht="15.75" customHeight="1">
      <c r="A25" s="4"/>
      <c r="B25" s="51" t="s">
        <v>108</v>
      </c>
      <c r="C25" s="4"/>
      <c r="D25" s="4"/>
      <c r="E25" s="4" t="e" cm="1">
        <f t="array" aca="1" ref="E25" ca="1">_xll.BQL("members('NYA Index')", "avg(group(px_to_sales_ratio().value))")</f>
        <v>#NAME?</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4"/>
      <c r="CO25" s="4"/>
      <c r="CP25" s="4"/>
      <c r="CQ25" s="4"/>
      <c r="CR25" s="4"/>
      <c r="CS25" s="4"/>
      <c r="CT25" s="6"/>
      <c r="CU25" s="6"/>
      <c r="CV25" s="6"/>
      <c r="CW25" s="6"/>
      <c r="CX25" s="6"/>
      <c r="CY25" s="4"/>
      <c r="CZ25" s="4"/>
      <c r="DA25" s="4"/>
      <c r="DD25" s="4"/>
      <c r="DE25" s="4"/>
      <c r="DF25" s="4"/>
      <c r="DG25" s="4"/>
      <c r="DH25" s="4"/>
      <c r="DI25" s="4"/>
      <c r="DJ25" s="4"/>
      <c r="DK25" s="4"/>
      <c r="DL25" s="4"/>
      <c r="DM25" s="4"/>
      <c r="DN25" s="8"/>
    </row>
    <row r="26" spans="1:118" s="7" customFormat="1" ht="15.75" customHeight="1">
      <c r="A26" s="4"/>
      <c r="B26" s="51" t="s">
        <v>110</v>
      </c>
      <c r="C26" s="4">
        <v>2.7864859892707536</v>
      </c>
      <c r="D26" s="4"/>
      <c r="E26" s="4" t="e" cm="1">
        <f t="array" aca="1" ref="E26" ca="1">_xll.BQL("members('UKX Index')", "avg(group(px_to_sales_ratio().value))")</f>
        <v>#NAME?</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4"/>
      <c r="CO26" s="4"/>
      <c r="CP26" s="4"/>
      <c r="CQ26" s="4"/>
      <c r="CR26" s="4"/>
      <c r="CS26" s="4"/>
      <c r="CT26" s="6"/>
      <c r="CU26" s="6"/>
      <c r="CV26" s="6"/>
      <c r="CW26" s="6"/>
      <c r="CX26" s="6"/>
      <c r="CY26" s="4"/>
      <c r="CZ26" s="4"/>
      <c r="DA26" s="4"/>
      <c r="DD26" s="4"/>
      <c r="DE26" s="4"/>
      <c r="DF26" s="4"/>
      <c r="DG26" s="4"/>
      <c r="DH26" s="4"/>
      <c r="DI26" s="4"/>
      <c r="DJ26" s="4"/>
      <c r="DK26" s="4"/>
      <c r="DL26" s="4"/>
      <c r="DM26" s="4"/>
      <c r="DN26" s="8"/>
    </row>
    <row r="27" spans="1:118" s="7" customFormat="1" ht="15.75" customHeight="1">
      <c r="A27" s="4"/>
      <c r="B27" s="51" t="s">
        <v>112</v>
      </c>
      <c r="C27" s="4">
        <v>4.8486972633638956</v>
      </c>
      <c r="D27" s="4"/>
      <c r="E27" s="4" t="e" cm="1">
        <f t="array" aca="1" ref="E27" ca="1">_xll.BQL("members('NIFTY Index')", "avg(group(px_to_sales_ratio().value))")</f>
        <v>#NAME?</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4"/>
      <c r="CO27" s="4"/>
      <c r="CP27" s="4"/>
      <c r="CQ27" s="4"/>
      <c r="CR27" s="4"/>
      <c r="CS27" s="4"/>
      <c r="CT27" s="6"/>
      <c r="CU27" s="6"/>
      <c r="CV27" s="6"/>
      <c r="CW27" s="6"/>
      <c r="CX27" s="6"/>
      <c r="CY27" s="4"/>
      <c r="CZ27" s="4"/>
      <c r="DA27" s="4"/>
      <c r="DD27" s="4"/>
      <c r="DE27" s="4"/>
      <c r="DF27" s="4"/>
      <c r="DG27" s="4"/>
      <c r="DH27" s="4"/>
      <c r="DI27" s="4"/>
      <c r="DJ27" s="4"/>
      <c r="DK27" s="4"/>
      <c r="DL27" s="4"/>
      <c r="DM27" s="4"/>
      <c r="DN27" s="8"/>
    </row>
    <row r="28" spans="1:118" s="7" customFormat="1" ht="15.75" customHeight="1">
      <c r="A28" s="4"/>
      <c r="B28" s="51" t="s">
        <v>114</v>
      </c>
      <c r="C28" s="4">
        <v>3.5492543052377168</v>
      </c>
      <c r="D28" s="4"/>
      <c r="E28" s="4" t="e" cm="1">
        <f t="array" aca="1" ref="E28" ca="1">_xll.BQL("members('OMX Index')", "avg(group(px_to_sales_ratio().value))")</f>
        <v>#NAME?</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4"/>
      <c r="CO28" s="4"/>
      <c r="CP28" s="4"/>
      <c r="CQ28" s="4"/>
      <c r="CR28" s="4"/>
      <c r="CS28" s="4"/>
      <c r="CT28" s="6"/>
      <c r="CU28" s="6"/>
      <c r="CV28" s="6"/>
      <c r="CW28" s="6"/>
      <c r="CX28" s="6"/>
      <c r="CY28" s="4"/>
      <c r="CZ28" s="4"/>
      <c r="DA28" s="4"/>
      <c r="DD28" s="4"/>
      <c r="DE28" s="4"/>
      <c r="DF28" s="4"/>
      <c r="DG28" s="4"/>
      <c r="DH28" s="4"/>
      <c r="DI28" s="4"/>
      <c r="DJ28" s="4"/>
      <c r="DK28" s="4"/>
      <c r="DL28" s="4"/>
      <c r="DM28" s="4"/>
      <c r="DN28" s="8"/>
    </row>
    <row r="29" spans="1:118" s="7" customFormat="1" ht="15.75" customHeight="1">
      <c r="A29" s="4"/>
      <c r="B29" s="4" t="s">
        <v>115</v>
      </c>
      <c r="C29" s="4">
        <v>11.666455263160142</v>
      </c>
      <c r="D29" s="4"/>
      <c r="E29" s="4" t="e" cm="1">
        <f t="array" aca="1" ref="E29" ca="1">_xll.BQL("members('NDX Index')", "avg(group(px_to_sales_ratio().value))")</f>
        <v>#NAME?</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4"/>
      <c r="CO29" s="4"/>
      <c r="CP29" s="4"/>
      <c r="CQ29" s="4"/>
      <c r="CR29" s="4"/>
      <c r="CS29" s="4"/>
      <c r="CT29" s="6"/>
      <c r="CU29" s="6"/>
      <c r="CV29" s="6"/>
      <c r="CW29" s="6"/>
      <c r="CX29" s="6"/>
      <c r="CY29" s="4"/>
      <c r="CZ29" s="4"/>
      <c r="DA29" s="4"/>
      <c r="DD29" s="4"/>
      <c r="DE29" s="4"/>
      <c r="DF29" s="4"/>
      <c r="DG29" s="4"/>
      <c r="DH29" s="4"/>
      <c r="DI29" s="4"/>
      <c r="DJ29" s="4"/>
      <c r="DK29" s="4"/>
      <c r="DL29" s="4"/>
      <c r="DM29" s="4"/>
      <c r="DN29" s="8"/>
    </row>
    <row r="30" spans="1:118" s="7" customFormat="1" ht="15.75" customHeight="1">
      <c r="A30" s="4"/>
      <c r="B30" s="4"/>
      <c r="C30" s="51"/>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4"/>
      <c r="CO30" s="4"/>
      <c r="CP30" s="4"/>
      <c r="CQ30" s="4"/>
      <c r="CR30" s="4"/>
      <c r="CS30" s="4"/>
      <c r="CT30" s="6"/>
      <c r="CU30" s="6"/>
      <c r="CV30" s="6"/>
      <c r="CW30" s="6"/>
      <c r="CX30" s="6"/>
      <c r="CY30" s="4"/>
      <c r="CZ30" s="4"/>
      <c r="DA30" s="4"/>
      <c r="DD30" s="4"/>
      <c r="DE30" s="4"/>
      <c r="DF30" s="4"/>
      <c r="DG30" s="4"/>
      <c r="DH30" s="4"/>
      <c r="DI30" s="4"/>
      <c r="DJ30" s="4"/>
      <c r="DK30" s="4"/>
      <c r="DL30" s="4"/>
      <c r="DM30" s="4"/>
      <c r="DN30" s="8"/>
    </row>
    <row r="31" spans="1:118" s="7" customFormat="1" ht="15.75" customHeight="1">
      <c r="A31" s="4"/>
      <c r="B31" s="51" t="s">
        <v>106</v>
      </c>
      <c r="C31" s="4">
        <v>12.62014093158998</v>
      </c>
      <c r="D31" s="4"/>
      <c r="E31" s="4" t="e" cm="1">
        <f t="array" aca="1" ref="E31" ca="1">_xll.BQL("members('HSI Index')", "avg(group(EV_TO_EBITDAR().value))")</f>
        <v>#NAME?</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4"/>
      <c r="CO31" s="4"/>
      <c r="CP31" s="4"/>
      <c r="CQ31" s="4"/>
      <c r="CR31" s="4"/>
      <c r="CS31" s="4"/>
      <c r="CT31" s="6"/>
      <c r="CU31" s="6"/>
      <c r="CV31" s="6"/>
      <c r="CW31" s="6"/>
      <c r="CX31" s="6"/>
      <c r="CY31" s="4"/>
      <c r="CZ31" s="4"/>
      <c r="DA31" s="4"/>
      <c r="DD31" s="4"/>
      <c r="DE31" s="4"/>
      <c r="DF31" s="4"/>
      <c r="DG31" s="4"/>
      <c r="DH31" s="4"/>
      <c r="DI31" s="4"/>
      <c r="DJ31" s="4"/>
      <c r="DK31" s="4"/>
      <c r="DL31" s="4"/>
      <c r="DM31" s="4"/>
      <c r="DN31" s="8"/>
    </row>
    <row r="32" spans="1:118" s="7" customFormat="1" ht="15.75" customHeight="1">
      <c r="A32" s="4"/>
      <c r="B32" s="51" t="s">
        <v>108</v>
      </c>
      <c r="C32" s="4" t="s">
        <v>177</v>
      </c>
      <c r="D32" s="4"/>
      <c r="E32" s="4" t="s">
        <v>177</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4"/>
      <c r="CO32" s="4"/>
      <c r="CP32" s="4"/>
      <c r="CQ32" s="4"/>
      <c r="CR32" s="4"/>
      <c r="CS32" s="4"/>
      <c r="CT32" s="6"/>
      <c r="CU32" s="6"/>
      <c r="CV32" s="6"/>
      <c r="CW32" s="6"/>
      <c r="CX32" s="6"/>
      <c r="CY32" s="4"/>
      <c r="CZ32" s="4"/>
      <c r="DA32" s="4"/>
      <c r="DD32" s="4"/>
      <c r="DE32" s="4"/>
      <c r="DF32" s="4"/>
      <c r="DG32" s="4"/>
      <c r="DH32" s="4"/>
      <c r="DI32" s="4"/>
      <c r="DJ32" s="4"/>
      <c r="DK32" s="4"/>
      <c r="DL32" s="4"/>
      <c r="DM32" s="4"/>
      <c r="DN32" s="8"/>
    </row>
    <row r="33" spans="1:118" s="7" customFormat="1" ht="15.75" customHeight="1">
      <c r="A33" s="4"/>
      <c r="B33" s="51" t="s">
        <v>110</v>
      </c>
      <c r="C33" s="4">
        <v>3.5342600272724884</v>
      </c>
      <c r="D33" s="4"/>
      <c r="E33" s="4" t="e" cm="1">
        <f t="array" aca="1" ref="E33" ca="1">_xll.BQL("members('UKX Index')", "avg(group(EV_TO_EBITDAR().value))")</f>
        <v>#NAME?</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4"/>
      <c r="CO33" s="4"/>
      <c r="CP33" s="4"/>
      <c r="CQ33" s="4"/>
      <c r="CR33" s="4"/>
      <c r="CS33" s="4"/>
      <c r="CT33" s="6"/>
      <c r="CU33" s="6"/>
      <c r="CV33" s="6"/>
      <c r="CW33" s="6"/>
      <c r="CX33" s="6"/>
      <c r="CY33" s="4"/>
      <c r="CZ33" s="4"/>
      <c r="DA33" s="4"/>
      <c r="DD33" s="4"/>
      <c r="DE33" s="4"/>
      <c r="DF33" s="4"/>
      <c r="DG33" s="4"/>
      <c r="DH33" s="4"/>
      <c r="DI33" s="4"/>
      <c r="DJ33" s="4"/>
      <c r="DK33" s="4"/>
      <c r="DL33" s="4"/>
      <c r="DM33" s="4"/>
      <c r="DN33" s="8"/>
    </row>
    <row r="34" spans="1:118" s="7" customFormat="1" ht="15.75" customHeight="1">
      <c r="A34" s="4"/>
      <c r="B34" s="51" t="s">
        <v>112</v>
      </c>
      <c r="C34" s="4">
        <v>12.62014093158998</v>
      </c>
      <c r="D34" s="4"/>
      <c r="E34" s="4" t="e" cm="1">
        <f t="array" aca="1" ref="E34" ca="1">_xll.BQL("members('HSI Index')", "avg(group(EV_TO_EBITDAR().value))")</f>
        <v>#NAME?</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4"/>
      <c r="CO34" s="4"/>
      <c r="CP34" s="4"/>
      <c r="CQ34" s="4"/>
      <c r="CR34" s="4"/>
      <c r="CS34" s="4"/>
      <c r="CT34" s="6"/>
      <c r="CU34" s="6"/>
      <c r="CV34" s="6"/>
      <c r="CW34" s="6"/>
      <c r="CX34" s="6"/>
      <c r="CY34" s="4"/>
      <c r="CZ34" s="4"/>
      <c r="DA34" s="4"/>
      <c r="DD34" s="4"/>
      <c r="DE34" s="4"/>
      <c r="DF34" s="4"/>
      <c r="DG34" s="4"/>
      <c r="DH34" s="4"/>
      <c r="DI34" s="4"/>
      <c r="DJ34" s="4"/>
      <c r="DK34" s="4"/>
      <c r="DL34" s="4"/>
      <c r="DM34" s="4"/>
      <c r="DN34" s="8"/>
    </row>
    <row r="35" spans="1:118" ht="16">
      <c r="B35" s="51" t="s">
        <v>114</v>
      </c>
      <c r="C35" s="4" t="s">
        <v>177</v>
      </c>
      <c r="E35" s="4" t="s">
        <v>177</v>
      </c>
    </row>
    <row r="36" spans="1:118">
      <c r="B36" s="4" t="s">
        <v>115</v>
      </c>
      <c r="C36" s="4">
        <v>66.624715286867641</v>
      </c>
      <c r="E36" s="4" t="e" cm="1">
        <f t="array" aca="1" ref="E36" ca="1">_xll.BQL("members('NDX Index')", "avg(group(EV_TO_EBITDAR().value))")</f>
        <v>#NAME?</v>
      </c>
    </row>
  </sheetData>
  <mergeCells count="61">
    <mergeCell ref="A3:A5"/>
    <mergeCell ref="B3:B5"/>
    <mergeCell ref="C3:C5"/>
    <mergeCell ref="E3:Z3"/>
    <mergeCell ref="AD3:AX3"/>
    <mergeCell ref="R4:R5"/>
    <mergeCell ref="S4:S5"/>
    <mergeCell ref="T4:T5"/>
    <mergeCell ref="U4:U5"/>
    <mergeCell ref="V4:V5"/>
    <mergeCell ref="W4:W5"/>
    <mergeCell ref="X4:X5"/>
    <mergeCell ref="Y4:Y5"/>
    <mergeCell ref="Z4:Z5"/>
    <mergeCell ref="AA4:AA5"/>
    <mergeCell ref="AB4:AB5"/>
    <mergeCell ref="AY3:BA3"/>
    <mergeCell ref="BB3:CI3"/>
    <mergeCell ref="CQ3:CX3"/>
    <mergeCell ref="E4:E5"/>
    <mergeCell ref="F4:F5"/>
    <mergeCell ref="G4:G5"/>
    <mergeCell ref="H4:H5"/>
    <mergeCell ref="I4:I5"/>
    <mergeCell ref="J4:J5"/>
    <mergeCell ref="K4:K5"/>
    <mergeCell ref="L4:L5"/>
    <mergeCell ref="M4:M5"/>
    <mergeCell ref="N4:N5"/>
    <mergeCell ref="O4:O5"/>
    <mergeCell ref="P4:P5"/>
    <mergeCell ref="Q4:Q5"/>
    <mergeCell ref="AC4:AC5"/>
    <mergeCell ref="AD4:AF4"/>
    <mergeCell ref="AH4:AJ4"/>
    <mergeCell ref="AL4:AN4"/>
    <mergeCell ref="AO4:AR4"/>
    <mergeCell ref="CF4:CI4"/>
    <mergeCell ref="CJ4:CM4"/>
    <mergeCell ref="CN4:CN5"/>
    <mergeCell ref="AS4:AU4"/>
    <mergeCell ref="AV4:AX4"/>
    <mergeCell ref="BB4:BG4"/>
    <mergeCell ref="BH4:BM4"/>
    <mergeCell ref="BN4:BS4"/>
    <mergeCell ref="CY4:CY5"/>
    <mergeCell ref="CZ4:CZ5"/>
    <mergeCell ref="DA4:DA5"/>
    <mergeCell ref="AY5:BA5"/>
    <mergeCell ref="CT4:CT5"/>
    <mergeCell ref="CU4:CU5"/>
    <mergeCell ref="CV4:CV5"/>
    <mergeCell ref="CW4:CW5"/>
    <mergeCell ref="CX4:CX5"/>
    <mergeCell ref="CO4:CO5"/>
    <mergeCell ref="CP4:CP5"/>
    <mergeCell ref="CQ4:CQ5"/>
    <mergeCell ref="CR4:CR5"/>
    <mergeCell ref="CS4:CS5"/>
    <mergeCell ref="BT4:BY4"/>
    <mergeCell ref="BZ4:CE4"/>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 2</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Christine Wing Yin WONG</dc:creator>
  <dc:description/>
  <cp:lastModifiedBy>Jayson Xicheng LU</cp:lastModifiedBy>
  <cp:revision>0</cp:revision>
  <dcterms:created xsi:type="dcterms:W3CDTF">2026-05-15T02:18:05Z</dcterms:created>
  <dcterms:modified xsi:type="dcterms:W3CDTF">2026-06-04T11:46:18Z</dcterms:modified>
  <dc:language>en-US</dc:language>
</cp:coreProperties>
</file>