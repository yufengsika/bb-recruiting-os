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f0b612e96340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35886c019e494848"/>
    <x:sheet xmlns:r="http://schemas.openxmlformats.org/officeDocument/2006/relationships" name="DCF" sheetId="2" r:id="Rfcc33b1659e8486a"/>
    <x:sheet xmlns:r="http://schemas.openxmlformats.org/officeDocument/2006/relationships" name="WACC" sheetId="3" r:id="R3770bcfd02434937"/>
    <x:sheet xmlns:r="http://schemas.openxmlformats.org/officeDocument/2006/relationships" name="P&amp;L" sheetId="4" r:id="Rc238b2125f8e4a05"/>
    <x:sheet xmlns:r="http://schemas.openxmlformats.org/officeDocument/2006/relationships" name="Comps" sheetId="5" r:id="R463f75771c9f4f23"/>
    <x:sheet xmlns:r="http://schemas.openxmlformats.org/officeDocument/2006/relationships" name="Multiples" sheetId="6" r:id="Rd5d34e5674b4406c"/>
    <x:sheet xmlns:r="http://schemas.openxmlformats.org/officeDocument/2006/relationships" name="Football Field" sheetId="7" r:id="R6611bc65a59043a3"/>
  </x:sheets>
</x:workbook>
</file>

<file path=xl/comments1.xml><?xml version="1.0" encoding="utf-8"?>
<x:comments xmlns:x="http://schemas.openxmlformats.org/spreadsheetml/2006/main">
  <x:authors>
    <x:author>LUI, Yu On [Student]</x:author>
  </x:authors>
  <x:commentList>
    <x:comment ref="A19" authorId="0">
      <x:text>
        <x:r>
          <x:t>Source: FS.pdf — Reported Net Operating Profit FY2025. Most recent and most representative year.</x:t>
        </x:r>
      </x:text>
    </x:comment>
    <x:comment ref="A20" authorId="0">
      <x:text>
        <x:r>
          <x:t>FY2025: no material one-off operating items identified. FY2025 EBIT used as clean base.</x:t>
        </x:r>
      </x:text>
    </x:comment>
    <x:comment ref="A64" authorId="0">
      <x:text>
        <x:r>
          <x:t>Bull: DSO improves as volumes grow and Li &amp; Fung gains pricing power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<x:sst xmlns:x="http://schemas.openxmlformats.org/spreadsheetml/2006/main">
  <x:si>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LI &amp; FUNG LIMITED — KEY ASSUMPTIONS</x:t>
  </x:si>
  <x:si>
    <x:t xml:space="preserve">(USD in thousands)</x:t>
  </x:si>
  <x:si>
    <x:t xml:space="preserve">INCOME STATEMENT DRIVERS</x:t>
  </x:si>
  <x:si>
    <x:t xml:space="preserve">FY2023A</x:t>
  </x:si>
  <x:si>
    <x:t xml:space="preserve">FY2024A</x:t>
  </x:si>
  <x:si>
    <x:t xml:space="preserve">FY2025A</x:t>
  </x:si>
  <x:si>
    <x:t xml:space="preserve">FY2026E</x:t>
  </x:si>
  <x:si>
    <x:t xml:space="preserve">FY2027E</x:t>
  </x:si>
  <x:si>
    <x:t xml:space="preserve">FY2028E</x:t>
  </x:si>
  <x:si>
    <x:t xml:space="preserve">FY2029E</x:t>
  </x:si>
  <x:si>
    <x:t xml:space="preserve">FY2030E</x:t>
  </x:si>
  <x:si>
    <x:t xml:space="preserve">Revenue Growth %</x:t>
  </x:si>
  <x:si>
    <x:t xml:space="preserve">N/A</x:t>
  </x:si>
  <x:si>
    <x:t xml:space="preserve">COGS % of Revenue</x:t>
  </x:si>
  <x:si>
    <x:t xml:space="preserve">S&amp;M % of Revenue</x:t>
  </x:si>
  <x:si>
    <x:t xml:space="preserve">Personnel % of Revenue</x:t>
  </x:si>
  <x:si>
    <x:t xml:space="preserve">Other OpEx % of Revenue</x:t>
  </x:si>
  <x:si>
    <x:t xml:space="preserve">Depreciation % of Revenue</x:t>
  </x:si>
  <x:si>
    <x:t xml:space="preserve">Amortization % of Revenue</x:t>
  </x:si>
  <x:si>
    <x:t xml:space="preserve">Interest Expense</x:t>
  </x:si>
  <x:si>
    <x:t xml:space="preserve">Interest Income</x:t>
  </x:si>
  <x:si>
    <x:t xml:space="preserve">Other Income (Expense), net</x:t>
  </x:si>
  <x:si>
    <x:t xml:space="preserve">Effective Tax Rate</x:t>
  </x:si>
  <x:si>
    <x:t xml:space="preserve">Minority Interest</x:t>
  </x:si>
  <x:si>
    <x:t xml:space="preserve">BALANCE SHEET &amp; WORKING CAPITAL DRIVERS</x:t>
  </x:si>
  <x:si>
    <x:t xml:space="preserve">Days Sales Outstanding (DSO)</x:t>
  </x:si>
  <x:si>
    <x:t xml:space="preserve">Days Inventory Outstanding (DIO)</x:t>
  </x:si>
  <x:si>
    <x:t xml:space="preserve">Days Payable Outstanding (DPO)</x:t>
  </x:si>
  <x:si>
    <x:t xml:space="preserve">CapEx (Maintenance)</x:t>
  </x:si>
  <x:si>
    <x:t xml:space="preserve">Dividends</x:t>
  </x:si>
  <x:si>
    <x:t xml:space="preserve">Net Debt Issuance / (Repayment)</x:t>
  </x:si>
  <x:si>
    <x:t xml:space="preserve">Other Non-Current Assets (net chg)</x:t>
  </x:si>
  <x:si>
    <x:t xml:space="preserve">LI &amp; FUNG LIMITED — DCF VALUATION MODEL</x:t>
  </x:si>
  <x:si>
    <x:t xml:space="preserve">Currency: USD (thousands)  |  FYE: 31 December  |  Date: April 2026</x:t>
  </x:si>
  <x:si>
    <x:t xml:space="preserve">Case Selector (1=Bear, 2=Base, 3=Bull)</x:t>
  </x:si>
  <x:si>
    <x:t xml:space="preserve">Selected Case:</x:t>
  </x:si>
  <x:si>
    <x:t xml:space="preserve">MARKET DATA &amp; KEY INPUTS</x:t>
  </x:si>
  <x:si>
    <x:t xml:space="preserve">2020 Privatization Equity Value (US$ '000)</x:t>
  </x:si>
  <x:si>
    <x:t xml:space="preserve">Total Shares Outstanding ('000)</x:t>
  </x:si>
  <x:si>
    <x:t xml:space="preserve">Privatization Price per Share (HK$)</x:t>
  </x:si>
  <x:si>
    <x:t xml:space="preserve">FY2025 Net Debt (Cash) (US$ '000)</x:t>
  </x:si>
  <x:si>
    <x:t xml:space="preserve">FY2025 Total Debt (US$ '000)</x:t>
  </x:si>
  <x:si>
    <x:t xml:space="preserve">FY2025 Cash &amp; Equivalents (US$ '000)</x:t>
  </x:si>
  <x:si>
    <x:t xml:space="preserve">S&amp;P Credit Rating</x:t>
  </x:si>
  <x:si>
    <x:t xml:space="preserve">BB</x:t>
  </x:si>
  <x:si>
    <x:t xml:space="preserve">Equity Risk Premium</x:t>
  </x:si>
  <x:si>
    <x:t xml:space="preserve">Risk-Free Rate (10Y UST)</x:t>
  </x:si>
  <x:si>
    <x:t xml:space="preserve">Unlevered Beta</x:t>
  </x:si>
  <x:si>
    <x:t xml:space="preserve">HKD / USD FX Rate</x:t>
  </x:si>
  <x:si>
    <x:t xml:space="preserve">DCF SCENARIO ASSUMPTIONS</x:t>
  </x:si>
  <x:si>
    <x:t xml:space="preserve">BEAR CASE ASSUMPTIONS</x:t>
  </x:si>
  <x:si>
    <x:t xml:space="preserve">Assumption</x:t>
  </x:si>
  <x:si>
    <x:t xml:space="preserve">Revenue Growth (%)</x:t>
  </x:si>
  <x:si>
    <x:t xml:space="preserve">EBIT Margin (%)</x:t>
  </x:si>
  <x:si>
    <x:t xml:space="preserve">D&amp;A % of Revenue</x:t>
  </x:si>
  <x:si>
    <x:t xml:space="preserve">CapEx % of Revenue</x:t>
  </x:si>
  <x:si>
    <x:t xml:space="preserve">NWC Change % of ΔRev (+= cash use)</x:t>
  </x:si>
  <x:si>
    <x:t xml:space="preserve">Tax Rate (%)</x:t>
  </x:si>
  <x:si>
    <x:t xml:space="preserve">Terminal Growth Rate</x:t>
  </x:si>
  <x:si>
    <x:t xml:space="preserve">WACC</x:t>
  </x:si>
  <x:si>
    <x:t xml:space="preserve">BASE CASE ASSUMPTIONS</x:t>
  </x:si>
  <x:si>
    <x:t xml:space="preserve">WACC (from WACC sheet)</x:t>
  </x:si>
  <x:si>
    <x:t xml:space="preserve">BULL CASE ASSUMPTIONS</x:t>
  </x:si>
  <x:si>
    <x:t xml:space="preserve">FY2031E</x:t>
  </x:si>
  <x:si>
    <x:t xml:space="preserve">SELECTED CASE ASSUMPTIONS</x:t>
  </x:si>
  <x:si>
    <x:t xml:space="preserve">HISTORICAL &amp; PROJECTED FINANCIALS (US$ '000)</x:t>
  </x:si>
  <x:si>
    <x:t xml:space="preserve">Income Statement</x:t>
  </x:si>
  <x:si>
    <x:t xml:space="preserve">Revenue</x:t>
  </x:si>
  <x:si>
    <x:t xml:space="preserve">  % Growth</x:t>
  </x:si>
  <x:si>
    <x:t xml:space="preserve">  └ Normalized EBIT (see bridge below ⇓)</x:t>
  </x:si>
  <x:si>
    <x:t xml:space="preserve">EBIT</x:t>
  </x:si>
  <x:si>
    <x:t xml:space="preserve">  EBIT Margin</x:t>
  </x:si>
  <x:si>
    <x:t xml:space="preserve">(-) Taxes on EBIT</x:t>
  </x:si>
  <x:si>
    <x:t xml:space="preserve">NOPAT</x:t>
  </x:si>
  <x:si>
    <x:t xml:space="preserve">(+) D&amp;A</x:t>
  </x:si>
  <x:si>
    <x:t xml:space="preserve">  D&amp;A % of Revenue</x:t>
  </x:si>
  <x:si>
    <x:t xml:space="preserve">FREE CASH FLOW BUILD (US$ '000)</x:t>
  </x:si>
  <x:si>
    <x:t xml:space="preserve">Cash Flow Item</x:t>
  </x:si>
  <x:si>
    <x:t xml:space="preserve">(-) CapEx</x:t>
  </x:si>
  <x:si>
    <x:t xml:space="preserve">  CapEx % of Revenue</x:t>
  </x:si>
  <x:si>
    <x:t xml:space="preserve">(-) Δ NWC — driver-based (DSO/DIO/DPO)</x:t>
  </x:si>
  <x:si>
    <x:t xml:space="preserve">Unlevered Free Cash Flow</x:t>
  </x:si>
  <x:si>
    <x:t xml:space="preserve">Discount Period (mid-year)</x:t>
  </x:si>
  <x:si>
    <x:t xml:space="preserve">Discount Factor</x:t>
  </x:si>
  <x:si>
    <x:t xml:space="preserve">PV of FCF</x:t>
  </x:si>
  <x:si>
    <x:t xml:space="preserve">TERMINAL VALUE (US$ '000)</x:t>
  </x:si>
  <x:si>
    <x:t xml:space="preserve">  Terminal Year FCF (FY2030E)</x:t>
  </x:si>
  <x:si>
    <x:t xml:space="preserve">  Terminal FCF × (1 + g)</x:t>
  </x:si>
  <x:si>
    <x:t xml:space="preserve">  Terminal Growth Rate (g)</x:t>
  </x:si>
  <x:si>
    <x:t xml:space="preserve">  WACC</x:t>
  </x:si>
  <x:si>
    <x:t xml:space="preserve">  Terminal Value (Gordon Growth)</x:t>
  </x:si>
  <x:si>
    <x:t xml:space="preserve">  PV of Terminal Value</x:t>
  </x:si>
  <x:si>
    <x:t xml:space="preserve">VALUATION SUMMARY (US$ '000)</x:t>
  </x:si>
  <x:si>
    <x:t xml:space="preserve">  Sum of PV of Projected FCFs (FY2026–FY2030)</x:t>
  </x:si>
  <x:si>
    <x:t xml:space="preserve">  PV of Terminal Value (Gordon Growth)</x:t>
  </x:si>
  <x:si>
    <x:t xml:space="preserve">Enterprise Value</x:t>
  </x:si>
  <x:si>
    <x:t xml:space="preserve">  (+) Net Cash / (-) Net Debt</x:t>
  </x:si>
  <x:si>
    <x:t xml:space="preserve">Equity Value</x:t>
  </x:si>
  <x:si>
    <x:t xml:space="preserve">  Equity Value per Share — PGM (HK$)</x:t>
  </x:si>
  <x:si>
    <x:t xml:space="preserve">EXIT EV/EBITDA CROSS-CHECK (US$ '000)</x:t>
  </x:si>
  <x:si>
    <x:t xml:space="preserve">  FY2030E EBITDA</x:t>
  </x:si>
  <x:si>
    <x:t xml:space="preserve">  Exit EV/EBITDA Multiple</x:t>
  </x:si>
  <x:si>
    <x:t xml:space="preserve">  Gross Terminal EV (EBITDA × Multiple)</x:t>
  </x:si>
  <x:si>
    <x:t xml:space="preserve">  PV of Exit Multiple TV</x:t>
  </x:si>
  <x:si>
    <x:t xml:space="preserve">  Cross-Check EV (FCFs + PV Exit TV + Net Cash)</x:t>
  </x:si>
  <x:si>
    <x:t xml:space="preserve">  Equity Value per Share — Exit Multiple (HK$)</x:t>
  </x:si>
  <x:si>
    <x:t xml:space="preserve">IMPLIED MODEL METRICS</x:t>
  </x:si>
  <x:si>
    <x:t xml:space="preserve">  Terminal Value % of EV</x:t>
  </x:si>
  <x:si>
    <x:t xml:space="preserve">  Implied EV / FY2025A EBITDA</x:t>
  </x:si>
  <x:si>
    <x:t xml:space="preserve">SENSITIVITY ANALYSIS</x:t>
  </x:si>
  <x:si>
    <x:t xml:space="preserve">Table 1: WACC vs Terminal Growth Rate — Implied Equity Value per Share (HK$)</x:t>
  </x:si>
  <x:si>
    <x:t xml:space="preserve">WACC \ Terminal g</x:t>
  </x:si>
  <x:si>
    <x:t xml:space="preserve">Table 2: WACC vs Exit EV/EBITDA Multiple — Implied Equity Value per Share (HK$)</x:t>
  </x:si>
  <x:si>
    <x:t xml:space="preserve">WACC \ EV/EBITDA</x:t>
  </x:si>
  <x:si>
    <x:t xml:space="preserve">Table 3: Beta vs Risk-Free Rate — Implied WACC</x:t>
  </x:si>
  <x:si>
    <x:t xml:space="preserve">Beta \ Rf</x:t>
  </x:si>
  <x:si>
    <x:t xml:space="preserve">Table 4: NWC Driver Calibration (DSO / DIO / DPO — Days)</x:t>
  </x:si>
  <x:si>
    <x:t xml:space="preserve">Driver</x:t>
  </x:si>
  <x:si>
    <x:t xml:space="preserve">Bear Proj.</x:t>
  </x:si>
  <x:si>
    <x:t xml:space="preserve">Base Proj.</x:t>
  </x:si>
  <x:si>
    <x:t xml:space="preserve">Bull Proj.</x:t>
  </x:si>
  <x:si>
    <x:t xml:space="preserve">Implied NWC % of Revenue</x:t>
  </x:si>
  <x:si>
    <x:t xml:space="preserve">Cash Conversion Cycle (DSO + DIO - DPO)</x:t>
  </x:si>
  <x:si>
    <x:t xml:space="preserve">Note: Li &amp; Fung operates with negative WC (CCC &lt; 0) — suppliers finance the business.</x:t>
  </x:si>
  <x:si>
    <x:t xml:space="preserve">ΔNWC in FCF = ΔRevenue × NWC% assumption calibrated to these drivers.</x:t>
  </x:si>
  <x:si>
    <x:t xml:space="preserve">Base NWC % of 1.0% reflects: DSO stable, DIO stable, DPO stable. Bear 1.5% = DPO shortening.</x:t>
  </x:si>
  <x:si>
    <x:t xml:space="preserve">WACC CALCULATION</x:t>
  </x:si>
  <x:si>
    <x:t xml:space="preserve">COST OF EQUITY (CAPM)</x:t>
  </x:si>
  <x:si>
    <x:t xml:space="preserve">Equity Risk Premium (ERP)</x:t>
  </x:si>
  <x:si>
    <x:t xml:space="preserve">Total Debt (US$ '000)</x:t>
  </x:si>
  <x:si>
    <x:t xml:space="preserve">Cash &amp; Equivalents (US$ '000)</x:t>
  </x:si>
  <x:si>
    <x:t xml:space="preserve">Estimated Equity Value (US$ '000)</x:t>
  </x:si>
  <x:si>
    <x:t xml:space="preserve">Tax Rate</x:t>
  </x:si>
  <x:si>
    <x:t xml:space="preserve">Debt-to-Equity Ratio (D/E)</x:t>
  </x:si>
  <x:si>
    <x:t xml:space="preserve">Levered Beta</x:t>
  </x:si>
  <x:si>
    <x:t xml:space="preserve">Cost of Equity (Ke)</x:t>
  </x:si>
  <x:si>
    <x:t xml:space="preserve">COST OF DEBT</x:t>
  </x:si>
  <x:si>
    <x:t xml:space="preserve">Interest Expense (FY2025, US$ '000)</x:t>
  </x:si>
  <x:si>
    <x:t xml:space="preserve">Average Total Debt (FY2024-2025, US$ '000)</x:t>
  </x:si>
  <x:si>
    <x:t xml:space="preserve">Pre-Tax Cost of Debt (Kd)</x:t>
  </x:si>
  <x:si>
    <x:t xml:space="preserve">After-Tax Cost of Debt</x:t>
  </x:si>
  <x:si>
    <x:t xml:space="preserve">Equity Value (US$ '000)</x:t>
  </x:si>
  <x:si>
    <x:t xml:space="preserve">Net Debt (Cash) (US$ '000)</x:t>
  </x:si>
  <x:si>
    <x:t xml:space="preserve">Enterprise Value (ref. only)</x:t>
  </x:si>
  <x:si>
    <x:t xml:space="preserve">Equity Weight (Equity / EV)</x:t>
  </x:si>
  <x:si>
    <x:t xml:space="preserve">Debt Weight (Gross Debt / Total Capital)</x:t>
  </x:si>
  <x:si>
    <x:t xml:space="preserve">Equity + Gross Debt</x:t>
  </x:si>
  <x:si>
    <x:t xml:space="preserve">WACC (Calculated)</x:t>
  </x:si>
  <x:si>
    <x:t xml:space="preserve">Note: WACC (~10.2%) reflects restated beta (0.90) appropriate for</x:t>
  </x:si>
  <x:si>
    <x:t xml:space="preserve">supply chain/logistics comps. DCF uses this computed WACC directly —</x:t>
  </x:si>
  <x:si>
    <x:t xml:space="preserve">no manual overrides. Bear/Base/Bull scenarios vary via assumptions only.</x:t>
  </x:si>
  <x:si>
    <x:t xml:space="preserve">Li&amp;Fung</x:t>
  </x:si>
  <x:si>
    <x:t xml:space="preserve">At Privatisation and before</x:t>
  </x:si>
  <x:si>
    <x:t xml:space="preserve">Harry added :</x:t>
  </x:si>
  <x:si>
    <x:t xml:space="preserve">Continuing Business</x:t>
  </x:si>
  <x:si>
    <x:t xml:space="preserve">USD'000</x:t>
  </x:si>
  <x:si>
    <x:t xml:space="preserve">yoy growth</x:t>
  </x:si>
  <x:si>
    <x:t xml:space="preserve">CAGR growth</x:t>
  </x:si>
  <x:si>
    <x:t xml:space="preserve">Turnover</x:t>
  </x:si>
  <x:si>
    <x:t xml:space="preserve">COS</x:t>
  </x:si>
  <x:si>
    <x:t xml:space="preserve">Gross Profit</x:t>
  </x:si>
  <x:si>
    <x:t xml:space="preserve">GPM %</x:t>
  </x:si>
  <x:si>
    <x:t xml:space="preserve">Other income</x:t>
  </x:si>
  <x:si>
    <x:t xml:space="preserve">Total Margin</x:t>
  </x:si>
  <x:si>
    <x:t xml:space="preserve">Selling &amp; Distribution Exp.</x:t>
  </x:si>
  <x:si>
    <x:t xml:space="preserve">Merchandising &amp; admin Exp.</x:t>
  </x:si>
  <x:si>
    <x:t xml:space="preserve">Core Operating profit</x:t>
  </x:si>
  <x:si>
    <x:t xml:space="preserve">Gain on remeasurement of contingent consideration payable</x:t>
  </x:si>
  <x:si>
    <x:t xml:space="preserve">Amortisation of other intangible assets</x:t>
  </x:si>
  <x:si>
    <x:t xml:space="preserve">Non-recurring reorganisation costs</x:t>
  </x:si>
  <x:si>
    <x:t xml:space="preserve">Other non-core operating exp.</x:t>
  </x:si>
  <x:si>
    <x:t xml:space="preserve">Operating Profit</x:t>
  </x:si>
  <x:si>
    <x:t xml:space="preserve">Finance costs</x:t>
  </x:si>
  <x:si>
    <x:t xml:space="preserve">- early settlement of LT notes</x:t>
  </x:si>
  <x:si>
    <x:t xml:space="preserve">- Non-cash interest exp</x:t>
  </x:si>
  <x:si>
    <x:t xml:space="preserve">- cash int exp.</x:t>
  </x:si>
  <x:si>
    <x:t xml:space="preserve">Shaer of net (losses)/ profits of asso</x:t>
  </x:si>
  <x:si>
    <x:t xml:space="preserve">Profit before tax</x:t>
  </x:si>
  <x:si>
    <x:t xml:space="preserve">Taxation</x:t>
  </x:si>
  <x:si>
    <x:t xml:space="preserve">Profit for the year from Continuing Operations</x:t>
  </x:si>
  <x:si>
    <x:t xml:space="preserve">Discontinued Operations</x:t>
  </x:si>
  <x:si>
    <x:t xml:space="preserve">Loss for the year</x:t>
  </x:si>
  <x:si>
    <x:t xml:space="preserve">Net Profit/ (Loss) for the year</x:t>
  </x:si>
  <x:si>
    <x:t xml:space="preserve">NPM (%)</x:t>
  </x:si>
  <x:si>
    <x:t xml:space="preserve">Profit/(loss) attributable to:</x:t>
  </x:si>
  <x:si>
    <x:t xml:space="preserve">- Shareholders of the Co</x:t>
  </x:si>
  <x:si>
    <x:t xml:space="preserve">- Holders of perpetual capital securities</x:t>
  </x:si>
  <x:si>
    <x:t xml:space="preserve">- non-controlling interests</x:t>
  </x:si>
  <x:si>
    <x:t xml:space="preserve">EBITDA</x:t>
  </x:si>
  <x:si>
    <x:t xml:space="preserve">Adjusted EBITDA (USD m)</x:t>
  </x:si>
  <x:si>
    <x:t xml:space="preserve">- Core Operating Profit</x:t>
  </x:si>
  <x:si>
    <x:t xml:space="preserve">- Depreciation of PPE</x:t>
  </x:si>
  <x:si>
    <x:t xml:space="preserve">- Amoritzation of Rights-of-use assets</x:t>
  </x:si>
  <x:si>
    <x:t xml:space="preserve">- Amortization of software dev.</x:t>
  </x:si>
  <x:si>
    <x:t xml:space="preserve">Adjusted EBITDA Margin (%)</x:t>
  </x:si>
  <x:si>
    <x:t xml:space="preserve">Avg Historical P/E Ratio</x:t>
  </x:si>
  <x:si>
    <x:t xml:space="preserve">AV/EBITDA Ratio</x:t>
  </x:si>
  <x:si>
    <x:t xml:space="preserve">Privatisation Price:</x:t>
  </x:si>
  <x:si>
    <x:t xml:space="preserve">P/E Ratio</x:t>
  </x:si>
  <x:si>
    <x:t xml:space="preserve">AV/ Adjusted EBITDA</x:t>
  </x:si>
  <x:si>
    <x:t xml:space="preserve">TTM PE</x:t>
  </x:si>
  <x:si>
    <x:t xml:space="preserve">2026F PE</x:t>
  </x:si>
  <x:si>
    <x:t xml:space="preserve">2027F PE</x:t>
  </x:si>
  <x:si>
    <x:t xml:space="preserve">TTM EV/Sales</x:t>
  </x:si>
  <x:si>
    <x:t xml:space="preserve">2026F EV/Sales</x:t>
  </x:si>
  <x:si>
    <x:t xml:space="preserve">2027F EV/Sales</x:t>
  </x:si>
  <x:si>
    <x:t xml:space="preserve">TTM EV/EBITDA</x:t>
  </x:si>
  <x:si>
    <x:t xml:space="preserve">2026F EV/EBITDA</x:t>
  </x:si>
  <x:si>
    <x:t xml:space="preserve">2027F EV/EBITDA</x:t>
  </x:si>
  <x:si>
    <x:t xml:space="preserve">OEM</x:t>
  </x:si>
  <x:si>
    <x:t xml:space="preserve">PDSL IN Equity</x:t>
  </x:si>
  <x:si>
    <x:t xml:space="preserve">PDS Limited</x:t>
  </x:si>
  <x:si>
    <x:t xml:space="preserve">A global fashion infrastructure enterprise offering a consumer-driven platform for design-led sourcing, manufacturing, and supply chain solutions </x:t>
  </x:si>
  <x:si>
    <x:t xml:space="preserve">1346 HK Equity</x:t>
  </x:si>
  <x:si>
    <x:t xml:space="preserve">Lever Style Corporation</x:t>
  </x:si>
  <x:si>
    <x:t xml:space="preserve">A B Corp certified apparel supply chain platform providing technical design and flexible manufacturing for premium and activewear brands globally</x:t>
  </x:si>
  <x:si>
    <x:t xml:space="preserve">2232 HK Equity</x:t>
  </x:si>
  <x:si>
    <x:t xml:space="preserve">Crystal International Group Limited</x:t>
  </x:si>
  <x:si>
    <x:t xml:space="preserve">A global leader in apparel manufacturing with a vertically integrated multi-country platform specializing in denim, knits, sportswear, and intimates</x:t>
  </x:si>
  <x:si>
    <x:t xml:space="preserve">105630 KS Equity</x:t>
  </x:si>
  <x:si>
    <x:t xml:space="preserve">Hansae Co., Ltd.</x:t>
  </x:si>
  <x:si>
    <x:t xml:space="preserve">A South Korean-based global fashion company specializing in the original design and equipment manufacturing (ODM/OEM) of garments for iconic international brands</x:t>
  </x:si>
  <x:si>
    <x:t xml:space="preserve">2313 HK Equity</x:t>
  </x:si>
  <x:si>
    <x:t xml:space="preserve">Shenzhou International Group Holdings Limited</x:t>
  </x:si>
  <x:si>
    <x:t xml:space="preserve">The largest vertically integrated knitwear manufacturer in China, providing premium sportswear, casual wear, and lingerie to major global brands</x:t>
  </x:si>
  <x:si>
    <x:t xml:space="preserve">Max</x:t>
  </x:si>
  <x:si>
    <x:t xml:space="preserve">Avg</x:t>
  </x:si>
  <x:si>
    <x:t xml:space="preserve">Median</x:t>
  </x:si>
  <x:si>
    <x:t xml:space="preserve">Min</x:t>
  </x:si>
  <x:si>
    <x:t xml:space="preserve">Logistics</x:t>
  </x:si>
  <x:si>
    <x:t xml:space="preserve">636 HK Equity</x:t>
  </x:si>
  <x:si>
    <x:t xml:space="preserve">KLN Logistics Group Limited</x:t>
  </x:si>
  <x:si>
    <x:t xml:space="preserve">An Asia-based global 3PL (formerly Kerry Logistics) providing integrated logistics and international freight forwarding as the international arm of S.F. Holding</x:t>
  </x:si>
  <x:si>
    <x:t xml:space="preserve">DSV DC Equity</x:t>
  </x:si>
  <x:si>
    <x:t xml:space="preserve">DSV A/S</x:t>
  </x:si>
  <x:si>
    <x:t xml:space="preserve">A Denmark-headquartered transport leader and one of the world's largest freight forwarders, offering global road, air, sea, and contract logistics services </x:t>
  </x:si>
  <x:si>
    <x:t xml:space="preserve">KNIN SW Equity</x:t>
  </x:si>
  <x:si>
    <x:t xml:space="preserve">Kuehne+Nagel International AG</x:t>
  </x:si>
  <x:si>
    <x:t xml:space="preserve">A Swiss-based global logistics partner and the world's number one sea and air freight forwarder, specializing in innovative, IT-based integrated supply chain solutions</x:t>
  </x:si>
  <x:si>
    <x:t xml:space="preserve">DHL GY Equity</x:t>
  </x:si>
  <x:si>
    <x:t xml:space="preserve">DHL Group</x:t>
  </x:si>
  <x:si>
    <x:t xml:space="preserve">The world’s leading logistics company, operating the global DHL brand for express and supply chain services alongside Deutsche Post, Europe’s largest postal provider </x:t>
  </x:si>
  <x:si>
    <x:t xml:space="preserve">GXO US Equity</x:t>
  </x:si>
  <x:si>
    <x:t xml:space="preserve">GXO Logistics, Inc.</x:t>
  </x:si>
  <x:si>
    <x:t xml:space="preserve">The world’s largest pure-play contract logistics provider, delivering tech-enabled warehousing, e-commerce fulfillment, and reverse logistics for blue-chip corporations </x:t>
  </x:si>
  <x:si>
    <x:t xml:space="preserve">Li &amp; Fung Valuation - mkt multiples</x:t>
  </x:si>
  <x:si>
    <x:t xml:space="preserve">PDS Only</x:t>
  </x:si>
  <x:si>
    <x:t xml:space="preserve">Avg 2026 P/E</x:t>
  </x:si>
  <x:si>
    <x:t xml:space="preserve">Avg 2027 P/E</x:t>
  </x:si>
  <x:si>
    <x:t xml:space="preserve">Avg 2026 EV/EBITDA</x:t>
  </x:si>
  <x:si>
    <x:t xml:space="preserve">Avg 2027 EV/EBITDA</x:t>
  </x:si>
  <x:si>
    <x:t xml:space="preserve">2026 EV/ Sales</x:t>
  </x:si>
  <x:si>
    <x:t xml:space="preserve">2027 EV/ Sales</x:t>
  </x:si>
  <x:si>
    <x:t xml:space="preserve">Li &amp; Fung</x:t>
  </x:si>
  <x:si>
    <x:t xml:space="preserve">2025 Net Profit (USDm)</x:t>
  </x:si>
  <x:si>
    <x:t xml:space="preserve">-assume yoy growth</x:t>
  </x:si>
  <x:si>
    <x:t xml:space="preserve">2026 Net Profit (USDm)</x:t>
  </x:si>
  <x:si>
    <x:t xml:space="preserve">2027 Net Profit (USDm)</x:t>
  </x:si>
  <x:si>
    <x:t xml:space="preserve">2025 Adj. EBITDA (USDm)</x:t>
  </x:si>
  <x:si>
    <x:t xml:space="preserve">2026 Adj. EBITDA (USDm)</x:t>
  </x:si>
  <x:si>
    <x:t xml:space="preserve">2027 Adj. EBITDA (USDm)</x:t>
  </x:si>
  <x:si>
    <x:t xml:space="preserve">2025 Sales</x:t>
  </x:si>
  <x:si>
    <x:t xml:space="preserve">2026 Sales</x:t>
  </x:si>
  <x:si>
    <x:t xml:space="preserve">2027 Sales</x:t>
  </x:si>
  <x:si>
    <x:t xml:space="preserve">Valuation （USDm)</x:t>
  </x:si>
  <x:si>
    <x:t xml:space="preserve">by 2026 P/E</x:t>
  </x:si>
  <x:si>
    <x:t xml:space="preserve">by 2027 P/E</x:t>
  </x:si>
  <x:si>
    <x:t xml:space="preserve">Enterprise Value (USDm)</x:t>
  </x:si>
  <x:si>
    <x:t xml:space="preserve">by 2026 EV/EBITDA</x:t>
  </x:si>
  <x:si>
    <x:t xml:space="preserve">by 2027 EV/ EBITDA</x:t>
  </x:si>
  <x:si>
    <x:t xml:space="preserve">2025 Net Cash (USDm)</x:t>
  </x:si>
  <x:si>
    <x:t xml:space="preserve">Equity Value (USDm)</x:t>
  </x:si>
  <x:si>
    <x:t xml:space="preserve">by EV/ Sales 2026</x:t>
  </x:si>
  <x:si>
    <x:t xml:space="preserve">by EV/ Sales 2027</x:t>
  </x:si>
</x:sst>
</file>

<file path=xl/styles.xml><?xml version="1.0" encoding="utf-8"?>
<x:styleSheet xmlns:x="http://schemas.openxmlformats.org/spreadsheetml/2006/main">
  <x:numFmts count="14">
    <x:numFmt numFmtId="43" formatCode="_(* #,##0.00_);_(* \(#,##0.00\);_(* &quot;-&quot;??_);_(@_)"/>
    <x:numFmt numFmtId="164" formatCode="&quot;$&quot;#,##0.00"/>
    <x:numFmt numFmtId="165" formatCode="#,##0;\(#,##0\);\-"/>
    <x:numFmt numFmtId="166" formatCode="0.0%"/>
    <x:numFmt numFmtId="167" formatCode="0.0"/>
    <x:numFmt numFmtId="168" formatCode="0.0000"/>
    <x:numFmt numFmtId="169" formatCode="0.0&quot;x&quot;"/>
    <x:numFmt numFmtId="170" formatCode="0.00&quot;x&quot;"/>
    <x:numFmt numFmtId="171" formatCode="#,##0;\(#,##0\)"/>
    <x:numFmt numFmtId="172" formatCode="&quot;HK$&quot;0.00"/>
    <x:numFmt numFmtId="173" formatCode="_(* #,##0.0_);_(* \(#,##0.0\);_(* &quot;-&quot;??_);_(@_)"/>
    <x:numFmt numFmtId="174" formatCode="_(* #,##0_);_(* \(#,##0\);_(* &quot;-&quot;??_);_(@_)"/>
    <x:numFmt numFmtId="200" formatCode="$0.0"/>
    <x:numFmt numFmtId="201" formatCode="0.0x"/>
  </x:numFmts>
  <x:fonts count="42">
    <x:font>
      <x:sz val="12"/>
      <x:color theme="1"/>
      <x:name val="Aptos Narrow"/>
    </x:font>
    <x:font>
      <x:b/>
      <x:sz val="12"/>
      <x:color theme="1"/>
      <x:name val="Aptos Narrow"/>
    </x:font>
    <x:font>
      <x:b/>
      <x:sz val="14"/>
      <x:color rgb="FFFFFF"/>
      <x:name val="Aptos Narrow"/>
    </x:font>
    <x:font>
      <x:i/>
      <x:sz val="9"/>
      <x:color rgb="666666"/>
      <x:name val="Aptos Narrow"/>
    </x:font>
    <x:font>
      <x:sz val="10"/>
      <x:color theme="1"/>
      <x:name val="Aptos Narrow"/>
    </x:font>
    <x:font>
      <x:b/>
      <x:sz val="10"/>
      <x:color theme="1"/>
      <x:name val="Aptos Narrow"/>
    </x:font>
    <x:font>
      <x:sz val="12"/>
      <x:color rgb="0000FF"/>
      <x:name val="Aptos Narrow"/>
    </x:font>
    <x:font>
      <x:b/>
      <x:sz val="12"/>
      <x:color rgb="0000FF"/>
      <x:name val="Aptos Narrow"/>
    </x:font>
    <x:font>
      <x:b/>
      <x:sz val="10"/>
      <x:color rgb="000000"/>
      <x:name val="Tahoma"/>
    </x:font>
    <x:font>
      <x:b/>
      <x:sz val="12"/>
      <x:color rgb="FFFFFF"/>
      <x:name val="Aptos Narrow"/>
    </x:font>
    <x:font>
      <x:b/>
      <x:sz val="11"/>
      <x:color rgb="FFFFFF"/>
      <x:name val="Aptos Narrow"/>
    </x:font>
    <x:font>
      <x:sz val="9"/>
      <x:color theme="1"/>
      <x:name val="Aptos Narrow"/>
    </x:font>
    <x:font>
      <x:b/>
      <x:sz val="9"/>
      <x:color theme="1"/>
      <x:name val="Aptos Narrow"/>
    </x:font>
    <x:font>
      <x:i/>
      <x:sz val="9"/>
      <x:color theme="1"/>
      <x:name val="Aptos Narrow"/>
    </x:font>
    <x:font>
      <x:b/>
      <x:sz val="11"/>
      <x:color theme="1"/>
      <x:name val="Aptos Narrow"/>
    </x:font>
    <x:font>
      <x:sz val="12"/>
      <x:color rgb="008000"/>
      <x:name val="Aptos Narrow"/>
    </x:font>
    <x:font>
      <x:i/>
      <x:sz val="12"/>
      <x:color rgb="666666"/>
      <x:name val="Aptos Narrow"/>
    </x:font>
    <x:font>
      <x:sz val="12"/>
      <x:color rgb="666666"/>
      <x:name val="Aptos Narrow"/>
    </x:font>
    <x:font>
      <x:b/>
      <x:sz val="9"/>
      <x:color rgb="003366"/>
      <x:name val="Aptos Narrow"/>
    </x:font>
    <x:font>
      <x:sz val="9"/>
      <x:color rgb="666666"/>
      <x:name val="Aptos Narrow"/>
    </x:font>
    <x:font>
      <x:b/>
      <x:sz val="10"/>
      <x:color rgb="FFFFFF"/>
      <x:name val="Aptos Narrow"/>
    </x:font>
    <x:font>
      <x:i/>
      <x:sz val="12"/>
      <x:color rgb="888888"/>
      <x:name val="Aptos Narrow"/>
    </x:font>
    <x:font>
      <x:b/>
      <x:sz val="10"/>
      <x:color rgb="000000"/>
      <x:name val="Aptos Narrow"/>
    </x:font>
    <x:font>
      <x:b/>
      <x:sz val="12"/>
      <x:color rgb="000000"/>
      <x:name val="Aptos Narrow"/>
    </x:font>
    <x:font>
      <x:b/>
      <x:sz val="13"/>
      <x:color rgb="FFFFFF"/>
      <x:name val="Aptos Narrow"/>
    </x:font>
    <x:font>
      <x:b/>
      <x:i/>
      <x:sz val="11"/>
      <x:color rgb="FFFFFF"/>
      <x:name val="Aptos Narrow"/>
    </x:font>
    <x:font>
      <x:sz val="12"/>
      <x:color theme="1"/>
      <x:name val="Aptos Narrow"/>
    </x:font>
    <x:font>
      <x:b/>
      <x:sz val="12"/>
      <x:color theme="1"/>
      <x:name val="Aptos Narrow"/>
    </x:font>
    <x:font>
      <x:i/>
      <x:sz val="12"/>
      <x:color theme="1"/>
      <x:name val="Aptos Narrow"/>
    </x:font>
    <x:font>
      <x:sz val="12"/>
      <x:color theme="1"/>
      <x:name val="Aptos Narrow"/>
    </x:font>
    <x:font>
      <x:b/>
      <x:sz val="12"/>
      <x:color rgb="0070C0"/>
      <x:name val="Aptos Narrow"/>
    </x:font>
    <x:font>
      <x:sz val="12"/>
      <x:color rgb="0070C0"/>
      <x:name val="Aptos Narrow"/>
    </x:font>
    <x:font>
      <x:sz val="11"/>
      <x:color theme="1"/>
      <x:name val="Aptos Narrow"/>
    </x:font>
    <x:font>
      <x:sz val="11"/>
      <x:color rgb="FF0000"/>
      <x:name val="Aptos Narrow"/>
    </x:font>
    <x:font>
      <x:i/>
      <x:sz val="12"/>
      <x:color rgb="FF0000"/>
      <x:name val="Aptos Narrow"/>
    </x:font>
    <x:font>
      <x:i/>
      <x:sz val="12"/>
      <x:color theme="7"/>
      <x:name val="Aptos Narrow"/>
    </x:font>
    <x:font>
      <x:sz val="12"/>
      <x:color theme="7"/>
      <x:name val="Aptos Narrow"/>
    </x:font>
    <x:font>
      <x:b/>
      <x:i/>
      <x:sz val="12"/>
      <x:color theme="7"/>
      <x:name val="Aptos Narrow"/>
    </x:font>
    <x:font>
      <x:sz val="12"/>
      <x:color rgb="FF0000"/>
      <x:name val="Aptos Narrow"/>
    </x:font>
    <x:font>
      <x:sz val="12"/>
      <x:color rgb="C00000"/>
      <x:name val="Aptos Narrow"/>
    </x:font>
    <x:font>
      <x:b/>
      <x:sz val="12"/>
      <x:color rgb="666666"/>
      <x:name val="Aptos Narrow"/>
    </x:font>
    <x:font>
      <x:b/>
      <x:i/>
      <x:sz val="12"/>
      <x:color rgb="666666"/>
      <x:name val="Aptos Narrow"/>
    </x:font>
  </x:fonts>
  <x:fills count="21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F2F2F2"/>
      </x:patternFill>
    </x:fill>
    <x:fill>
      <x:patternFill patternType="solid">
        <x:fgColor rgb="D9E1F2"/>
      </x:patternFill>
    </x:fill>
    <x:fill>
      <x:patternFill patternType="solid">
        <x:fgColor rgb="BDD7EE"/>
      </x:patternFill>
    </x:fill>
    <x:fill>
      <x:patternFill patternType="solid">
        <x:fgColor rgb="FFFFFF"/>
      </x:patternFill>
    </x:fill>
    <x:fill>
      <x:patternFill patternType="solid">
        <x:fgColor rgb="E8F0FE"/>
      </x:patternFill>
    </x:fill>
    <x:fill>
      <x:patternFill patternType="solid">
        <x:fgColor rgb="003366"/>
      </x:patternFill>
    </x:fill>
    <x:fill>
      <x:patternFill patternType="solid">
        <x:fgColor rgb="FFFF00"/>
      </x:patternFill>
    </x:fill>
    <x:fill>
      <x:patternFill patternType="solid">
        <x:fgColor rgb="FFE0B2"/>
      </x:patternFill>
    </x:fill>
    <x:fill>
      <x:patternFill patternType="solid">
        <x:fgColor rgb="E8F5E9"/>
      </x:patternFill>
    </x:fill>
    <x:fill>
      <x:patternFill patternType="solid">
        <x:fgColor rgb="E2EFDA"/>
      </x:patternFill>
    </x:fill>
    <x:fill>
      <x:patternFill patternType="solid">
        <x:fgColor rgb="FFF2CC"/>
      </x:patternFill>
    </x:fill>
    <x:fill>
      <x:patternFill patternType="solid">
        <x:fgColor rgb="C00000"/>
      </x:patternFill>
    </x:fill>
    <x:fill>
      <x:patternFill patternType="solid">
        <x:fgColor rgb="375623"/>
      </x:patternFill>
    </x:fill>
    <x:fill>
      <x:patternFill patternType="solid">
        <x:fgColor rgb="4472C4"/>
      </x:patternFill>
    </x:fill>
    <x:fill>
      <x:patternFill patternType="solid">
        <x:fgColor rgb="1F4E79"/>
      </x:patternFill>
    </x:fill>
    <x:fill>
      <x:patternFill patternType="solid">
        <x:fgColor rgb="EAF3F8"/>
      </x:patternFill>
    </x:fill>
    <x:fill>
      <x:patternFill patternType="solid">
        <x:fgColor rgb="FFFFFF"/>
      </x:patternFill>
    </x:fill>
    <x:fill>
      <x:patternFill patternType="solid">
        <x:fgColor rgb="1F4E79"/>
      </x:patternFill>
    </x:fill>
  </x:fills>
  <x:borders count="88">
    <x:border/>
    <x:border>
      <x:top style="medium">
        <x:color auto="1"/>
      </x:top>
    </x:border>
    <x:border>
      <x:bottom style="medium">
        <x:color auto="1"/>
      </x:bottom>
    </x:border>
    <x:border>
      <x:left style="medium">
        <x:color auto="1"/>
      </x:left>
      <x:top style="medium">
        <x:color auto="1"/>
      </x:top>
    </x:border>
    <x:border>
      <x:left style="medium">
        <x:color auto="1"/>
      </x:left>
    </x:border>
    <x:border>
      <x:left style="medium">
        <x:color auto="1"/>
      </x:left>
      <x:bottom style="medium">
        <x:color auto="1"/>
      </x:bottom>
    </x:border>
    <x:border>
      <x:right style="medium">
        <x:color auto="1"/>
      </x:right>
      <x:top style="medium">
        <x:color auto="1"/>
      </x:top>
    </x:border>
    <x:border>
      <x:right style="medium">
        <x:color auto="1"/>
      </x:right>
    </x:border>
    <x:border>
      <x:right style="medium">
        <x:color auto="1"/>
      </x:right>
      <x:bottom style="medium">
        <x:color auto="1"/>
      </x:bottom>
    </x:border>
    <x:border>
      <x:left style="medium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medium">
        <x:color auto="1"/>
      </x:right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bottom style="double">
        <x:color auto="1"/>
      </x:bottom>
    </x:border>
    <x:border>
      <x:right style="medium">
        <x:color auto="1"/>
      </x:right>
      <x:bottom style="double">
        <x:color auto="1"/>
      </x:bottom>
    </x:border>
    <x:border>
      <x:right style="medium">
        <x:color auto="1"/>
      </x:right>
      <x:top style="medium">
        <x:color auto="1"/>
      </x:top>
      <x:bottom style="double">
        <x:color auto="1"/>
      </x:bottom>
    </x:border>
    <x:border>
      <x:top style="medium">
        <x:color auto="1"/>
      </x:top>
      <x:bottom style="double">
        <x:color auto="1"/>
      </x:bottom>
    </x:border>
    <x:border>
      <x:left style="medium">
        <x:color rgb="000000"/>
      </x:left>
      <x:top style="double">
        <x:color auto="1"/>
      </x:top>
      <x:bottom style="double">
        <x:color rgb="000000"/>
      </x:bottom>
    </x:border>
    <x:border>
      <x:top style="thin">
        <x:color indexed="64"/>
      </x:top>
      <x:bottom style="thin">
        <x:color indexed="64"/>
      </x:bottom>
    </x:border>
    <x:border/>
    <x:border>
      <x:left style="medium">
        <x:color auto="1"/>
      </x:left>
    </x:border>
    <x:border>
      <x:left style="medium">
        <x:color auto="1"/>
      </x:left>
      <x:bottom style="medium">
        <x:color auto="1"/>
      </x:bottom>
    </x:border>
    <x:border>
      <x:right style="medium">
        <x:color auto="1"/>
      </x:right>
    </x:border>
    <x:border>
      <x:bottom style="medium">
        <x:color auto="1"/>
      </x:bottom>
    </x:border>
    <x:border>
      <x:right style="medium">
        <x:color auto="1"/>
      </x:right>
      <x:bottom style="medium">
        <x:color auto="1"/>
      </x:bottom>
    </x:border>
    <x:border>
      <x:top style="medium">
        <x:color auto="1"/>
      </x:top>
    </x:border>
    <x:border>
      <x:left style="medium">
        <x:color auto="1"/>
      </x:left>
      <x:top style="medium">
        <x:color auto="1"/>
      </x:top>
    </x:border>
    <x:border>
      <x:right style="medium">
        <x:color auto="1"/>
      </x:right>
      <x:top style="medium">
        <x:color auto="1"/>
      </x:top>
    </x:border>
    <x:border>
      <x:left style="medium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medium">
        <x:color auto="1"/>
      </x:right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bottom style="double">
        <x:color auto="1"/>
      </x:bottom>
    </x:border>
    <x:border>
      <x:right style="medium">
        <x:color auto="1"/>
      </x:right>
      <x:bottom style="double">
        <x:color auto="1"/>
      </x:bottom>
    </x:border>
    <x:border>
      <x:top style="medium">
        <x:color auto="1"/>
      </x:top>
      <x:bottom style="double">
        <x:color auto="1"/>
      </x:bottom>
    </x:border>
    <x:border>
      <x:right style="medium">
        <x:color auto="1"/>
      </x:right>
      <x:top style="medium">
        <x:color auto="1"/>
      </x:top>
      <x:bottom style="double">
        <x:color auto="1"/>
      </x:bottom>
    </x:border>
    <x:border>
      <x:left style="medium">
        <x:color rgb="000000"/>
      </x:left>
      <x:top style="double">
        <x:color auto="1"/>
      </x:top>
      <x:bottom style="double">
        <x:color rgb="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top style="thin">
        <x:color indexed="64"/>
      </x:top>
      <x:bottom style="thin">
        <x:color indexed="64"/>
      </x:bottom>
    </x:border>
    <x:border>
      <x:bottom>
        <x:color rgb="D9E2F3"/>
      </x:bottom>
    </x:border>
    <x:border>
      <x:top>
        <x:color rgb="D9E2F3"/>
      </x:top>
      <x:bottom>
        <x:color rgb="D9E2F3"/>
      </x:bottom>
    </x:border>
    <x:border>
      <x:top>
        <x:color rgb="D9E2F3"/>
      </x:top>
    </x:border>
    <x:border>
      <x:bottom>
        <x:color rgb="D9E2F3"/>
      </x:bottom>
    </x:border>
    <x:border>
      <x:top>
        <x:color rgb="D9E2F3"/>
      </x:top>
      <x:bottom>
        <x:color rgb="D9E2F3"/>
      </x:bottom>
    </x:border>
    <x:border>
      <x:top>
        <x:color rgb="D9E2F3"/>
      </x:top>
    </x:border>
    <x:border>
      <x:top>
        <x:color rgb="1F4E79"/>
      </x:top>
    </x:border>
    <x:border>
      <x:top>
        <x:color rgb="1F4E79"/>
      </x:top>
    </x:border>
    <x:border>
      <x:bottom>
        <x:color rgb="999999"/>
      </x:bottom>
    </x:border>
    <x:border>
      <x:bottom>
        <x:color rgb="999999"/>
      </x:bottom>
    </x:border>
    <x:border>
      <x:right>
        <x:color rgb="E5E7EB"/>
      </x:right>
      <x:bottom>
        <x:color rgb="E5E7EB"/>
      </x:bottom>
    </x:border>
    <x:border>
      <x:left>
        <x:color rgb="E5E7EB"/>
      </x:left>
      <x:right>
        <x:color rgb="E5E7EB"/>
      </x:right>
      <x:bottom>
        <x:color rgb="E5E7EB"/>
      </x:bottom>
    </x:border>
    <x:border>
      <x:left>
        <x:color rgb="E5E7EB"/>
      </x:left>
      <x:bottom>
        <x:color rgb="E5E7EB"/>
      </x:bottom>
    </x:border>
    <x:border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top>
        <x:color rgb="E5E7EB"/>
      </x:top>
      <x:bottom>
        <x:color rgb="E5E7EB"/>
      </x:bottom>
    </x:border>
    <x:border>
      <x:right>
        <x:color rgb="E5E7EB"/>
      </x:right>
      <x:top>
        <x:color rgb="E5E7EB"/>
      </x:top>
    </x:border>
    <x:border>
      <x:left>
        <x:color rgb="E5E7EB"/>
      </x:left>
      <x:right>
        <x:color rgb="E5E7EB"/>
      </x:right>
      <x:top>
        <x:color rgb="E5E7EB"/>
      </x:top>
    </x:border>
    <x:border>
      <x:left>
        <x:color rgb="E5E7EB"/>
      </x:left>
      <x:top>
        <x:color rgb="E5E7EB"/>
      </x:top>
    </x:border>
    <x:border>
      <x:right>
        <x:color rgb="E5E7EB"/>
      </x:right>
      <x:bottom>
        <x:color rgb="E5E7EB"/>
      </x:bottom>
    </x:border>
    <x:border>
      <x:left>
        <x:color rgb="E5E7EB"/>
      </x:left>
      <x:right>
        <x:color rgb="E5E7EB"/>
      </x:right>
      <x:bottom>
        <x:color rgb="E5E7EB"/>
      </x:bottom>
    </x:border>
    <x:border>
      <x:left>
        <x:color rgb="E5E7EB"/>
      </x:left>
      <x:bottom>
        <x:color rgb="E5E7EB"/>
      </x:bottom>
    </x:border>
    <x:border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top>
        <x:color rgb="E5E7EB"/>
      </x:top>
      <x:bottom>
        <x:color rgb="E5E7EB"/>
      </x:bottom>
    </x:border>
    <x:border>
      <x:right>
        <x:color rgb="E5E7EB"/>
      </x:right>
      <x:top>
        <x:color rgb="E5E7EB"/>
      </x:top>
    </x:border>
    <x:border>
      <x:left>
        <x:color rgb="E5E7EB"/>
      </x:left>
      <x:right>
        <x:color rgb="E5E7EB"/>
      </x:right>
      <x:top>
        <x:color rgb="E5E7EB"/>
      </x:top>
    </x:border>
    <x:border>
      <x:left>
        <x:color rgb="E5E7EB"/>
      </x:left>
      <x:top>
        <x:color rgb="E5E7EB"/>
      </x:top>
    </x:border>
    <x:border>
      <x:bottom>
        <x:color rgb="D9E2F3"/>
      </x:bottom>
    </x:border>
    <x:border>
      <x:top>
        <x:color rgb="D9E2F3"/>
      </x:top>
      <x:bottom>
        <x:color rgb="D9E2F3"/>
      </x:bottom>
    </x:border>
    <x:border>
      <x:top>
        <x:color rgb="D9E2F3"/>
      </x:top>
      <x:bottom>
        <x:color rgb="D9E2F3"/>
      </x:bottom>
    </x:border>
    <x:border>
      <x:right>
        <x:color rgb="D9E2F3"/>
      </x:right>
      <x:bottom>
        <x:color rgb="D9E2F3"/>
      </x:bottom>
    </x:border>
    <x:border>
      <x:left>
        <x:color rgb="D9E2F3"/>
      </x:left>
      <x:right>
        <x:color rgb="D9E2F3"/>
      </x:right>
      <x:bottom>
        <x:color rgb="D9E2F3"/>
      </x:bottom>
    </x:border>
    <x:border>
      <x:left>
        <x:color rgb="D9E2F3"/>
      </x:left>
      <x:bottom>
        <x:color rgb="D9E2F3"/>
      </x:bottom>
    </x:border>
    <x:border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top>
        <x:color rgb="D9E2F3"/>
      </x:top>
      <x:bottom>
        <x:color rgb="D9E2F3"/>
      </x:bottom>
    </x:border>
    <x:border>
      <x:right>
        <x:color rgb="D9E2F3"/>
      </x:right>
      <x:top>
        <x:color rgb="D9E2F3"/>
      </x:top>
    </x:border>
    <x:border>
      <x:left>
        <x:color rgb="D9E2F3"/>
      </x:left>
      <x:right>
        <x:color rgb="D9E2F3"/>
      </x:right>
      <x:top>
        <x:color rgb="D9E2F3"/>
      </x:top>
    </x:border>
    <x:border>
      <x:left>
        <x:color rgb="D9E2F3"/>
      </x:left>
      <x:top>
        <x:color rgb="D9E2F3"/>
      </x:top>
    </x:border>
  </x:borders>
  <x:cellStyleXfs count="4">
    <x:xf numFmtId="0" fontId="0" fillId="0" borderId="0"/>
    <x:xf numFmtId="43" fontId="26" fillId="0" borderId="0" applyFont="0" applyFill="0" applyBorder="0" applyAlignment="0" applyProtection="0"/>
    <x:xf numFmtId="0" fontId="32" fillId="0" borderId="0"/>
    <x:xf numFmtId="9" fontId="26" fillId="0" borderId="0" applyFont="0" applyFill="0" applyBorder="0" applyAlignment="0" applyProtection="0"/>
  </x:cellStyleXfs>
  <x:cellXfs count="856">
    <x:xf numFmtId="0" fontId="0" fillId="0" borderId="0" xfId="0"/>
    <x:xf numFmtId="0" fontId="2" fillId="2" borderId="0" xfId="0" applyFont="1" applyFill="1"/>
    <x:xf numFmtId="0" fontId="0" fillId="2" borderId="0" xfId="0" applyFill="1"/>
    <x:xf numFmtId="0" fontId="3" fillId="0" borderId="0" xfId="0" applyFont="1"/>
    <x:xf numFmtId="0" fontId="5" fillId="0" borderId="0" xfId="0" applyFont="1"/>
    <x:xf numFmtId="0" fontId="10" fillId="2" borderId="0" xfId="0" applyFont="1" applyFill="1"/>
    <x:xf numFmtId="3" fontId="6" fillId="3" borderId="0" xfId="0" applyNumberFormat="1" applyFont="1" applyFill="1"/>
    <x:xf numFmtId="166" fontId="6" fillId="3" borderId="0" xfId="0" applyNumberFormat="1" applyFont="1" applyFill="1"/>
    <x:xf numFmtId="0" fontId="1" fillId="4" borderId="0" xfId="0" applyFont="1" applyFill="1"/>
    <x:xf numFmtId="166" fontId="0" fillId="0" borderId="0" xfId="0" applyNumberFormat="1"/>
    <x:xf numFmtId="3" fontId="6" fillId="0" borderId="0" xfId="0" applyNumberFormat="1" applyFont="1"/>
    <x:xf numFmtId="0" fontId="1" fillId="0" borderId="0" xfId="0" applyFont="1"/>
    <x:xf numFmtId="0" fontId="4" fillId="0" borderId="4" xfId="0" applyFont="1" applyBorder="1"/>
    <x:xf numFmtId="0" fontId="4" fillId="0" borderId="5" xfId="0" applyFont="1" applyBorder="1"/>
    <x:xf numFmtId="3" fontId="6" fillId="3" borderId="7" xfId="0" applyNumberFormat="1" applyFont="1" applyFill="1" applyBorder="1"/>
    <x:xf numFmtId="164" fontId="6" fillId="3" borderId="7" xfId="0" applyNumberFormat="1" applyFont="1" applyFill="1" applyBorder="1"/>
    <x:xf numFmtId="165" fontId="6" fillId="3" borderId="7" xfId="0" applyNumberFormat="1" applyFont="1" applyFill="1" applyBorder="1"/>
    <x:xf numFmtId="0" fontId="6" fillId="3" borderId="7" xfId="0" applyFont="1" applyFill="1" applyBorder="1"/>
    <x:xf numFmtId="166" fontId="6" fillId="3" borderId="7" xfId="0" applyNumberFormat="1" applyFont="1" applyFill="1" applyBorder="1"/>
    <x:xf numFmtId="0" fontId="12" fillId="4" borderId="0" xfId="0" applyFont="1" applyFill="1" applyAlignment="1">
      <x:alignment horizontal="center"/>
    </x:xf>
    <x:xf numFmtId="0" fontId="12" fillId="5" borderId="0" xfId="0" applyFont="1" applyFill="1" applyAlignment="1">
      <x:alignment horizontal="center"/>
    </x:xf>
    <x:xf numFmtId="166" fontId="0" fillId="0" borderId="2" xfId="0" applyNumberFormat="1" applyBorder="1"/>
    <x:xf numFmtId="0" fontId="12" fillId="4" borderId="4" xfId="0" applyFont="1" applyFill="1" applyBorder="1"/>
    <x:xf numFmtId="0" fontId="11" fillId="0" borderId="4" xfId="0" applyFont="1" applyBorder="1"/>
    <x:xf numFmtId="0" fontId="0" fillId="0" borderId="4" xfId="0" applyBorder="1"/>
    <x:xf numFmtId="0" fontId="12" fillId="5" borderId="4" xfId="0" applyFont="1" applyFill="1" applyBorder="1"/>
    <x:xf numFmtId="0" fontId="12" fillId="0" borderId="4" xfId="0" applyFont="1" applyBorder="1"/>
    <x:xf numFmtId="0" fontId="12" fillId="0" borderId="5" xfId="0" applyFont="1" applyBorder="1"/>
    <x:xf numFmtId="0" fontId="12" fillId="4" borderId="7" xfId="0" applyFont="1" applyFill="1" applyBorder="1" applyAlignment="1">
      <x:alignment horizontal="center"/>
    </x:xf>
    <x:xf numFmtId="0" fontId="0" fillId="0" borderId="7" xfId="0" applyBorder="1"/>
    <x:xf numFmtId="0" fontId="12" fillId="5" borderId="7" xfId="0" applyFont="1" applyFill="1" applyBorder="1" applyAlignment="1">
      <x:alignment horizontal="center"/>
    </x:xf>
    <x:xf numFmtId="166" fontId="0" fillId="0" borderId="7" xfId="0" applyNumberFormat="1" applyBorder="1"/>
    <x:xf numFmtId="3" fontId="0" fillId="0" borderId="0" xfId="0" applyNumberFormat="1"/>
    <x:xf numFmtId="166" fontId="11" fillId="0" borderId="0" xfId="0" applyNumberFormat="1" applyFont="1"/>
    <x:xf numFmtId="165" fontId="0" fillId="0" borderId="0" xfId="0" applyNumberFormat="1"/>
    <x:xf numFmtId="165" fontId="1" fillId="0" borderId="0" xfId="0" applyNumberFormat="1" applyFont="1"/>
    <x:xf numFmtId="166" fontId="11" fillId="0" borderId="2" xfId="0" applyNumberFormat="1" applyFont="1" applyBorder="1"/>
    <x:xf numFmtId="0" fontId="13" fillId="0" borderId="4" xfId="0" applyFont="1" applyBorder="1"/>
    <x:xf numFmtId="0" fontId="13" fillId="0" borderId="5" xfId="0" applyFont="1" applyBorder="1"/>
    <x:xf numFmtId="3" fontId="0" fillId="0" borderId="7" xfId="0" applyNumberFormat="1" applyBorder="1"/>
    <x:xf numFmtId="166" fontId="11" fillId="0" borderId="7" xfId="0" applyNumberFormat="1" applyFont="1" applyBorder="1"/>
    <x:xf numFmtId="165" fontId="0" fillId="0" borderId="7" xfId="0" applyNumberFormat="1" applyBorder="1"/>
    <x:xf numFmtId="165" fontId="1" fillId="0" borderId="7" xfId="0" applyNumberFormat="1" applyFont="1" applyBorder="1"/>
    <x:xf numFmtId="166" fontId="11" fillId="0" borderId="8" xfId="0" applyNumberFormat="1" applyFont="1" applyBorder="1"/>
    <x:xf numFmtId="167" fontId="0" fillId="0" borderId="0" xfId="0" applyNumberFormat="1" applyAlignment="1">
      <x:alignment horizontal="center"/>
    </x:xf>
    <x:xf numFmtId="168" fontId="0" fillId="0" borderId="0" xfId="0" applyNumberFormat="1"/>
    <x:xf numFmtId="0" fontId="5" fillId="0" borderId="4" xfId="0" applyFont="1" applyBorder="1"/>
    <x:xf numFmtId="167" fontId="0" fillId="0" borderId="7" xfId="0" applyNumberFormat="1" applyBorder="1" applyAlignment="1">
      <x:alignment horizontal="center"/>
    </x:xf>
    <x:xf numFmtId="168" fontId="0" fillId="0" borderId="7" xfId="0" applyNumberFormat="1" applyBorder="1"/>
    <x:xf numFmtId="3" fontId="1" fillId="0" borderId="7" xfId="0" applyNumberFormat="1" applyFont="1" applyBorder="1"/>
    <x:xf numFmtId="0" fontId="0" fillId="5" borderId="7" xfId="0" applyFill="1" applyBorder="1"/>
    <x:xf numFmtId="169" fontId="11" fillId="0" borderId="8" xfId="0" applyNumberFormat="1" applyFont="1" applyBorder="1"/>
    <x:xf numFmtId="0" fontId="0" fillId="0" borderId="1" xfId="0" applyBorder="1"/>
    <x:xf numFmtId="0" fontId="5" fillId="0" borderId="3" xfId="0" applyFont="1" applyBorder="1"/>
    <x:xf numFmtId="0" fontId="0" fillId="0" borderId="6" xfId="0" applyBorder="1"/>
    <x:xf numFmtId="0" fontId="12" fillId="4" borderId="9" xfId="0" applyFont="1" applyFill="1" applyBorder="1"/>
    <x:xf numFmtId="166" fontId="12" fillId="4" borderId="10" xfId="0" applyNumberFormat="1" applyFont="1" applyFill="1" applyBorder="1" applyAlignment="1">
      <x:alignment horizontal="center"/>
    </x:xf>
    <x:xf numFmtId="166" fontId="12" fillId="4" borderId="11" xfId="0" applyNumberFormat="1" applyFont="1" applyFill="1" applyBorder="1" applyAlignment="1">
      <x:alignment horizontal="center"/>
    </x:xf>
    <x:xf numFmtId="166" fontId="12" fillId="0" borderId="12" xfId="0" applyNumberFormat="1" applyFont="1" applyBorder="1"/>
    <x:xf numFmtId="166" fontId="12" fillId="0" borderId="15" xfId="0" applyNumberFormat="1" applyFont="1" applyBorder="1"/>
    <x:xf numFmtId="0" fontId="5" fillId="0" borderId="18" xfId="0" applyFont="1" applyBorder="1"/>
    <x:xf numFmtId="0" fontId="5" fillId="0" borderId="5" xfId="0" applyFont="1" applyBorder="1"/>
    <x:xf numFmtId="10" fontId="15" fillId="0" borderId="7" xfId="0" applyNumberFormat="1" applyFont="1" applyBorder="1"/>
    <x:xf numFmtId="2" fontId="15" fillId="0" borderId="7" xfId="0" applyNumberFormat="1" applyFont="1" applyBorder="1"/>
    <x:xf numFmtId="3" fontId="15" fillId="0" borderId="7" xfId="0" applyNumberFormat="1" applyFont="1" applyBorder="1"/>
    <x:xf numFmtId="170" fontId="0" fillId="0" borderId="7" xfId="0" applyNumberFormat="1" applyBorder="1"/>
    <x:xf numFmtId="2" fontId="0" fillId="0" borderId="7" xfId="0" applyNumberFormat="1" applyBorder="1"/>
    <x:xf numFmtId="10" fontId="1" fillId="5" borderId="8" xfId="0" applyNumberFormat="1" applyFont="1" applyFill="1" applyBorder="1"/>
    <x:xf numFmtId="10" fontId="0" fillId="0" borderId="7" xfId="0" applyNumberFormat="1" applyBorder="1"/>
    <x:xf numFmtId="0" fontId="5" fillId="4" borderId="3" xfId="0" applyFont="1" applyFill="1" applyBorder="1"/>
    <x:xf numFmtId="0" fontId="14" fillId="0" borderId="5" xfId="0" applyFont="1" applyBorder="1"/>
    <x:xf numFmtId="165" fontId="15" fillId="0" borderId="7" xfId="0" applyNumberFormat="1" applyFont="1" applyBorder="1"/>
    <x:xf numFmtId="0" fontId="16" fillId="0" borderId="0" xfId="0" applyFont="1"/>
    <x:xf numFmtId="0" fontId="1" fillId="4" borderId="0" xfId="0" applyFont="1" applyFill="1" applyAlignment="1">
      <x:alignment horizontal="center"/>
    </x:xf>
    <x:xf numFmtId="166" fontId="6" fillId="0" borderId="0" xfId="0" applyNumberFormat="1" applyFont="1"/>
    <x:xf numFmtId="171" fontId="6" fillId="3" borderId="0" xfId="0" applyNumberFormat="1" applyFont="1" applyFill="1"/>
    <x:xf numFmtId="171" fontId="6" fillId="0" borderId="0" xfId="0" applyNumberFormat="1" applyFont="1"/>
    <x:xf numFmtId="167" fontId="6" fillId="3" borderId="0" xfId="0" applyNumberFormat="1" applyFont="1" applyFill="1"/>
    <x:xf numFmtId="0" fontId="9" fillId="2" borderId="0" xfId="0" applyFont="1" applyFill="1"/>
    <x:xf numFmtId="0" fontId="1" fillId="0" borderId="0" xfId="0" applyFont="1" applyAlignment="1">
      <x:alignment horizontal="center"/>
    </x:xf>
    <x:xf numFmtId="166" fontId="7" fillId="3" borderId="0" xfId="0" applyNumberFormat="1" applyFont="1" applyFill="1"/>
    <x:xf numFmtId="0" fontId="16" fillId="0" borderId="4" xfId="0" applyFont="1" applyBorder="1"/>
    <x:xf numFmtId="0" fontId="1" fillId="7" borderId="0" xfId="0" applyFont="1" applyFill="1" applyAlignment="1">
      <x:alignment horizontal="center"/>
    </x:xf>
    <x:xf numFmtId="0" fontId="18" fillId="7" borderId="4" xfId="0" applyFont="1" applyFill="1" applyBorder="1"/>
    <x:xf numFmtId="0" fontId="3" fillId="0" borderId="4" xfId="0" applyFont="1" applyBorder="1"/>
    <x:xf numFmtId="166" fontId="19" fillId="0" borderId="0" xfId="0" applyNumberFormat="1" applyFont="1"/>
    <x:xf numFmtId="0" fontId="1" fillId="10" borderId="0" xfId="0" applyFont="1" applyFill="1" applyAlignment="1">
      <x:alignment horizontal="center"/>
    </x:xf>
    <x:xf numFmtId="0" fontId="1" fillId="11" borderId="0" xfId="0" applyFont="1" applyFill="1" applyAlignment="1">
      <x:alignment horizontal="center"/>
    </x:xf>
    <x:xf numFmtId="167" fontId="17" fillId="0" borderId="0" xfId="0" applyNumberFormat="1" applyFont="1"/>
    <x:xf numFmtId="0" fontId="10" fillId="8" borderId="0" xfId="0" applyFont="1" applyFill="1"/>
    <x:xf numFmtId="166" fontId="6" fillId="3" borderId="8" xfId="0" applyNumberFormat="1" applyFont="1" applyFill="1" applyBorder="1"/>
    <x:xf numFmtId="166" fontId="0" fillId="0" borderId="8" xfId="0" applyNumberFormat="1" applyBorder="1"/>
    <x:xf numFmtId="169" fontId="7" fillId="5" borderId="19" xfId="0" applyNumberFormat="1" applyFont="1" applyFill="1" applyBorder="1"/>
    <x:xf numFmtId="169" fontId="12" fillId="4" borderId="10" xfId="0" applyNumberFormat="1" applyFont="1" applyFill="1" applyBorder="1" applyAlignment="1">
      <x:alignment horizontal="center"/>
    </x:xf>
    <x:xf numFmtId="169" fontId="12" fillId="4" borderId="11" xfId="0" applyNumberFormat="1" applyFont="1" applyFill="1" applyBorder="1" applyAlignment="1">
      <x:alignment horizontal="center"/>
    </x:xf>
    <x:xf numFmtId="3" fontId="12" fillId="4" borderId="0" xfId="0" applyNumberFormat="1" applyFont="1" applyFill="1" applyAlignment="1">
      <x:alignment horizontal="center"/>
    </x:xf>
    <x:xf numFmtId="3" fontId="12" fillId="4" borderId="7" xfId="0" applyNumberFormat="1" applyFont="1" applyFill="1" applyBorder="1" applyAlignment="1">
      <x:alignment horizontal="center"/>
    </x:xf>
    <x:xf numFmtId="3" fontId="1" fillId="5" borderId="21" xfId="0" applyNumberFormat="1" applyFont="1" applyFill="1" applyBorder="1"/>
    <x:xf numFmtId="3" fontId="1" fillId="5" borderId="20" xfId="0" applyNumberFormat="1" applyFont="1" applyFill="1" applyBorder="1"/>
    <x:xf numFmtId="3" fontId="0" fillId="0" borderId="2" xfId="0" applyNumberFormat="1" applyBorder="1"/>
    <x:xf numFmtId="3" fontId="1" fillId="0" borderId="2" xfId="0" applyNumberFormat="1" applyFont="1" applyBorder="1"/>
    <x:xf numFmtId="3" fontId="1" fillId="0" borderId="8" xfId="0" applyNumberFormat="1" applyFont="1" applyBorder="1"/>
    <x:xf numFmtId="0" fontId="10" fillId="8" borderId="4" xfId="0" applyFont="1" applyFill="1" applyBorder="1"/>
    <x:xf numFmtId="0" fontId="7" fillId="9" borderId="0" xfId="0" applyFont="1" applyFill="1"/>
    <x:xf numFmtId="3" fontId="1" fillId="13" borderId="6" xfId="0" applyNumberFormat="1" applyFont="1" applyFill="1" applyBorder="1"/>
    <x:xf numFmtId="172" fontId="1" fillId="13" borderId="7" xfId="0" applyNumberFormat="1" applyFont="1" applyFill="1" applyBorder="1"/>
    <x:xf numFmtId="0" fontId="14" fillId="4" borderId="3" xfId="0" applyFont="1" applyFill="1" applyBorder="1"/>
    <x:xf numFmtId="10" fontId="12" fillId="4" borderId="10" xfId="0" applyNumberFormat="1" applyFont="1" applyFill="1" applyBorder="1" applyAlignment="1">
      <x:alignment horizontal="center"/>
    </x:xf>
    <x:xf numFmtId="10" fontId="12" fillId="4" borderId="11" xfId="0" applyNumberFormat="1" applyFont="1" applyFill="1" applyBorder="1" applyAlignment="1">
      <x:alignment horizontal="center"/>
    </x:xf>
    <x:xf numFmtId="0" fontId="9" fillId="2" borderId="7" xfId="0" applyFont="1" applyFill="1" applyBorder="1"/>
    <x:xf numFmtId="0" fontId="9" fillId="15" borderId="0" xfId="0" applyFont="1" applyFill="1"/>
    <x:xf numFmtId="0" fontId="9" fillId="15" borderId="7" xfId="0" applyFont="1" applyFill="1" applyBorder="1"/>
    <x:xf numFmtId="0" fontId="9" fillId="16" borderId="0" xfId="0" applyFont="1" applyFill="1"/>
    <x:xf numFmtId="0" fontId="9" fillId="16" borderId="7" xfId="0" applyFont="1" applyFill="1" applyBorder="1"/>
    <x:xf numFmtId="0" fontId="9" fillId="2" borderId="4" xfId="0" applyFont="1" applyFill="1" applyBorder="1"/>
    <x:xf numFmtId="0" fontId="9" fillId="15" borderId="4" xfId="0" applyFont="1" applyFill="1" applyBorder="1"/>
    <x:xf numFmtId="0" fontId="9" fillId="16" borderId="4" xfId="0" applyFont="1" applyFill="1" applyBorder="1"/>
    <x:xf numFmtId="166" fontId="17" fillId="6" borderId="0" xfId="0" applyNumberFormat="1" applyFont="1" applyFill="1"/>
    <x:xf numFmtId="0" fontId="21" fillId="3" borderId="0" xfId="0" applyFont="1" applyFill="1"/>
    <x:xf numFmtId="3" fontId="1" fillId="13" borderId="7" xfId="0" applyNumberFormat="1" applyFont="1" applyFill="1" applyBorder="1"/>
    <x:xf numFmtId="0" fontId="22" fillId="7" borderId="4" xfId="0" applyFont="1" applyFill="1" applyBorder="1"/>
    <x:xf numFmtId="0" fontId="7" fillId="0" borderId="0" xfId="0" applyFont="1" applyAlignment="1">
      <x:alignment horizontal="center"/>
    </x:xf>
    <x:xf numFmtId="0" fontId="10" fillId="8" borderId="22" xfId="0" applyFont="1" applyFill="1" applyBorder="1"/>
    <x:xf numFmtId="0" fontId="12" fillId="0" borderId="12" xfId="0" applyFont="1" applyBorder="1"/>
    <x:xf numFmtId="0" fontId="12" fillId="0" borderId="15" xfId="0" applyFont="1" applyBorder="1"/>
    <x:xf numFmtId="0" fontId="24" fillId="2" borderId="0" xfId="0" applyFont="1" applyFill="1"/>
    <x:xf numFmtId="0" fontId="25" fillId="8" borderId="4" xfId="0" applyFont="1" applyFill="1" applyBorder="1"/>
    <x:xf numFmtId="172" fontId="23" fillId="13" borderId="0" xfId="0" applyNumberFormat="1" applyFont="1" applyFill="1"/>
    <x:xf numFmtId="10" fontId="11" fillId="0" borderId="13" xfId="0" applyNumberFormat="1" applyFont="1" applyBorder="1"/>
    <x:xf numFmtId="10" fontId="11" fillId="0" borderId="14" xfId="0" applyNumberFormat="1" applyFont="1" applyBorder="1"/>
    <x:xf numFmtId="10" fontId="11" fillId="0" borderId="16" xfId="0" applyNumberFormat="1" applyFont="1" applyBorder="1"/>
    <x:xf numFmtId="10" fontId="11" fillId="0" borderId="17" xfId="0" applyNumberFormat="1" applyFont="1" applyBorder="1"/>
    <x:xf numFmtId="10" fontId="0" fillId="0" borderId="0" xfId="0" applyNumberFormat="1"/>
    <x:xf numFmtId="10" fontId="12" fillId="9" borderId="13" xfId="0" applyNumberFormat="1" applyFont="1" applyFill="1" applyBorder="1"/>
    <x:xf numFmtId="0" fontId="1" fillId="12" borderId="0" xfId="0" applyFont="1" applyFill="1" applyAlignment="1">
      <x:alignment horizontal="center"/>
    </x:xf>
    <x:xf numFmtId="172" fontId="11" fillId="0" borderId="13" xfId="0" applyNumberFormat="1" applyFont="1" applyBorder="1"/>
    <x:xf numFmtId="172" fontId="11" fillId="0" borderId="14" xfId="0" applyNumberFormat="1" applyFont="1" applyBorder="1"/>
    <x:xf numFmtId="172" fontId="12" fillId="9" borderId="13" xfId="0" applyNumberFormat="1" applyFont="1" applyFill="1" applyBorder="1"/>
    <x:xf numFmtId="172" fontId="11" fillId="0" borderId="16" xfId="0" applyNumberFormat="1" applyFont="1" applyBorder="1"/>
    <x:xf numFmtId="172" fontId="11" fillId="0" borderId="17" xfId="0" applyNumberFormat="1" applyFont="1" applyBorder="1"/>
    <x:xf numFmtId="0" fontId="27" fillId="0" borderId="0" xfId="0" applyFont="1"/>
    <x:xf numFmtId="0" fontId="28" fillId="0" borderId="0" xfId="0" applyFont="1"/>
    <x:xf numFmtId="0" fontId="0" fillId="0" borderId="0" xfId="0"/>
    <x:xf numFmtId="43" fontId="0" fillId="0" borderId="0" xfId="1" applyFont="1"/>
    <x:xf numFmtId="173" fontId="0" fillId="0" borderId="0" xfId="1" applyNumberFormat="1" applyFont="1"/>
    <x:xf numFmtId="174" fontId="0" fillId="0" borderId="0" xfId="1" applyNumberFormat="1" applyFont="1"/>
    <x:xf numFmtId="174" fontId="0" fillId="0" borderId="23" xfId="1" applyNumberFormat="1" applyFont="1" applyBorder="1"/>
    <x:xf numFmtId="174" fontId="1" fillId="0" borderId="23" xfId="1" applyNumberFormat="1" applyFont="1" applyBorder="1"/>
    <x:xf numFmtId="174" fontId="1" fillId="0" borderId="0" xfId="1" applyNumberFormat="1" applyFont="1"/>
    <x:xf numFmtId="0" fontId="29" fillId="0" borderId="0" xfId="0" applyFont="1"/>
    <x:xf numFmtId="174" fontId="0" fillId="0" borderId="0" xfId="0" applyNumberFormat="1"/>
    <x:xf numFmtId="0" fontId="30" fillId="0" borderId="0" xfId="0" applyFont="1"/>
    <x:xf numFmtId="0" fontId="31" fillId="0" borderId="0" xfId="0" applyFont="1"/>
    <x:xf numFmtId="174" fontId="31" fillId="0" borderId="0" xfId="0" applyNumberFormat="1" applyFont="1"/>
    <x:xf numFmtId="174" fontId="0" fillId="0" borderId="23" xfId="0" applyNumberFormat="1" applyBorder="1"/>
    <x:xf numFmtId="2" fontId="0" fillId="0" borderId="0" xfId="0" applyNumberFormat="1" applyAlignment="1">
      <x:alignment horizontal="center"/>
    </x:xf>
    <x:xf numFmtId="0" fontId="28" fillId="0" borderId="0" xfId="0" applyFont="1"/>
    <x:xf numFmtId="167" fontId="0" fillId="0" borderId="0" xfId="0" applyNumberFormat="1"/>
    <x:xf numFmtId="43" fontId="0" fillId="0" borderId="0" xfId="0" applyNumberFormat="1"/>
    <x:xf numFmtId="9" fontId="28" fillId="9" borderId="0" xfId="3" applyFont="1" applyFill="1"/>
    <x:xf numFmtId="0" fontId="34" fillId="0" borderId="0" xfId="0" applyFont="1"/>
    <x:xf numFmtId="166" fontId="34" fillId="0" borderId="0" xfId="3" applyNumberFormat="1" applyFont="1"/>
    <x:xf numFmtId="10" fontId="35" fillId="0" borderId="0" xfId="3" applyNumberFormat="1" applyFont="1"/>
    <x:xf numFmtId="0" fontId="36" fillId="0" borderId="0" xfId="0" applyFont="1"/>
    <x:xf numFmtId="0" fontId="35" fillId="0" borderId="0" xfId="0" applyFont="1"/>
    <x:xf numFmtId="0" fontId="37" fillId="0" borderId="0" xfId="0" applyFont="1"/>
    <x:xf numFmtId="0" fontId="32" fillId="0" borderId="0" xfId="2" applyAlignment="1">
      <x:alignment vertical="top" wrapText="1"/>
    </x:xf>
    <x:xf numFmtId="0" fontId="32" fillId="0" borderId="0" xfId="2" applyAlignment="1">
      <x:alignment vertical="top"/>
    </x:xf>
    <x:xf numFmtId="0" fontId="32" fillId="9" borderId="0" xfId="2" applyFill="1" applyAlignment="1">
      <x:alignment vertical="top"/>
    </x:xf>
    <x:xf numFmtId="0" fontId="32" fillId="9" borderId="0" xfId="2" applyFill="1" applyAlignment="1">
      <x:alignment vertical="top" wrapText="1"/>
    </x:xf>
    <x:xf numFmtId="2" fontId="32" fillId="9" borderId="0" xfId="2" applyNumberFormat="1" applyFill="1" applyAlignment="1">
      <x:alignment vertical="top" wrapText="1"/>
    </x:xf>
    <x:xf numFmtId="2" fontId="32" fillId="0" borderId="0" xfId="2" applyNumberFormat="1" applyAlignment="1">
      <x:alignment vertical="top" wrapText="1"/>
    </x:xf>
    <x:xf numFmtId="2" fontId="33" fillId="9" borderId="0" xfId="2" applyNumberFormat="1" applyFont="1" applyFill="1" applyAlignment="1">
      <x:alignment vertical="top" wrapText="1"/>
    </x:xf>
    <x:xf numFmtId="167" fontId="32" fillId="9" borderId="0" xfId="2" applyNumberFormat="1" applyFill="1" applyAlignment="1">
      <x:alignment vertical="top"/>
    </x:xf>
    <x:xf numFmtId="167" fontId="32" fillId="0" borderId="0" xfId="2" applyNumberFormat="1" applyAlignment="1">
      <x:alignment vertical="top"/>
    </x:xf>
    <x:xf numFmtId="167" fontId="33" fillId="9" borderId="0" xfId="2" applyNumberFormat="1" applyFont="1" applyFill="1" applyAlignment="1">
      <x:alignment vertical="top"/>
    </x:xf>
    <x:xf numFmtId="174" fontId="1" fillId="9" borderId="0" xfId="1" applyNumberFormat="1" applyFont="1" applyFill="1"/>
    <x:xf numFmtId="174" fontId="27" fillId="9" borderId="0" xfId="1" applyNumberFormat="1" applyFont="1" applyFill="1"/>
    <x:xf numFmtId="167" fontId="1" fillId="0" borderId="0" xfId="0" applyNumberFormat="1" applyFont="1"/>
    <x:xf numFmtId="0" fontId="38" fillId="0" borderId="0" xfId="0" applyFont="1"/>
    <x:xf numFmtId="167" fontId="38" fillId="0" borderId="0" xfId="0" applyNumberFormat="1" applyFont="1"/>
    <x:xf numFmtId="9" fontId="0" fillId="0" borderId="0" xfId="3" applyFont="1"/>
    <x:xf numFmtId="0" fontId="0" fillId="9" borderId="0" xfId="0" applyFill="1"/>
    <x:xf numFmtId="0" fontId="10" fillId="8" borderId="3" xfId="0" applyFont="1" applyFill="1" applyBorder="1" applyAlignment="1"/>
    <x:xf numFmtId="0" fontId="10" fillId="2" borderId="6" xfId="0" applyFont="1" applyFill="1" applyBorder="1" applyAlignment="1"/>
    <x:xf numFmtId="0" fontId="10" fillId="2" borderId="0" xfId="0" applyFont="1" applyFill="1" applyAlignment="1"/>
    <x:xf numFmtId="0" fontId="10" fillId="14" borderId="3" xfId="0" applyFont="1" applyFill="1" applyBorder="1" applyAlignment="1"/>
    <x:xf numFmtId="0" fontId="10" fillId="14" borderId="1" xfId="0" applyFont="1" applyFill="1" applyBorder="1" applyAlignment="1"/>
    <x:xf numFmtId="0" fontId="10" fillId="14" borderId="6" xfId="0" applyFont="1" applyFill="1" applyBorder="1" applyAlignment="1"/>
    <x:xf numFmtId="0" fontId="5" fillId="12" borderId="4" xfId="0" applyFont="1" applyFill="1" applyBorder="1" applyAlignment="1"/>
    <x:xf numFmtId="0" fontId="5" fillId="4" borderId="0" xfId="0" applyFont="1" applyFill="1" applyAlignment="1"/>
    <x:xf numFmtId="0" fontId="5" fillId="4" borderId="7" xfId="0" applyFont="1" applyFill="1" applyBorder="1" applyAlignment="1"/>
    <x:xf numFmtId="0" fontId="12" fillId="12" borderId="4" xfId="0" applyFont="1" applyFill="1" applyBorder="1" applyAlignment="1"/>
    <x:xf numFmtId="0" fontId="12" fillId="4" borderId="0" xfId="0" applyFont="1" applyFill="1" applyAlignment="1"/>
    <x:xf numFmtId="0" fontId="12" fillId="4" borderId="7" xfId="0" applyFont="1" applyFill="1" applyBorder="1" applyAlignment="1"/>
    <x:xf numFmtId="0" fontId="1" fillId="12" borderId="4" xfId="0" applyFont="1" applyFill="1" applyBorder="1" applyAlignment="1"/>
    <x:xf numFmtId="0" fontId="1" fillId="4" borderId="0" xfId="0" applyFont="1" applyFill="1" applyAlignment="1"/>
    <x:xf numFmtId="0" fontId="1" fillId="4" borderId="7" xfId="0" applyFont="1" applyFill="1" applyBorder="1" applyAlignment="1"/>
    <x:xf numFmtId="0" fontId="20" fillId="16" borderId="4" xfId="0" applyFont="1" applyFill="1" applyBorder="1" applyAlignment="1"/>
    <x:xf numFmtId="0" fontId="20" fillId="16" borderId="0" xfId="0" applyFont="1" applyFill="1" applyAlignment="1"/>
    <x:xf numFmtId="0" fontId="20" fillId="16" borderId="7" xfId="0" applyFont="1" applyFill="1" applyBorder="1" applyAlignment="1"/>
    <x:xf numFmtId="0" fontId="5" fillId="5" borderId="0" xfId="0" applyFont="1" applyFill="1" applyAlignment="1"/>
    <x:xf numFmtId="0" fontId="10" fillId="2" borderId="1" xfId="0" applyFont="1" applyFill="1" applyBorder="1" applyAlignment="1"/>
    <x:xf numFmtId="0" fontId="10" fillId="2" borderId="3" xfId="0" applyFont="1" applyFill="1" applyBorder="1" applyAlignment="1"/>
    <x:xf numFmtId="0" fontId="2" fillId="2" borderId="0" xfId="0" applyFont="1" applyFill="1" applyAlignment="1"/>
    <x:xf numFmtId="0" fontId="1" fillId="4" borderId="3" xfId="0" applyFont="1" applyFill="1" applyBorder="1" applyAlignment="1"/>
    <x:xf numFmtId="0" fontId="1" fillId="4" borderId="6" xfId="0" applyFont="1" applyFill="1" applyBorder="1" applyAlignment="1"/>
    <x:xf numFmtId="0" fontId="5" fillId="4" borderId="3" xfId="0" applyFont="1" applyFill="1" applyBorder="1" applyAlignment="1"/>
    <x:xf numFmtId="0" fontId="5" fillId="4" borderId="6" xfId="0" applyFont="1" applyFill="1" applyBorder="1" applyAlignment="1"/>
    <x:xf numFmtId="0" fontId="0" fillId="0" borderId="24" xfId="0" applyNumberFormat="1" applyFont="1" applyFill="1" applyBorder="1"/>
    <x:xf numFmtId="0" fontId="2" fillId="2" borderId="24" xfId="0" applyNumberFormat="1" applyFont="1" applyFill="1" applyBorder="1"/>
    <x:xf numFmtId="0" fontId="0" fillId="2" borderId="24" xfId="0" applyNumberFormat="1" applyFont="1" applyFill="1" applyBorder="1"/>
    <x:xf numFmtId="0" fontId="3" fillId="0" borderId="24" xfId="0" applyNumberFormat="1" applyFont="1" applyFill="1" applyBorder="1"/>
    <x:xf numFmtId="0" fontId="5" fillId="0" borderId="24" xfId="0" applyNumberFormat="1" applyFont="1" applyFill="1" applyBorder="1"/>
    <x:xf numFmtId="0" fontId="10" fillId="2" borderId="24" xfId="0" applyNumberFormat="1" applyFont="1" applyFill="1" applyBorder="1"/>
    <x:xf numFmtId="3" fontId="6" fillId="3" borderId="24" xfId="0" applyNumberFormat="1" applyFont="1" applyFill="1" applyBorder="1"/>
    <x:xf numFmtId="166" fontId="6" fillId="3" borderId="24" xfId="0" applyNumberFormat="1" applyFont="1" applyFill="1" applyBorder="1"/>
    <x:xf numFmtId="0" fontId="1" fillId="4" borderId="24" xfId="0" applyNumberFormat="1" applyFont="1" applyFill="1" applyBorder="1"/>
    <x:xf numFmtId="166" fontId="0" fillId="0" borderId="24" xfId="0" applyNumberFormat="1" applyFont="1" applyFill="1" applyBorder="1"/>
    <x:xf numFmtId="3" fontId="6" fillId="0" borderId="24" xfId="0" applyNumberFormat="1" applyFont="1" applyFill="1" applyBorder="1"/>
    <x:xf numFmtId="0" fontId="1" fillId="0" borderId="24" xfId="0" applyNumberFormat="1" applyFont="1" applyFill="1" applyBorder="1"/>
    <x:xf numFmtId="0" fontId="4" fillId="0" borderId="25" xfId="0" applyNumberFormat="1" applyFont="1" applyFill="1" applyBorder="1"/>
    <x:xf numFmtId="0" fontId="4" fillId="0" borderId="26" xfId="0" applyNumberFormat="1" applyFont="1" applyFill="1" applyBorder="1"/>
    <x:xf numFmtId="3" fontId="6" fillId="3" borderId="27" xfId="0" applyNumberFormat="1" applyFont="1" applyFill="1" applyBorder="1"/>
    <x:xf numFmtId="164" fontId="6" fillId="3" borderId="27" xfId="0" applyNumberFormat="1" applyFont="1" applyFill="1" applyBorder="1"/>
    <x:xf numFmtId="165" fontId="6" fillId="3" borderId="27" xfId="0" applyNumberFormat="1" applyFont="1" applyFill="1" applyBorder="1"/>
    <x:xf numFmtId="0" fontId="6" fillId="3" borderId="27" xfId="0" applyNumberFormat="1" applyFont="1" applyFill="1" applyBorder="1"/>
    <x:xf numFmtId="166" fontId="6" fillId="3" borderId="27" xfId="0" applyNumberFormat="1" applyFont="1" applyFill="1" applyBorder="1"/>
    <x:xf numFmtId="0" fontId="12" fillId="4" borderId="24" xfId="0" applyNumberFormat="1" applyFont="1" applyFill="1" applyBorder="1" applyAlignment="1">
      <x:alignment horizontal="center"/>
    </x:xf>
    <x:xf numFmtId="0" fontId="12" fillId="5" borderId="24" xfId="0" applyNumberFormat="1" applyFont="1" applyFill="1" applyBorder="1" applyAlignment="1">
      <x:alignment horizontal="center"/>
    </x:xf>
    <x:xf numFmtId="166" fontId="0" fillId="0" borderId="28" xfId="0" applyNumberFormat="1" applyFont="1" applyFill="1" applyBorder="1"/>
    <x:xf numFmtId="0" fontId="12" fillId="4" borderId="25" xfId="0" applyNumberFormat="1" applyFont="1" applyFill="1" applyBorder="1"/>
    <x:xf numFmtId="0" fontId="11" fillId="0" borderId="25" xfId="0" applyNumberFormat="1" applyFont="1" applyFill="1" applyBorder="1"/>
    <x:xf numFmtId="0" fontId="0" fillId="0" borderId="25" xfId="0" applyNumberFormat="1" applyFont="1" applyFill="1" applyBorder="1"/>
    <x:xf numFmtId="0" fontId="12" fillId="5" borderId="25" xfId="0" applyNumberFormat="1" applyFont="1" applyFill="1" applyBorder="1"/>
    <x:xf numFmtId="0" fontId="12" fillId="0" borderId="25" xfId="0" applyNumberFormat="1" applyFont="1" applyFill="1" applyBorder="1"/>
    <x:xf numFmtId="0" fontId="12" fillId="0" borderId="26" xfId="0" applyNumberFormat="1" applyFont="1" applyFill="1" applyBorder="1"/>
    <x:xf numFmtId="0" fontId="12" fillId="4" borderId="27" xfId="0" applyNumberFormat="1" applyFont="1" applyFill="1" applyBorder="1" applyAlignment="1">
      <x:alignment horizontal="center"/>
    </x:xf>
    <x:xf numFmtId="0" fontId="0" fillId="0" borderId="27" xfId="0" applyNumberFormat="1" applyFont="1" applyFill="1" applyBorder="1"/>
    <x:xf numFmtId="0" fontId="12" fillId="5" borderId="27" xfId="0" applyNumberFormat="1" applyFont="1" applyFill="1" applyBorder="1" applyAlignment="1">
      <x:alignment horizontal="center"/>
    </x:xf>
    <x:xf numFmtId="166" fontId="0" fillId="0" borderId="27" xfId="0" applyNumberFormat="1" applyFont="1" applyFill="1" applyBorder="1"/>
    <x:xf numFmtId="3" fontId="0" fillId="0" borderId="24" xfId="0" applyNumberFormat="1" applyFont="1" applyFill="1" applyBorder="1"/>
    <x:xf numFmtId="166" fontId="11" fillId="0" borderId="24" xfId="0" applyNumberFormat="1" applyFont="1" applyFill="1" applyBorder="1"/>
    <x:xf numFmtId="165" fontId="0" fillId="0" borderId="24" xfId="0" applyNumberFormat="1" applyFont="1" applyFill="1" applyBorder="1"/>
    <x:xf numFmtId="165" fontId="1" fillId="0" borderId="24" xfId="0" applyNumberFormat="1" applyFont="1" applyFill="1" applyBorder="1"/>
    <x:xf numFmtId="166" fontId="11" fillId="0" borderId="28" xfId="0" applyNumberFormat="1" applyFont="1" applyFill="1" applyBorder="1"/>
    <x:xf numFmtId="0" fontId="13" fillId="0" borderId="25" xfId="0" applyNumberFormat="1" applyFont="1" applyFill="1" applyBorder="1"/>
    <x:xf numFmtId="0" fontId="13" fillId="0" borderId="26" xfId="0" applyNumberFormat="1" applyFont="1" applyFill="1" applyBorder="1"/>
    <x:xf numFmtId="3" fontId="0" fillId="0" borderId="27" xfId="0" applyNumberFormat="1" applyFont="1" applyFill="1" applyBorder="1"/>
    <x:xf numFmtId="166" fontId="11" fillId="0" borderId="27" xfId="0" applyNumberFormat="1" applyFont="1" applyFill="1" applyBorder="1"/>
    <x:xf numFmtId="165" fontId="0" fillId="0" borderId="27" xfId="0" applyNumberFormat="1" applyFont="1" applyFill="1" applyBorder="1"/>
    <x:xf numFmtId="165" fontId="1" fillId="0" borderId="27" xfId="0" applyNumberFormat="1" applyFont="1" applyFill="1" applyBorder="1"/>
    <x:xf numFmtId="166" fontId="11" fillId="0" borderId="29" xfId="0" applyNumberFormat="1" applyFont="1" applyFill="1" applyBorder="1"/>
    <x:xf numFmtId="167" fontId="0" fillId="0" borderId="24" xfId="0" applyNumberFormat="1" applyFont="1" applyFill="1" applyBorder="1" applyAlignment="1">
      <x:alignment horizontal="center"/>
    </x:xf>
    <x:xf numFmtId="168" fontId="0" fillId="0" borderId="24" xfId="0" applyNumberFormat="1" applyFont="1" applyFill="1" applyBorder="1"/>
    <x:xf numFmtId="0" fontId="5" fillId="0" borderId="25" xfId="0" applyNumberFormat="1" applyFont="1" applyFill="1" applyBorder="1"/>
    <x:xf numFmtId="167" fontId="0" fillId="0" borderId="27" xfId="0" applyNumberFormat="1" applyFont="1" applyFill="1" applyBorder="1" applyAlignment="1">
      <x:alignment horizontal="center"/>
    </x:xf>
    <x:xf numFmtId="168" fontId="0" fillId="0" borderId="27" xfId="0" applyNumberFormat="1" applyFont="1" applyFill="1" applyBorder="1"/>
    <x:xf numFmtId="3" fontId="1" fillId="0" borderId="27" xfId="0" applyNumberFormat="1" applyFont="1" applyFill="1" applyBorder="1"/>
    <x:xf numFmtId="0" fontId="0" fillId="5" borderId="27" xfId="0" applyNumberFormat="1" applyFont="1" applyFill="1" applyBorder="1"/>
    <x:xf numFmtId="169" fontId="11" fillId="0" borderId="29" xfId="0" applyNumberFormat="1" applyFont="1" applyFill="1" applyBorder="1"/>
    <x:xf numFmtId="0" fontId="0" fillId="0" borderId="30" xfId="0" applyNumberFormat="1" applyFont="1" applyFill="1" applyBorder="1"/>
    <x:xf numFmtId="0" fontId="5" fillId="0" borderId="31" xfId="0" applyNumberFormat="1" applyFont="1" applyFill="1" applyBorder="1"/>
    <x:xf numFmtId="0" fontId="0" fillId="0" borderId="32" xfId="0" applyNumberFormat="1" applyFont="1" applyFill="1" applyBorder="1"/>
    <x:xf numFmtId="0" fontId="12" fillId="4" borderId="33" xfId="0" applyNumberFormat="1" applyFont="1" applyFill="1" applyBorder="1"/>
    <x:xf numFmtId="166" fontId="12" fillId="4" borderId="34" xfId="0" applyNumberFormat="1" applyFont="1" applyFill="1" applyBorder="1" applyAlignment="1">
      <x:alignment horizontal="center"/>
    </x:xf>
    <x:xf numFmtId="166" fontId="12" fillId="4" borderId="35" xfId="0" applyNumberFormat="1" applyFont="1" applyFill="1" applyBorder="1" applyAlignment="1">
      <x:alignment horizontal="center"/>
    </x:xf>
    <x:xf numFmtId="166" fontId="12" fillId="0" borderId="36" xfId="0" applyNumberFormat="1" applyFont="1" applyFill="1" applyBorder="1"/>
    <x:xf numFmtId="166" fontId="12" fillId="0" borderId="37" xfId="0" applyNumberFormat="1" applyFont="1" applyFill="1" applyBorder="1"/>
    <x:xf numFmtId="0" fontId="5" fillId="0" borderId="38" xfId="0" applyNumberFormat="1" applyFont="1" applyFill="1" applyBorder="1"/>
    <x:xf numFmtId="0" fontId="5" fillId="0" borderId="26" xfId="0" applyNumberFormat="1" applyFont="1" applyFill="1" applyBorder="1"/>
    <x:xf numFmtId="10" fontId="15" fillId="0" borderId="27" xfId="0" applyNumberFormat="1" applyFont="1" applyFill="1" applyBorder="1"/>
    <x:xf numFmtId="2" fontId="15" fillId="0" borderId="27" xfId="0" applyNumberFormat="1" applyFont="1" applyFill="1" applyBorder="1"/>
    <x:xf numFmtId="3" fontId="15" fillId="0" borderId="27" xfId="0" applyNumberFormat="1" applyFont="1" applyFill="1" applyBorder="1"/>
    <x:xf numFmtId="170" fontId="0" fillId="0" borderId="27" xfId="0" applyNumberFormat="1" applyFont="1" applyFill="1" applyBorder="1"/>
    <x:xf numFmtId="2" fontId="0" fillId="0" borderId="27" xfId="0" applyNumberFormat="1" applyFont="1" applyFill="1" applyBorder="1"/>
    <x:xf numFmtId="10" fontId="1" fillId="5" borderId="29" xfId="0" applyNumberFormat="1" applyFont="1" applyFill="1" applyBorder="1"/>
    <x:xf numFmtId="10" fontId="0" fillId="0" borderId="27" xfId="0" applyNumberFormat="1" applyFont="1" applyFill="1" applyBorder="1"/>
    <x:xf numFmtId="0" fontId="5" fillId="4" borderId="31" xfId="0" applyNumberFormat="1" applyFont="1" applyFill="1" applyBorder="1"/>
    <x:xf numFmtId="0" fontId="14" fillId="0" borderId="26" xfId="0" applyNumberFormat="1" applyFont="1" applyFill="1" applyBorder="1"/>
    <x:xf numFmtId="165" fontId="15" fillId="0" borderId="27" xfId="0" applyNumberFormat="1" applyFont="1" applyFill="1" applyBorder="1"/>
    <x:xf numFmtId="0" fontId="16" fillId="0" borderId="24" xfId="0" applyNumberFormat="1" applyFont="1" applyFill="1" applyBorder="1"/>
    <x:xf numFmtId="0" fontId="1" fillId="4" borderId="24" xfId="0" applyNumberFormat="1" applyFont="1" applyFill="1" applyBorder="1" applyAlignment="1">
      <x:alignment horizontal="center"/>
    </x:xf>
    <x:xf numFmtId="166" fontId="6" fillId="0" borderId="24" xfId="0" applyNumberFormat="1" applyFont="1" applyFill="1" applyBorder="1"/>
    <x:xf numFmtId="171" fontId="6" fillId="3" borderId="24" xfId="0" applyNumberFormat="1" applyFont="1" applyFill="1" applyBorder="1"/>
    <x:xf numFmtId="171" fontId="6" fillId="0" borderId="24" xfId="0" applyNumberFormat="1" applyFont="1" applyFill="1" applyBorder="1"/>
    <x:xf numFmtId="167" fontId="6" fillId="3" borderId="24" xfId="0" applyNumberFormat="1" applyFont="1" applyFill="1" applyBorder="1"/>
    <x:xf numFmtId="0" fontId="9" fillId="2" borderId="24" xfId="0" applyNumberFormat="1" applyFont="1" applyFill="1" applyBorder="1"/>
    <x:xf numFmtId="0" fontId="1" fillId="0" borderId="24" xfId="0" applyNumberFormat="1" applyFont="1" applyFill="1" applyBorder="1" applyAlignment="1">
      <x:alignment horizontal="center"/>
    </x:xf>
    <x:xf numFmtId="166" fontId="7" fillId="3" borderId="24" xfId="0" applyNumberFormat="1" applyFont="1" applyFill="1" applyBorder="1"/>
    <x:xf numFmtId="0" fontId="16" fillId="0" borderId="25" xfId="0" applyNumberFormat="1" applyFont="1" applyFill="1" applyBorder="1"/>
    <x:xf numFmtId="0" fontId="1" fillId="7" borderId="24" xfId="0" applyNumberFormat="1" applyFont="1" applyFill="1" applyBorder="1" applyAlignment="1">
      <x:alignment horizontal="center"/>
    </x:xf>
    <x:xf numFmtId="0" fontId="18" fillId="7" borderId="25" xfId="0" applyNumberFormat="1" applyFont="1" applyFill="1" applyBorder="1"/>
    <x:xf numFmtId="0" fontId="3" fillId="0" borderId="25" xfId="0" applyNumberFormat="1" applyFont="1" applyFill="1" applyBorder="1"/>
    <x:xf numFmtId="166" fontId="19" fillId="0" borderId="24" xfId="0" applyNumberFormat="1" applyFont="1" applyFill="1" applyBorder="1"/>
    <x:xf numFmtId="0" fontId="1" fillId="10" borderId="24" xfId="0" applyNumberFormat="1" applyFont="1" applyFill="1" applyBorder="1" applyAlignment="1">
      <x:alignment horizontal="center"/>
    </x:xf>
    <x:xf numFmtId="0" fontId="1" fillId="11" borderId="24" xfId="0" applyNumberFormat="1" applyFont="1" applyFill="1" applyBorder="1" applyAlignment="1">
      <x:alignment horizontal="center"/>
    </x:xf>
    <x:xf numFmtId="167" fontId="17" fillId="0" borderId="24" xfId="0" applyNumberFormat="1" applyFont="1" applyFill="1" applyBorder="1"/>
    <x:xf numFmtId="0" fontId="10" fillId="8" borderId="24" xfId="0" applyNumberFormat="1" applyFont="1" applyFill="1" applyBorder="1"/>
    <x:xf numFmtId="166" fontId="6" fillId="3" borderId="29" xfId="0" applyNumberFormat="1" applyFont="1" applyFill="1" applyBorder="1"/>
    <x:xf numFmtId="166" fontId="0" fillId="0" borderId="29" xfId="0" applyNumberFormat="1" applyFont="1" applyFill="1" applyBorder="1"/>
    <x:xf numFmtId="169" fontId="7" fillId="5" borderId="39" xfId="0" applyNumberFormat="1" applyFont="1" applyFill="1" applyBorder="1"/>
    <x:xf numFmtId="169" fontId="12" fillId="4" borderId="34" xfId="0" applyNumberFormat="1" applyFont="1" applyFill="1" applyBorder="1" applyAlignment="1">
      <x:alignment horizontal="center"/>
    </x:xf>
    <x:xf numFmtId="169" fontId="12" fillId="4" borderId="35" xfId="0" applyNumberFormat="1" applyFont="1" applyFill="1" applyBorder="1" applyAlignment="1">
      <x:alignment horizontal="center"/>
    </x:xf>
    <x:xf numFmtId="3" fontId="12" fillId="4" borderId="24" xfId="0" applyNumberFormat="1" applyFont="1" applyFill="1" applyBorder="1" applyAlignment="1">
      <x:alignment horizontal="center"/>
    </x:xf>
    <x:xf numFmtId="3" fontId="12" fillId="4" borderId="27" xfId="0" applyNumberFormat="1" applyFont="1" applyFill="1" applyBorder="1" applyAlignment="1">
      <x:alignment horizontal="center"/>
    </x:xf>
    <x:xf numFmtId="3" fontId="1" fillId="5" borderId="40" xfId="0" applyNumberFormat="1" applyFont="1" applyFill="1" applyBorder="1"/>
    <x:xf numFmtId="3" fontId="1" fillId="5" borderId="41" xfId="0" applyNumberFormat="1" applyFont="1" applyFill="1" applyBorder="1"/>
    <x:xf numFmtId="3" fontId="0" fillId="0" borderId="28" xfId="0" applyNumberFormat="1" applyFont="1" applyFill="1" applyBorder="1"/>
    <x:xf numFmtId="3" fontId="1" fillId="0" borderId="28" xfId="0" applyNumberFormat="1" applyFont="1" applyFill="1" applyBorder="1"/>
    <x:xf numFmtId="3" fontId="1" fillId="0" borderId="29" xfId="0" applyNumberFormat="1" applyFont="1" applyFill="1" applyBorder="1"/>
    <x:xf numFmtId="0" fontId="10" fillId="8" borderId="25" xfId="0" applyNumberFormat="1" applyFont="1" applyFill="1" applyBorder="1"/>
    <x:xf numFmtId="0" fontId="7" fillId="9" borderId="24" xfId="0" applyNumberFormat="1" applyFont="1" applyFill="1" applyBorder="1"/>
    <x:xf numFmtId="3" fontId="1" fillId="13" borderId="32" xfId="0" applyNumberFormat="1" applyFont="1" applyFill="1" applyBorder="1"/>
    <x:xf numFmtId="172" fontId="1" fillId="13" borderId="27" xfId="0" applyNumberFormat="1" applyFont="1" applyFill="1" applyBorder="1"/>
    <x:xf numFmtId="0" fontId="14" fillId="4" borderId="31" xfId="0" applyNumberFormat="1" applyFont="1" applyFill="1" applyBorder="1"/>
    <x:xf numFmtId="10" fontId="12" fillId="4" borderId="34" xfId="0" applyNumberFormat="1" applyFont="1" applyFill="1" applyBorder="1" applyAlignment="1">
      <x:alignment horizontal="center"/>
    </x:xf>
    <x:xf numFmtId="10" fontId="12" fillId="4" borderId="35" xfId="0" applyNumberFormat="1" applyFont="1" applyFill="1" applyBorder="1" applyAlignment="1">
      <x:alignment horizontal="center"/>
    </x:xf>
    <x:xf numFmtId="0" fontId="9" fillId="2" borderId="27" xfId="0" applyNumberFormat="1" applyFont="1" applyFill="1" applyBorder="1"/>
    <x:xf numFmtId="0" fontId="9" fillId="15" borderId="24" xfId="0" applyNumberFormat="1" applyFont="1" applyFill="1" applyBorder="1"/>
    <x:xf numFmtId="0" fontId="9" fillId="15" borderId="27" xfId="0" applyNumberFormat="1" applyFont="1" applyFill="1" applyBorder="1"/>
    <x:xf numFmtId="0" fontId="9" fillId="16" borderId="24" xfId="0" applyNumberFormat="1" applyFont="1" applyFill="1" applyBorder="1"/>
    <x:xf numFmtId="0" fontId="9" fillId="16" borderId="27" xfId="0" applyNumberFormat="1" applyFont="1" applyFill="1" applyBorder="1"/>
    <x:xf numFmtId="0" fontId="9" fillId="2" borderId="25" xfId="0" applyNumberFormat="1" applyFont="1" applyFill="1" applyBorder="1"/>
    <x:xf numFmtId="0" fontId="9" fillId="15" borderId="25" xfId="0" applyNumberFormat="1" applyFont="1" applyFill="1" applyBorder="1"/>
    <x:xf numFmtId="0" fontId="9" fillId="16" borderId="25" xfId="0" applyNumberFormat="1" applyFont="1" applyFill="1" applyBorder="1"/>
    <x:xf numFmtId="166" fontId="17" fillId="6" borderId="24" xfId="0" applyNumberFormat="1" applyFont="1" applyFill="1" applyBorder="1"/>
    <x:xf numFmtId="0" fontId="21" fillId="3" borderId="24" xfId="0" applyNumberFormat="1" applyFont="1" applyFill="1" applyBorder="1"/>
    <x:xf numFmtId="3" fontId="1" fillId="13" borderId="27" xfId="0" applyNumberFormat="1" applyFont="1" applyFill="1" applyBorder="1"/>
    <x:xf numFmtId="0" fontId="22" fillId="7" borderId="25" xfId="0" applyNumberFormat="1" applyFont="1" applyFill="1" applyBorder="1"/>
    <x:xf numFmtId="0" fontId="7" fillId="0" borderId="24" xfId="0" applyNumberFormat="1" applyFont="1" applyFill="1" applyBorder="1" applyAlignment="1">
      <x:alignment horizontal="center"/>
    </x:xf>
    <x:xf numFmtId="0" fontId="10" fillId="8" borderId="42" xfId="0" applyNumberFormat="1" applyFont="1" applyFill="1" applyBorder="1"/>
    <x:xf numFmtId="0" fontId="12" fillId="0" borderId="36" xfId="0" applyNumberFormat="1" applyFont="1" applyFill="1" applyBorder="1"/>
    <x:xf numFmtId="0" fontId="12" fillId="0" borderId="37" xfId="0" applyNumberFormat="1" applyFont="1" applyFill="1" applyBorder="1"/>
    <x:xf numFmtId="0" fontId="24" fillId="2" borderId="24" xfId="0" applyNumberFormat="1" applyFont="1" applyFill="1" applyBorder="1"/>
    <x:xf numFmtId="0" fontId="25" fillId="8" borderId="25" xfId="0" applyNumberFormat="1" applyFont="1" applyFill="1" applyBorder="1"/>
    <x:xf numFmtId="172" fontId="23" fillId="13" borderId="24" xfId="0" applyNumberFormat="1" applyFont="1" applyFill="1" applyBorder="1"/>
    <x:xf numFmtId="10" fontId="11" fillId="0" borderId="43" xfId="0" applyNumberFormat="1" applyFont="1" applyFill="1" applyBorder="1"/>
    <x:xf numFmtId="10" fontId="11" fillId="0" borderId="44" xfId="0" applyNumberFormat="1" applyFont="1" applyFill="1" applyBorder="1"/>
    <x:xf numFmtId="10" fontId="11" fillId="0" borderId="45" xfId="0" applyNumberFormat="1" applyFont="1" applyFill="1" applyBorder="1"/>
    <x:xf numFmtId="10" fontId="11" fillId="0" borderId="46" xfId="0" applyNumberFormat="1" applyFont="1" applyFill="1" applyBorder="1"/>
    <x:xf numFmtId="10" fontId="0" fillId="0" borderId="24" xfId="0" applyNumberFormat="1" applyFont="1" applyFill="1" applyBorder="1"/>
    <x:xf numFmtId="10" fontId="12" fillId="9" borderId="43" xfId="0" applyNumberFormat="1" applyFont="1" applyFill="1" applyBorder="1"/>
    <x:xf numFmtId="0" fontId="1" fillId="12" borderId="24" xfId="0" applyNumberFormat="1" applyFont="1" applyFill="1" applyBorder="1" applyAlignment="1">
      <x:alignment horizontal="center"/>
    </x:xf>
    <x:xf numFmtId="172" fontId="11" fillId="0" borderId="43" xfId="0" applyNumberFormat="1" applyFont="1" applyFill="1" applyBorder="1"/>
    <x:xf numFmtId="172" fontId="11" fillId="0" borderId="44" xfId="0" applyNumberFormat="1" applyFont="1" applyFill="1" applyBorder="1"/>
    <x:xf numFmtId="172" fontId="12" fillId="9" borderId="43" xfId="0" applyNumberFormat="1" applyFont="1" applyFill="1" applyBorder="1"/>
    <x:xf numFmtId="172" fontId="11" fillId="0" borderId="45" xfId="0" applyNumberFormat="1" applyFont="1" applyFill="1" applyBorder="1"/>
    <x:xf numFmtId="172" fontId="11" fillId="0" borderId="46" xfId="0" applyNumberFormat="1" applyFont="1" applyFill="1" applyBorder="1"/>
    <x:xf numFmtId="0" fontId="28" fillId="0" borderId="24" xfId="0" applyNumberFormat="1" applyFont="1" applyFill="1" applyBorder="1"/>
    <x:xf numFmtId="43" fontId="0" fillId="0" borderId="24" xfId="0" applyNumberFormat="1" applyFont="1" applyFill="1" applyBorder="1"/>
    <x:xf numFmtId="173" fontId="0" fillId="0" borderId="24" xfId="0" applyNumberFormat="1" applyFont="1" applyFill="1" applyBorder="1"/>
    <x:xf numFmtId="174" fontId="0" fillId="0" borderId="24" xfId="0" applyNumberFormat="1" applyFont="1" applyFill="1" applyBorder="1"/>
    <x:xf numFmtId="174" fontId="0" fillId="0" borderId="47" xfId="0" applyNumberFormat="1" applyFont="1" applyFill="1" applyBorder="1"/>
    <x:xf numFmtId="174" fontId="1" fillId="0" borderId="47" xfId="0" applyNumberFormat="1" applyFont="1" applyFill="1" applyBorder="1"/>
    <x:xf numFmtId="174" fontId="1" fillId="0" borderId="24" xfId="0" applyNumberFormat="1" applyFont="1" applyFill="1" applyBorder="1"/>
    <x:xf numFmtId="0" fontId="30" fillId="0" borderId="24" xfId="0" applyNumberFormat="1" applyFont="1" applyFill="1" applyBorder="1"/>
    <x:xf numFmtId="0" fontId="31" fillId="0" borderId="24" xfId="0" applyNumberFormat="1" applyFont="1" applyFill="1" applyBorder="1"/>
    <x:xf numFmtId="174" fontId="31" fillId="0" borderId="24" xfId="0" applyNumberFormat="1" applyFont="1" applyFill="1" applyBorder="1"/>
    <x:xf numFmtId="2" fontId="0" fillId="0" borderId="24" xfId="0" applyNumberFormat="1" applyFont="1" applyFill="1" applyBorder="1" applyAlignment="1">
      <x:alignment horizontal="center"/>
    </x:xf>
    <x:xf numFmtId="167" fontId="0" fillId="0" borderId="24" xfId="0" applyNumberFormat="1" applyFont="1" applyFill="1" applyBorder="1"/>
    <x:xf numFmtId="9" fontId="28" fillId="9" borderId="24" xfId="0" applyNumberFormat="1" applyFont="1" applyFill="1" applyBorder="1"/>
    <x:xf numFmtId="0" fontId="34" fillId="0" borderId="24" xfId="0" applyNumberFormat="1" applyFont="1" applyFill="1" applyBorder="1"/>
    <x:xf numFmtId="166" fontId="34" fillId="0" borderId="24" xfId="0" applyNumberFormat="1" applyFont="1" applyFill="1" applyBorder="1"/>
    <x:xf numFmtId="10" fontId="35" fillId="0" borderId="24" xfId="0" applyNumberFormat="1" applyFont="1" applyFill="1" applyBorder="1"/>
    <x:xf numFmtId="0" fontId="36" fillId="0" borderId="24" xfId="0" applyNumberFormat="1" applyFont="1" applyFill="1" applyBorder="1"/>
    <x:xf numFmtId="0" fontId="35" fillId="0" borderId="24" xfId="0" applyNumberFormat="1" applyFont="1" applyFill="1" applyBorder="1"/>
    <x:xf numFmtId="0" fontId="37" fillId="0" borderId="24" xfId="0" applyNumberFormat="1" applyFont="1" applyFill="1" applyBorder="1"/>
    <x:xf numFmtId="0" fontId="32" fillId="0" borderId="24" xfId="0" applyNumberFormat="1" applyFont="1" applyFill="1" applyBorder="1" applyAlignment="1">
      <x:alignment vertical="top" wrapText="1"/>
    </x:xf>
    <x:xf numFmtId="0" fontId="32" fillId="0" borderId="24" xfId="0" applyNumberFormat="1" applyFont="1" applyFill="1" applyBorder="1" applyAlignment="1">
      <x:alignment vertical="top"/>
    </x:xf>
    <x:xf numFmtId="0" fontId="32" fillId="9" borderId="24" xfId="0" applyNumberFormat="1" applyFont="1" applyFill="1" applyBorder="1" applyAlignment="1">
      <x:alignment vertical="top"/>
    </x:xf>
    <x:xf numFmtId="0" fontId="32" fillId="9" borderId="24" xfId="0" applyNumberFormat="1" applyFont="1" applyFill="1" applyBorder="1" applyAlignment="1">
      <x:alignment vertical="top" wrapText="1"/>
    </x:xf>
    <x:xf numFmtId="2" fontId="32" fillId="9" borderId="24" xfId="0" applyNumberFormat="1" applyFont="1" applyFill="1" applyBorder="1" applyAlignment="1">
      <x:alignment vertical="top" wrapText="1"/>
    </x:xf>
    <x:xf numFmtId="2" fontId="32" fillId="0" borderId="24" xfId="0" applyNumberFormat="1" applyFont="1" applyFill="1" applyBorder="1" applyAlignment="1">
      <x:alignment vertical="top" wrapText="1"/>
    </x:xf>
    <x:xf numFmtId="2" fontId="33" fillId="9" borderId="24" xfId="0" applyNumberFormat="1" applyFont="1" applyFill="1" applyBorder="1" applyAlignment="1">
      <x:alignment vertical="top" wrapText="1"/>
    </x:xf>
    <x:xf numFmtId="167" fontId="32" fillId="9" borderId="24" xfId="0" applyNumberFormat="1" applyFont="1" applyFill="1" applyBorder="1" applyAlignment="1">
      <x:alignment vertical="top"/>
    </x:xf>
    <x:xf numFmtId="167" fontId="32" fillId="0" borderId="24" xfId="0" applyNumberFormat="1" applyFont="1" applyFill="1" applyBorder="1" applyAlignment="1">
      <x:alignment vertical="top"/>
    </x:xf>
    <x:xf numFmtId="167" fontId="33" fillId="9" borderId="24" xfId="0" applyNumberFormat="1" applyFont="1" applyFill="1" applyBorder="1" applyAlignment="1">
      <x:alignment vertical="top"/>
    </x:xf>
    <x:xf numFmtId="174" fontId="1" fillId="9" borderId="24" xfId="0" applyNumberFormat="1" applyFont="1" applyFill="1" applyBorder="1"/>
    <x:xf numFmtId="167" fontId="1" fillId="0" borderId="24" xfId="0" applyNumberFormat="1" applyFont="1" applyFill="1" applyBorder="1"/>
    <x:xf numFmtId="0" fontId="38" fillId="0" borderId="24" xfId="0" applyNumberFormat="1" applyFont="1" applyFill="1" applyBorder="1"/>
    <x:xf numFmtId="167" fontId="38" fillId="0" borderId="24" xfId="0" applyNumberFormat="1" applyFont="1" applyFill="1" applyBorder="1"/>
    <x:xf numFmtId="9" fontId="0" fillId="0" borderId="24" xfId="0" applyNumberFormat="1" applyFont="1" applyFill="1" applyBorder="1"/>
    <x:xf numFmtId="0" fontId="0" fillId="9" borderId="24" xfId="0" applyNumberFormat="1" applyFont="1" applyFill="1" applyBorder="1"/>
    <x:xf numFmtId="0" fontId="10" fillId="8" borderId="31" xfId="0" applyNumberFormat="1" applyFont="1" applyFill="1" applyBorder="1"/>
    <x:xf numFmtId="0" fontId="10" fillId="2" borderId="32" xfId="0" applyNumberFormat="1" applyFont="1" applyFill="1" applyBorder="1"/>
    <x:xf numFmtId="0" fontId="10" fillId="14" borderId="31" xfId="0" applyNumberFormat="1" applyFont="1" applyFill="1" applyBorder="1"/>
    <x:xf numFmtId="0" fontId="10" fillId="14" borderId="30" xfId="0" applyNumberFormat="1" applyFont="1" applyFill="1" applyBorder="1"/>
    <x:xf numFmtId="0" fontId="10" fillId="14" borderId="32" xfId="0" applyNumberFormat="1" applyFont="1" applyFill="1" applyBorder="1"/>
    <x:xf numFmtId="0" fontId="5" fillId="12" borderId="25" xfId="0" applyNumberFormat="1" applyFont="1" applyFill="1" applyBorder="1"/>
    <x:xf numFmtId="0" fontId="5" fillId="4" borderId="24" xfId="0" applyNumberFormat="1" applyFont="1" applyFill="1" applyBorder="1"/>
    <x:xf numFmtId="0" fontId="5" fillId="4" borderId="27" xfId="0" applyNumberFormat="1" applyFont="1" applyFill="1" applyBorder="1"/>
    <x:xf numFmtId="0" fontId="12" fillId="12" borderId="25" xfId="0" applyNumberFormat="1" applyFont="1" applyFill="1" applyBorder="1"/>
    <x:xf numFmtId="0" fontId="12" fillId="4" borderId="24" xfId="0" applyNumberFormat="1" applyFont="1" applyFill="1" applyBorder="1"/>
    <x:xf numFmtId="0" fontId="12" fillId="4" borderId="27" xfId="0" applyNumberFormat="1" applyFont="1" applyFill="1" applyBorder="1"/>
    <x:xf numFmtId="0" fontId="1" fillId="12" borderId="25" xfId="0" applyNumberFormat="1" applyFont="1" applyFill="1" applyBorder="1"/>
    <x:xf numFmtId="0" fontId="1" fillId="4" borderId="27" xfId="0" applyNumberFormat="1" applyFont="1" applyFill="1" applyBorder="1"/>
    <x:xf numFmtId="0" fontId="20" fillId="16" borderId="25" xfId="0" applyNumberFormat="1" applyFont="1" applyFill="1" applyBorder="1"/>
    <x:xf numFmtId="0" fontId="20" fillId="16" borderId="24" xfId="0" applyNumberFormat="1" applyFont="1" applyFill="1" applyBorder="1"/>
    <x:xf numFmtId="0" fontId="20" fillId="16" borderId="27" xfId="0" applyNumberFormat="1" applyFont="1" applyFill="1" applyBorder="1"/>
    <x:xf numFmtId="0" fontId="5" fillId="5" borderId="24" xfId="0" applyNumberFormat="1" applyFont="1" applyFill="1" applyBorder="1"/>
    <x:xf numFmtId="0" fontId="10" fillId="2" borderId="30" xfId="0" applyNumberFormat="1" applyFont="1" applyFill="1" applyBorder="1"/>
    <x:xf numFmtId="0" fontId="10" fillId="2" borderId="31" xfId="0" applyNumberFormat="1" applyFont="1" applyFill="1" applyBorder="1"/>
    <x:xf numFmtId="0" fontId="1" fillId="4" borderId="31" xfId="0" applyNumberFormat="1" applyFont="1" applyFill="1" applyBorder="1"/>
    <x:xf numFmtId="0" fontId="1" fillId="4" borderId="32" xfId="0" applyNumberFormat="1" applyFont="1" applyFill="1" applyBorder="1"/>
    <x:xf numFmtId="0" fontId="5" fillId="4" borderId="32" xfId="0" applyNumberFormat="1" applyFont="1" applyFill="1" applyBorder="1"/>
    <x:xf numFmtId="0" fontId="0" fillId="17" borderId="0" xfId="0" applyNumberFormat="1" applyFont="1" applyFill="1" applyBorder="1"/>
    <x:xf numFmtId="0" fontId="9" fillId="17" borderId="0" xfId="0" applyNumberFormat="1" applyFont="1" applyFill="1" applyBorder="1"/>
    <x:xf numFmtId="0" fontId="9" fillId="17" borderId="0" xfId="0" applyNumberFormat="1" applyFont="1" applyFill="1" applyBorder="1" applyAlignment="1">
      <x:alignment horizontal="left"/>
    </x:xf>
    <x:xf numFmtId="0" fontId="9" fillId="17" borderId="0" xfId="0" applyNumberFormat="1" applyFont="1" applyFill="1" applyBorder="1" applyAlignment="1">
      <x:alignment horizontal="left" vertical="center"/>
    </x:xf>
    <x:xf numFmtId="0" fontId="0" fillId="17" borderId="24" xfId="0" applyNumberFormat="1" applyFont="1" applyFill="1" applyBorder="1"/>
    <x:xf numFmtId="0" fontId="9" fillId="17" borderId="24" xfId="0" applyNumberFormat="1" applyFont="1" applyFill="1" applyBorder="1"/>
    <x:xf numFmtId="0" fontId="9" fillId="17" borderId="24" xfId="0" applyNumberFormat="1" applyFont="1" applyFill="1" applyBorder="1" applyAlignment="1">
      <x:alignment horizontal="left"/>
    </x:xf>
    <x:xf numFmtId="0" fontId="9" fillId="17" borderId="24" xfId="0" applyNumberFormat="1" applyFont="1" applyFill="1" applyBorder="1" applyAlignment="1">
      <x:alignment horizontal="left" vertical="center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horizontal="left"/>
    </x:xf>
    <x:xf numFmtId="0" fontId="16" fillId="0" borderId="24" xfId="0" applyNumberFormat="1" applyFont="1" applyFill="1" applyBorder="1" applyAlignment="1">
      <x:alignment horizontal="left"/>
    </x:xf>
    <x:xf numFmtId="0" fontId="9" fillId="17" borderId="0" xfId="0" applyNumberFormat="1" applyFont="1" applyFill="1" applyBorder="1" applyAlignment="1">
      <x:alignment horizontal="center"/>
    </x:xf>
    <x:xf numFmtId="0" fontId="9" fillId="17" borderId="24" xfId="0" applyNumberFormat="1" applyFont="1" applyFill="1" applyBorder="1" applyAlignment="1">
      <x:alignment horizontal="center"/>
    </x:xf>
    <x:xf numFmtId="0" fontId="0" fillId="0" borderId="48" xfId="0" applyNumberFormat="1" applyFont="1" applyFill="1" applyBorder="1"/>
    <x:xf numFmtId="0" fontId="0" fillId="0" borderId="49" xfId="0" applyNumberFormat="1" applyFont="1" applyFill="1" applyBorder="1"/>
    <x:xf numFmtId="0" fontId="0" fillId="0" borderId="50" xfId="0" applyNumberFormat="1" applyFont="1" applyFill="1" applyBorder="1"/>
    <x:xf numFmtId="0" fontId="0" fillId="0" borderId="48" xfId="0" applyNumberFormat="1" applyFont="1" applyFill="1" applyBorder="1" applyAlignment="1">
      <x:alignment vertical="center"/>
    </x:xf>
    <x:xf numFmtId="0" fontId="0" fillId="0" borderId="49" xfId="0" applyNumberFormat="1" applyFont="1" applyFill="1" applyBorder="1" applyAlignment="1">
      <x:alignment vertical="center"/>
    </x:xf>
    <x:xf numFmtId="0" fontId="0" fillId="0" borderId="50" xfId="0" applyNumberFormat="1" applyFont="1" applyFill="1" applyBorder="1" applyAlignment="1">
      <x:alignment vertical="center"/>
    </x:xf>
    <x:xf numFmtId="0" fontId="0" fillId="0" borderId="51" xfId="0" applyNumberFormat="1" applyFont="1" applyFill="1" applyBorder="1"/>
    <x:xf numFmtId="0" fontId="0" fillId="0" borderId="52" xfId="0" applyNumberFormat="1" applyFont="1" applyFill="1" applyBorder="1"/>
    <x:xf numFmtId="0" fontId="0" fillId="0" borderId="53" xfId="0" applyNumberFormat="1" applyFont="1" applyFill="1" applyBorder="1"/>
    <x:xf numFmtId="0" fontId="0" fillId="0" borderId="51" xfId="0" applyNumberFormat="1" applyFont="1" applyFill="1" applyBorder="1" applyAlignment="1">
      <x:alignment vertical="center"/>
    </x:xf>
    <x:xf numFmtId="0" fontId="0" fillId="0" borderId="52" xfId="0" applyNumberFormat="1" applyFont="1" applyFill="1" applyBorder="1" applyAlignment="1">
      <x:alignment vertical="center"/>
    </x:xf>
    <x:xf numFmtId="0" fontId="0" fillId="0" borderId="53" xfId="0" applyNumberFormat="1" applyFont="1" applyFill="1" applyBorder="1" applyAlignment="1">
      <x:alignment vertical="center"/>
    </x:xf>
    <x:xf numFmtId="200" fontId="0" fillId="0" borderId="48" xfId="0" applyNumberFormat="1" applyFont="1" applyFill="1" applyBorder="1" applyAlignment="1">
      <x:alignment vertical="center"/>
    </x:xf>
    <x:xf numFmtId="200" fontId="0" fillId="0" borderId="49" xfId="0" applyNumberFormat="1" applyFont="1" applyFill="1" applyBorder="1" applyAlignment="1">
      <x:alignment vertical="center"/>
    </x:xf>
    <x:xf numFmtId="200" fontId="0" fillId="0" borderId="50" xfId="0" applyNumberFormat="1" applyFont="1" applyFill="1" applyBorder="1" applyAlignment="1">
      <x:alignment vertical="center"/>
    </x:xf>
    <x:xf numFmtId="200" fontId="0" fillId="0" borderId="51" xfId="0" applyNumberFormat="1" applyFont="1" applyFill="1" applyBorder="1" applyAlignment="1">
      <x:alignment vertical="center"/>
    </x:xf>
    <x:xf numFmtId="200" fontId="0" fillId="0" borderId="52" xfId="0" applyNumberFormat="1" applyFont="1" applyFill="1" applyBorder="1" applyAlignment="1">
      <x:alignment vertical="center"/>
    </x:xf>
    <x:xf numFmtId="200" fontId="0" fillId="0" borderId="53" xfId="0" applyNumberFormat="1" applyFont="1" applyFill="1" applyBorder="1" applyAlignment="1">
      <x:alignment vertical="center"/>
    </x:xf>
    <x:xf numFmtId="200" fontId="0" fillId="0" borderId="48" xfId="0" applyNumberFormat="1" applyFont="1" applyFill="1" applyBorder="1" applyAlignment="1">
      <x:alignment horizontal="right" vertical="center"/>
    </x:xf>
    <x:xf numFmtId="200" fontId="0" fillId="0" borderId="49" xfId="0" applyNumberFormat="1" applyFont="1" applyFill="1" applyBorder="1" applyAlignment="1">
      <x:alignment horizontal="right" vertical="center"/>
    </x:xf>
    <x:xf numFmtId="200" fontId="0" fillId="0" borderId="50" xfId="0" applyNumberFormat="1" applyFont="1" applyFill="1" applyBorder="1" applyAlignment="1">
      <x:alignment horizontal="right" vertical="center"/>
    </x:xf>
    <x:xf numFmtId="200" fontId="0" fillId="0" borderId="51" xfId="0" applyNumberFormat="1" applyFont="1" applyFill="1" applyBorder="1" applyAlignment="1">
      <x:alignment horizontal="right" vertical="center"/>
    </x:xf>
    <x:xf numFmtId="200" fontId="0" fillId="0" borderId="52" xfId="0" applyNumberFormat="1" applyFont="1" applyFill="1" applyBorder="1" applyAlignment="1">
      <x:alignment horizontal="right" vertical="center"/>
    </x:xf>
    <x:xf numFmtId="200" fontId="0" fillId="0" borderId="53" xfId="0" applyNumberFormat="1" applyFont="1" applyFill="1" applyBorder="1" applyAlignment="1">
      <x:alignment horizontal="right" vertical="center"/>
    </x:xf>
    <x:xf numFmtId="0" fontId="0" fillId="18" borderId="50" xfId="0" applyNumberFormat="1" applyFont="1" applyFill="1" applyBorder="1" applyAlignment="1">
      <x:alignment vertical="center"/>
    </x:xf>
    <x:xf numFmtId="200" fontId="0" fillId="18" borderId="50" xfId="0" applyNumberFormat="1" applyFont="1" applyFill="1" applyBorder="1" applyAlignment="1">
      <x:alignment horizontal="right" vertical="center"/>
    </x:xf>
    <x:xf numFmtId="0" fontId="1" fillId="18" borderId="50" xfId="0" applyNumberFormat="1" applyFont="1" applyFill="1" applyBorder="1" applyAlignment="1">
      <x:alignment vertical="center"/>
    </x:xf>
    <x:xf numFmtId="200" fontId="1" fillId="18" borderId="50" xfId="0" applyNumberFormat="1" applyFont="1" applyFill="1" applyBorder="1" applyAlignment="1">
      <x:alignment horizontal="right" vertical="center"/>
    </x:xf>
    <x:xf numFmtId="0" fontId="1" fillId="18" borderId="54" xfId="0" applyNumberFormat="1" applyFont="1" applyFill="1" applyBorder="1" applyAlignment="1">
      <x:alignment vertical="center"/>
    </x:xf>
    <x:xf numFmtId="200" fontId="1" fillId="18" borderId="54" xfId="0" applyNumberFormat="1" applyFont="1" applyFill="1" applyBorder="1" applyAlignment="1">
      <x:alignment horizontal="right" vertical="center"/>
    </x:xf>
    <x:xf numFmtId="0" fontId="0" fillId="18" borderId="53" xfId="0" applyNumberFormat="1" applyFont="1" applyFill="1" applyBorder="1" applyAlignment="1">
      <x:alignment vertical="center"/>
    </x:xf>
    <x:xf numFmtId="200" fontId="0" fillId="18" borderId="53" xfId="0" applyNumberFormat="1" applyFont="1" applyFill="1" applyBorder="1" applyAlignment="1">
      <x:alignment horizontal="right" vertical="center"/>
    </x:xf>
    <x:xf numFmtId="0" fontId="1" fillId="18" borderId="53" xfId="0" applyNumberFormat="1" applyFont="1" applyFill="1" applyBorder="1" applyAlignment="1">
      <x:alignment vertical="center"/>
    </x:xf>
    <x:xf numFmtId="200" fontId="1" fillId="18" borderId="53" xfId="0" applyNumberFormat="1" applyFont="1" applyFill="1" applyBorder="1" applyAlignment="1">
      <x:alignment horizontal="right" vertical="center"/>
    </x:xf>
    <x:xf numFmtId="0" fontId="1" fillId="18" borderId="55" xfId="0" applyNumberFormat="1" applyFont="1" applyFill="1" applyBorder="1" applyAlignment="1">
      <x:alignment vertical="center"/>
    </x:xf>
    <x:xf numFmtId="200" fontId="1" fillId="18" borderId="55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/>
    <x:xf numFmtId="0" fontId="6" fillId="0" borderId="24" xfId="0" applyNumberFormat="1" applyFont="1" applyFill="1" applyBorder="1"/>
    <x:xf numFmtId="0" fontId="15" fillId="0" borderId="0" xfId="0" applyNumberFormat="1" applyFont="1" applyFill="1" applyBorder="1"/>
    <x:xf numFmtId="0" fontId="15" fillId="0" borderId="24" xfId="0" applyNumberFormat="1" applyFont="1" applyFill="1" applyBorder="1"/>
    <x:xf numFmtId="0" fontId="39" fillId="0" borderId="0" xfId="0" applyNumberFormat="1" applyFont="1" applyFill="1" applyBorder="1"/>
    <x:xf numFmtId="0" fontId="39" fillId="0" borderId="24" xfId="0" applyNumberFormat="1" applyFont="1" applyFill="1" applyBorder="1"/>
    <x:xf numFmtId="167" fontId="6" fillId="0" borderId="0" xfId="0" applyNumberFormat="1" applyFont="1" applyFill="1" applyBorder="1"/>
    <x:xf numFmtId="167" fontId="15" fillId="0" borderId="0" xfId="0" applyNumberFormat="1" applyFont="1" applyFill="1" applyBorder="1"/>
    <x:xf numFmtId="167" fontId="6" fillId="0" borderId="24" xfId="0" applyNumberFormat="1" applyFont="1" applyFill="1" applyBorder="1"/>
    <x:xf numFmtId="167" fontId="15" fillId="0" borderId="24" xfId="0" applyNumberFormat="1" applyFont="1" applyFill="1" applyBorder="1"/>
    <x:xf numFmtId="201" fontId="6" fillId="0" borderId="0" xfId="0" applyNumberFormat="1" applyFont="1" applyFill="1" applyBorder="1"/>
    <x:xf numFmtId="201" fontId="6" fillId="0" borderId="24" xfId="0" applyNumberFormat="1" applyFont="1" applyFill="1" applyBorder="1"/>
    <x:xf numFmtId="166" fontId="39" fillId="0" borderId="0" xfId="0" applyNumberFormat="1" applyFont="1" applyFill="1" applyBorder="1"/>
    <x:xf numFmtId="166" fontId="39" fillId="0" borderId="24" xfId="0" applyNumberFormat="1" applyFont="1" applyFill="1" applyBorder="1"/>
    <x:xf numFmtId="167" fontId="6" fillId="0" borderId="48" xfId="0" applyNumberFormat="1" applyFont="1" applyFill="1" applyBorder="1"/>
    <x:xf numFmtId="201" fontId="6" fillId="0" borderId="49" xfId="0" applyNumberFormat="1" applyFont="1" applyFill="1" applyBorder="1"/>
    <x:xf numFmtId="167" fontId="6" fillId="0" borderId="49" xfId="0" applyNumberFormat="1" applyFont="1" applyFill="1" applyBorder="1"/>
    <x:xf numFmtId="167" fontId="15" fillId="0" borderId="49" xfId="0" applyNumberFormat="1" applyFont="1" applyFill="1" applyBorder="1"/>
    <x:xf numFmtId="166" fontId="39" fillId="0" borderId="50" xfId="0" applyNumberFormat="1" applyFont="1" applyFill="1" applyBorder="1"/>
    <x:xf numFmtId="167" fontId="6" fillId="0" borderId="48" xfId="0" applyNumberFormat="1" applyFont="1" applyFill="1" applyBorder="1" applyAlignment="1">
      <x:alignment vertical="center"/>
    </x:xf>
    <x:xf numFmtId="201" fontId="6" fillId="0" borderId="49" xfId="0" applyNumberFormat="1" applyFont="1" applyFill="1" applyBorder="1" applyAlignment="1">
      <x:alignment vertical="center"/>
    </x:xf>
    <x:xf numFmtId="167" fontId="6" fillId="0" borderId="49" xfId="0" applyNumberFormat="1" applyFont="1" applyFill="1" applyBorder="1" applyAlignment="1">
      <x:alignment vertical="center"/>
    </x:xf>
    <x:xf numFmtId="167" fontId="15" fillId="0" borderId="49" xfId="0" applyNumberFormat="1" applyFont="1" applyFill="1" applyBorder="1" applyAlignment="1">
      <x:alignment vertical="center"/>
    </x:xf>
    <x:xf numFmtId="166" fontId="39" fillId="0" borderId="50" xfId="0" applyNumberFormat="1" applyFont="1" applyFill="1" applyBorder="1" applyAlignment="1">
      <x:alignment vertical="center"/>
    </x:xf>
    <x:xf numFmtId="167" fontId="6" fillId="0" borderId="51" xfId="0" applyNumberFormat="1" applyFont="1" applyFill="1" applyBorder="1"/>
    <x:xf numFmtId="201" fontId="6" fillId="0" borderId="52" xfId="0" applyNumberFormat="1" applyFont="1" applyFill="1" applyBorder="1"/>
    <x:xf numFmtId="167" fontId="6" fillId="0" borderId="52" xfId="0" applyNumberFormat="1" applyFont="1" applyFill="1" applyBorder="1"/>
    <x:xf numFmtId="167" fontId="15" fillId="0" borderId="52" xfId="0" applyNumberFormat="1" applyFont="1" applyFill="1" applyBorder="1"/>
    <x:xf numFmtId="166" fontId="39" fillId="0" borderId="53" xfId="0" applyNumberFormat="1" applyFont="1" applyFill="1" applyBorder="1"/>
    <x:xf numFmtId="167" fontId="6" fillId="0" borderId="51" xfId="0" applyNumberFormat="1" applyFont="1" applyFill="1" applyBorder="1" applyAlignment="1">
      <x:alignment vertical="center"/>
    </x:xf>
    <x:xf numFmtId="201" fontId="6" fillId="0" borderId="52" xfId="0" applyNumberFormat="1" applyFont="1" applyFill="1" applyBorder="1" applyAlignment="1">
      <x:alignment vertical="center"/>
    </x:xf>
    <x:xf numFmtId="167" fontId="6" fillId="0" borderId="52" xfId="0" applyNumberFormat="1" applyFont="1" applyFill="1" applyBorder="1" applyAlignment="1">
      <x:alignment vertical="center"/>
    </x:xf>
    <x:xf numFmtId="167" fontId="15" fillId="0" borderId="52" xfId="0" applyNumberFormat="1" applyFont="1" applyFill="1" applyBorder="1" applyAlignment="1">
      <x:alignment vertical="center"/>
    </x:xf>
    <x:xf numFmtId="166" fontId="39" fillId="0" borderId="53" xfId="0" applyNumberFormat="1" applyFont="1" applyFill="1" applyBorder="1" applyAlignment="1">
      <x:alignment vertical="center"/>
    </x:xf>
    <x:xf numFmtId="167" fontId="0" fillId="0" borderId="0" xfId="0" applyNumberFormat="1" applyFont="1" applyFill="1" applyBorder="1"/>
    <x:xf numFmtId="167" fontId="40" fillId="0" borderId="0" xfId="0" applyNumberFormat="1" applyFont="1" applyFill="1" applyBorder="1"/>
    <x:xf numFmtId="167" fontId="40" fillId="0" borderId="56" xfId="0" applyNumberFormat="1" applyFont="1" applyFill="1" applyBorder="1"/>
    <x:xf numFmtId="167" fontId="40" fillId="0" borderId="56" xfId="0" applyNumberFormat="1" applyFont="1" applyFill="1" applyBorder="1" applyAlignment="1">
      <x:alignment horizontal="center"/>
    </x:xf>
    <x:xf numFmtId="167" fontId="40" fillId="0" borderId="24" xfId="0" applyNumberFormat="1" applyFont="1" applyFill="1" applyBorder="1"/>
    <x:xf numFmtId="167" fontId="40" fillId="0" borderId="57" xfId="0" applyNumberFormat="1" applyFont="1" applyFill="1" applyBorder="1"/>
    <x:xf numFmtId="167" fontId="40" fillId="0" borderId="57" xfId="0" applyNumberFormat="1" applyFont="1" applyFill="1" applyBorder="1" applyAlignment="1">
      <x:alignment horizontal="center"/>
    </x:xf>
    <x:xf numFmtId="0" fontId="0" fillId="19" borderId="0" xfId="0" applyNumberFormat="1" applyFont="1" applyFill="1" applyBorder="1"/>
    <x:xf numFmtId="0" fontId="0" fillId="19" borderId="58" xfId="0" applyNumberFormat="1" applyFont="1" applyFill="1" applyBorder="1"/>
    <x:xf numFmtId="0" fontId="0" fillId="19" borderId="59" xfId="0" applyNumberFormat="1" applyFont="1" applyFill="1" applyBorder="1"/>
    <x:xf numFmtId="0" fontId="0" fillId="19" borderId="60" xfId="0" applyNumberFormat="1" applyFont="1" applyFill="1" applyBorder="1"/>
    <x:xf numFmtId="0" fontId="0" fillId="19" borderId="61" xfId="0" applyNumberFormat="1" applyFont="1" applyFill="1" applyBorder="1"/>
    <x:xf numFmtId="0" fontId="0" fillId="19" borderId="62" xfId="0" applyNumberFormat="1" applyFont="1" applyFill="1" applyBorder="1"/>
    <x:xf numFmtId="0" fontId="0" fillId="19" borderId="63" xfId="0" applyNumberFormat="1" applyFont="1" applyFill="1" applyBorder="1"/>
    <x:xf numFmtId="0" fontId="0" fillId="19" borderId="64" xfId="0" applyNumberFormat="1" applyFont="1" applyFill="1" applyBorder="1"/>
    <x:xf numFmtId="0" fontId="0" fillId="19" borderId="65" xfId="0" applyNumberFormat="1" applyFont="1" applyFill="1" applyBorder="1"/>
    <x:xf numFmtId="0" fontId="0" fillId="19" borderId="66" xfId="0" applyNumberFormat="1" applyFont="1" applyFill="1" applyBorder="1"/>
    <x:xf numFmtId="0" fontId="0" fillId="19" borderId="24" xfId="0" applyNumberFormat="1" applyFont="1" applyFill="1" applyBorder="1"/>
    <x:xf numFmtId="0" fontId="0" fillId="19" borderId="67" xfId="0" applyNumberFormat="1" applyFont="1" applyFill="1" applyBorder="1"/>
    <x:xf numFmtId="0" fontId="0" fillId="19" borderId="68" xfId="0" applyNumberFormat="1" applyFont="1" applyFill="1" applyBorder="1"/>
    <x:xf numFmtId="0" fontId="0" fillId="19" borderId="69" xfId="0" applyNumberFormat="1" applyFont="1" applyFill="1" applyBorder="1"/>
    <x:xf numFmtId="0" fontId="0" fillId="19" borderId="70" xfId="0" applyNumberFormat="1" applyFont="1" applyFill="1" applyBorder="1"/>
    <x:xf numFmtId="0" fontId="0" fillId="19" borderId="71" xfId="0" applyNumberFormat="1" applyFont="1" applyFill="1" applyBorder="1"/>
    <x:xf numFmtId="0" fontId="0" fillId="19" borderId="72" xfId="0" applyNumberFormat="1" applyFont="1" applyFill="1" applyBorder="1"/>
    <x:xf numFmtId="0" fontId="0" fillId="19" borderId="73" xfId="0" applyNumberFormat="1" applyFont="1" applyFill="1" applyBorder="1"/>
    <x:xf numFmtId="0" fontId="0" fillId="19" borderId="74" xfId="0" applyNumberFormat="1" applyFont="1" applyFill="1" applyBorder="1"/>
    <x:xf numFmtId="0" fontId="0" fillId="19" borderId="75" xfId="0" applyNumberFormat="1" applyFont="1" applyFill="1" applyBorder="1"/>
    <x:xf numFmtId="0" fontId="1" fillId="0" borderId="0" xfId="0" applyNumberFormat="1" applyFont="1" applyFill="1" applyBorder="1"/>
    <x:xf numFmtId="0" fontId="1" fillId="0" borderId="48" xfId="0" applyNumberFormat="1" applyFont="1" applyFill="1" applyBorder="1"/>
    <x:xf numFmtId="0" fontId="1" fillId="0" borderId="49" xfId="0" applyNumberFormat="1" applyFont="1" applyFill="1" applyBorder="1"/>
    <x:xf numFmtId="0" fontId="1" fillId="0" borderId="50" xfId="0" applyNumberFormat="1" applyFont="1" applyFill="1" applyBorder="1"/>
    <x:xf numFmtId="0" fontId="1" fillId="0" borderId="48" xfId="0" applyNumberFormat="1" applyFont="1" applyFill="1" applyBorder="1" applyAlignment="1">
      <x:alignment wrapText="1"/>
    </x:xf>
    <x:xf numFmtId="0" fontId="0" fillId="0" borderId="48" xfId="0" applyNumberFormat="1" applyFont="1" applyFill="1" applyBorder="1" applyAlignment="1">
      <x:alignment wrapText="1"/>
    </x:xf>
    <x:xf numFmtId="0" fontId="1" fillId="0" borderId="49" xfId="0" applyNumberFormat="1" applyFont="1" applyFill="1" applyBorder="1" applyAlignment="1">
      <x:alignment wrapText="1"/>
    </x:xf>
    <x:xf numFmtId="0" fontId="0" fillId="0" borderId="49" xfId="0" applyNumberFormat="1" applyFont="1" applyFill="1" applyBorder="1" applyAlignment="1">
      <x:alignment wrapText="1"/>
    </x:xf>
    <x:xf numFmtId="0" fontId="1" fillId="0" borderId="50" xfId="0" applyNumberFormat="1" applyFont="1" applyFill="1" applyBorder="1" applyAlignment="1">
      <x:alignment wrapText="1"/>
    </x:xf>
    <x:xf numFmtId="0" fontId="0" fillId="0" borderId="50" xfId="0" applyNumberFormat="1" applyFont="1" applyFill="1" applyBorder="1" applyAlignment="1">
      <x:alignment wrapText="1"/>
    </x:xf>
    <x:xf numFmtId="0" fontId="1" fillId="0" borderId="48" xfId="0" applyNumberFormat="1" applyFont="1" applyFill="1" applyBorder="1" applyAlignment="1">
      <x:alignment vertical="center" wrapText="1"/>
    </x:xf>
    <x:xf numFmtId="0" fontId="0" fillId="0" borderId="48" xfId="0" applyNumberFormat="1" applyFont="1" applyFill="1" applyBorder="1" applyAlignment="1">
      <x:alignment vertical="center" wrapText="1"/>
    </x:xf>
    <x:xf numFmtId="0" fontId="1" fillId="0" borderId="49" xfId="0" applyNumberFormat="1" applyFont="1" applyFill="1" applyBorder="1" applyAlignment="1">
      <x:alignment vertical="center" wrapText="1"/>
    </x:xf>
    <x:xf numFmtId="0" fontId="0" fillId="0" borderId="49" xfId="0" applyNumberFormat="1" applyFont="1" applyFill="1" applyBorder="1" applyAlignment="1">
      <x:alignment vertical="center" wrapText="1"/>
    </x:xf>
    <x:xf numFmtId="0" fontId="1" fillId="0" borderId="50" xfId="0" applyNumberFormat="1" applyFont="1" applyFill="1" applyBorder="1" applyAlignment="1">
      <x:alignment vertical="center" wrapText="1"/>
    </x:xf>
    <x:xf numFmtId="0" fontId="0" fillId="0" borderId="50" xfId="0" applyNumberFormat="1" applyFont="1" applyFill="1" applyBorder="1" applyAlignment="1">
      <x:alignment vertical="center" wrapText="1"/>
    </x:xf>
    <x:xf numFmtId="0" fontId="1" fillId="0" borderId="51" xfId="0" applyNumberFormat="1" applyFont="1" applyFill="1" applyBorder="1"/>
    <x:xf numFmtId="0" fontId="1" fillId="0" borderId="52" xfId="0" applyNumberFormat="1" applyFont="1" applyFill="1" applyBorder="1"/>
    <x:xf numFmtId="0" fontId="1" fillId="0" borderId="53" xfId="0" applyNumberFormat="1" applyFont="1" applyFill="1" applyBorder="1"/>
    <x:xf numFmtId="0" fontId="1" fillId="0" borderId="51" xfId="0" applyNumberFormat="1" applyFont="1" applyFill="1" applyBorder="1" applyAlignment="1">
      <x:alignment wrapText="1"/>
    </x:xf>
    <x:xf numFmtId="0" fontId="0" fillId="0" borderId="51" xfId="0" applyNumberFormat="1" applyFont="1" applyFill="1" applyBorder="1" applyAlignment="1">
      <x:alignment wrapText="1"/>
    </x:xf>
    <x:xf numFmtId="0" fontId="1" fillId="0" borderId="52" xfId="0" applyNumberFormat="1" applyFont="1" applyFill="1" applyBorder="1" applyAlignment="1">
      <x:alignment wrapText="1"/>
    </x:xf>
    <x:xf numFmtId="0" fontId="0" fillId="0" borderId="52" xfId="0" applyNumberFormat="1" applyFont="1" applyFill="1" applyBorder="1" applyAlignment="1">
      <x:alignment wrapText="1"/>
    </x:xf>
    <x:xf numFmtId="0" fontId="1" fillId="0" borderId="53" xfId="0" applyNumberFormat="1" applyFont="1" applyFill="1" applyBorder="1" applyAlignment="1">
      <x:alignment wrapText="1"/>
    </x:xf>
    <x:xf numFmtId="0" fontId="0" fillId="0" borderId="53" xfId="0" applyNumberFormat="1" applyFont="1" applyFill="1" applyBorder="1" applyAlignment="1">
      <x:alignment wrapText="1"/>
    </x:xf>
    <x:xf numFmtId="0" fontId="1" fillId="0" borderId="51" xfId="0" applyNumberFormat="1" applyFont="1" applyFill="1" applyBorder="1" applyAlignment="1">
      <x:alignment vertical="center" wrapText="1"/>
    </x:xf>
    <x:xf numFmtId="0" fontId="0" fillId="0" borderId="51" xfId="0" applyNumberFormat="1" applyFont="1" applyFill="1" applyBorder="1" applyAlignment="1">
      <x:alignment vertical="center" wrapText="1"/>
    </x:xf>
    <x:xf numFmtId="0" fontId="1" fillId="0" borderId="52" xfId="0" applyNumberFormat="1" applyFont="1" applyFill="1" applyBorder="1" applyAlignment="1">
      <x:alignment vertical="center" wrapText="1"/>
    </x:xf>
    <x:xf numFmtId="0" fontId="0" fillId="0" borderId="52" xfId="0" applyNumberFormat="1" applyFont="1" applyFill="1" applyBorder="1" applyAlignment="1">
      <x:alignment vertical="center" wrapText="1"/>
    </x:xf>
    <x:xf numFmtId="0" fontId="1" fillId="0" borderId="53" xfId="0" applyNumberFormat="1" applyFont="1" applyFill="1" applyBorder="1" applyAlignment="1">
      <x:alignment vertical="center" wrapText="1"/>
    </x:xf>
    <x:xf numFmtId="0" fontId="0" fillId="0" borderId="53" xfId="0" applyNumberFormat="1" applyFont="1" applyFill="1" applyBorder="1" applyAlignment="1">
      <x:alignment vertical="center" wrapText="1"/>
    </x:xf>
    <x:xf numFmtId="0" fontId="40" fillId="0" borderId="0" xfId="0" applyNumberFormat="1" applyFont="1" applyFill="1" applyBorder="1"/>
    <x:xf numFmtId="0" fontId="40" fillId="0" borderId="24" xfId="0" applyNumberFormat="1" applyFont="1" applyFill="1" applyBorder="1"/>
    <x:xf numFmtId="0" fontId="9" fillId="17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horizontal="left" wrapText="1"/>
    </x:xf>
    <x:xf numFmtId="0" fontId="9" fillId="17" borderId="0" xfId="0" applyNumberFormat="1" applyFont="1" applyFill="1" applyBorder="1" applyAlignment="1">
      <x:alignment horizontal="center" wrapText="1"/>
    </x:xf>
    <x:xf numFmtId="200" fontId="0" fillId="0" borderId="48" xfId="0" applyNumberFormat="1" applyFont="1" applyFill="1" applyBorder="1" applyAlignment="1">
      <x:alignment horizontal="right" vertical="center" wrapText="1"/>
    </x:xf>
    <x:xf numFmtId="200" fontId="0" fillId="0" borderId="49" xfId="0" applyNumberFormat="1" applyFont="1" applyFill="1" applyBorder="1" applyAlignment="1">
      <x:alignment horizontal="right" vertical="center" wrapText="1"/>
    </x:xf>
    <x:xf numFmtId="0" fontId="1" fillId="18" borderId="54" xfId="0" applyNumberFormat="1" applyFont="1" applyFill="1" applyBorder="1" applyAlignment="1">
      <x:alignment vertical="center" wrapText="1"/>
    </x:xf>
    <x:xf numFmtId="200" fontId="1" fillId="18" borderId="54" xfId="0" applyNumberFormat="1" applyFont="1" applyFill="1" applyBorder="1" applyAlignment="1">
      <x:alignment horizontal="right" vertical="center" wrapText="1"/>
    </x:xf>
    <x:xf numFmtId="0" fontId="9" fillId="17" borderId="0" xfId="0" applyNumberFormat="1" applyFont="1" applyFill="1" applyBorder="1" applyAlignment="1">
      <x:alignment horizontal="left" wrapText="1"/>
    </x:xf>
    <x:xf numFmtId="167" fontId="6" fillId="0" borderId="48" xfId="0" applyNumberFormat="1" applyFont="1" applyFill="1" applyBorder="1" applyAlignment="1">
      <x:alignment vertical="center" wrapText="1"/>
    </x:xf>
    <x:xf numFmtId="201" fontId="6" fillId="0" borderId="49" xfId="0" applyNumberFormat="1" applyFont="1" applyFill="1" applyBorder="1" applyAlignment="1">
      <x:alignment vertical="center" wrapText="1"/>
    </x:xf>
    <x:xf numFmtId="167" fontId="6" fillId="0" borderId="49" xfId="0" applyNumberFormat="1" applyFont="1" applyFill="1" applyBorder="1" applyAlignment="1">
      <x:alignment vertical="center" wrapText="1"/>
    </x:xf>
    <x:xf numFmtId="167" fontId="15" fillId="0" borderId="49" xfId="0" applyNumberFormat="1" applyFont="1" applyFill="1" applyBorder="1" applyAlignment="1">
      <x:alignment vertical="center" wrapText="1"/>
    </x:xf>
    <x:xf numFmtId="166" fontId="39" fillId="0" borderId="50" xfId="0" applyNumberFormat="1" applyFont="1" applyFill="1" applyBorder="1" applyAlignment="1">
      <x:alignment vertical="center" wrapText="1"/>
    </x:xf>
    <x:xf numFmtId="167" fontId="40" fillId="0" borderId="56" xfId="0" applyNumberFormat="1" applyFont="1" applyFill="1" applyBorder="1" applyAlignment="1">
      <x:alignment horizontal="center" wrapText="1"/>
    </x:xf>
    <x:xf numFmtId="0" fontId="0" fillId="19" borderId="58" xfId="0" applyNumberFormat="1" applyFont="1" applyFill="1" applyBorder="1" applyAlignment="1">
      <x:alignment wrapText="1"/>
    </x:xf>
    <x:xf numFmtId="0" fontId="0" fillId="19" borderId="59" xfId="0" applyNumberFormat="1" applyFont="1" applyFill="1" applyBorder="1" applyAlignment="1">
      <x:alignment wrapText="1"/>
    </x:xf>
    <x:xf numFmtId="0" fontId="0" fillId="19" borderId="60" xfId="0" applyNumberFormat="1" applyFont="1" applyFill="1" applyBorder="1" applyAlignment="1">
      <x:alignment wrapText="1"/>
    </x:xf>
    <x:xf numFmtId="0" fontId="0" fillId="19" borderId="61" xfId="0" applyNumberFormat="1" applyFont="1" applyFill="1" applyBorder="1" applyAlignment="1">
      <x:alignment wrapText="1"/>
    </x:xf>
    <x:xf numFmtId="0" fontId="0" fillId="19" borderId="62" xfId="0" applyNumberFormat="1" applyFont="1" applyFill="1" applyBorder="1" applyAlignment="1">
      <x:alignment wrapText="1"/>
    </x:xf>
    <x:xf numFmtId="0" fontId="0" fillId="19" borderId="63" xfId="0" applyNumberFormat="1" applyFont="1" applyFill="1" applyBorder="1" applyAlignment="1">
      <x:alignment wrapText="1"/>
    </x:xf>
    <x:xf numFmtId="200" fontId="0" fillId="0" borderId="50" xfId="0" applyNumberFormat="1" applyFont="1" applyFill="1" applyBorder="1" applyAlignment="1">
      <x:alignment horizontal="right" vertical="center" wrapText="1"/>
    </x:xf>
    <x:xf numFmtId="0" fontId="0" fillId="19" borderId="64" xfId="0" applyNumberFormat="1" applyFont="1" applyFill="1" applyBorder="1" applyAlignment="1">
      <x:alignment wrapText="1"/>
    </x:xf>
    <x:xf numFmtId="0" fontId="0" fillId="19" borderId="65" xfId="0" applyNumberFormat="1" applyFont="1" applyFill="1" applyBorder="1" applyAlignment="1">
      <x:alignment wrapText="1"/>
    </x:xf>
    <x:xf numFmtId="0" fontId="0" fillId="19" borderId="66" xfId="0" applyNumberFormat="1" applyFont="1" applyFill="1" applyBorder="1" applyAlignment="1">
      <x:alignment wrapText="1"/>
    </x:xf>
    <x:xf numFmtId="0" fontId="40" fillId="0" borderId="0" xfId="0" applyNumberFormat="1" applyFont="1" applyFill="1" applyBorder="1" applyAlignment="1">
      <x:alignment wrapText="1"/>
    </x:xf>
    <x:xf numFmtId="0" fontId="9" fillId="17" borderId="24" xfId="0" applyNumberFormat="1" applyFont="1" applyFill="1" applyBorder="1" applyAlignment="1">
      <x:alignment horizontal="left" vertical="center" wrapText="1"/>
    </x:xf>
    <x:xf numFmtId="0" fontId="0" fillId="0" borderId="24" xfId="0" applyNumberFormat="1" applyFont="1" applyFill="1" applyBorder="1" applyAlignment="1">
      <x:alignment wrapText="1"/>
    </x:xf>
    <x:xf numFmtId="0" fontId="16" fillId="0" borderId="24" xfId="0" applyNumberFormat="1" applyFont="1" applyFill="1" applyBorder="1" applyAlignment="1">
      <x:alignment horizontal="left" wrapText="1"/>
    </x:xf>
    <x:xf numFmtId="0" fontId="9" fillId="17" borderId="24" xfId="0" applyNumberFormat="1" applyFont="1" applyFill="1" applyBorder="1" applyAlignment="1">
      <x:alignment horizontal="center" wrapText="1"/>
    </x:xf>
    <x:xf numFmtId="200" fontId="0" fillId="0" borderId="51" xfId="0" applyNumberFormat="1" applyFont="1" applyFill="1" applyBorder="1" applyAlignment="1">
      <x:alignment horizontal="right" vertical="center" wrapText="1"/>
    </x:xf>
    <x:xf numFmtId="200" fontId="0" fillId="0" borderId="52" xfId="0" applyNumberFormat="1" applyFont="1" applyFill="1" applyBorder="1" applyAlignment="1">
      <x:alignment horizontal="right" vertical="center" wrapText="1"/>
    </x:xf>
    <x:xf numFmtId="0" fontId="1" fillId="18" borderId="55" xfId="0" applyNumberFormat="1" applyFont="1" applyFill="1" applyBorder="1" applyAlignment="1">
      <x:alignment vertical="center" wrapText="1"/>
    </x:xf>
    <x:xf numFmtId="200" fontId="1" fillId="18" borderId="55" xfId="0" applyNumberFormat="1" applyFont="1" applyFill="1" applyBorder="1" applyAlignment="1">
      <x:alignment horizontal="right" vertical="center" wrapText="1"/>
    </x:xf>
    <x:xf numFmtId="0" fontId="9" fillId="17" borderId="24" xfId="0" applyNumberFormat="1" applyFont="1" applyFill="1" applyBorder="1" applyAlignment="1">
      <x:alignment horizontal="left" wrapText="1"/>
    </x:xf>
    <x:xf numFmtId="167" fontId="6" fillId="0" borderId="51" xfId="0" applyNumberFormat="1" applyFont="1" applyFill="1" applyBorder="1" applyAlignment="1">
      <x:alignment vertical="center" wrapText="1"/>
    </x:xf>
    <x:xf numFmtId="201" fontId="6" fillId="0" borderId="52" xfId="0" applyNumberFormat="1" applyFont="1" applyFill="1" applyBorder="1" applyAlignment="1">
      <x:alignment vertical="center" wrapText="1"/>
    </x:xf>
    <x:xf numFmtId="167" fontId="6" fillId="0" borderId="52" xfId="0" applyNumberFormat="1" applyFont="1" applyFill="1" applyBorder="1" applyAlignment="1">
      <x:alignment vertical="center" wrapText="1"/>
    </x:xf>
    <x:xf numFmtId="167" fontId="15" fillId="0" borderId="52" xfId="0" applyNumberFormat="1" applyFont="1" applyFill="1" applyBorder="1" applyAlignment="1">
      <x:alignment vertical="center" wrapText="1"/>
    </x:xf>
    <x:xf numFmtId="166" fontId="39" fillId="0" borderId="53" xfId="0" applyNumberFormat="1" applyFont="1" applyFill="1" applyBorder="1" applyAlignment="1">
      <x:alignment vertical="center" wrapText="1"/>
    </x:xf>
    <x:xf numFmtId="167" fontId="40" fillId="0" borderId="57" xfId="0" applyNumberFormat="1" applyFont="1" applyFill="1" applyBorder="1" applyAlignment="1">
      <x:alignment horizontal="center" wrapText="1"/>
    </x:xf>
    <x:xf numFmtId="0" fontId="0" fillId="19" borderId="67" xfId="0" applyNumberFormat="1" applyFont="1" applyFill="1" applyBorder="1" applyAlignment="1">
      <x:alignment wrapText="1"/>
    </x:xf>
    <x:xf numFmtId="0" fontId="0" fillId="19" borderId="68" xfId="0" applyNumberFormat="1" applyFont="1" applyFill="1" applyBorder="1" applyAlignment="1">
      <x:alignment wrapText="1"/>
    </x:xf>
    <x:xf numFmtId="0" fontId="0" fillId="19" borderId="69" xfId="0" applyNumberFormat="1" applyFont="1" applyFill="1" applyBorder="1" applyAlignment="1">
      <x:alignment wrapText="1"/>
    </x:xf>
    <x:xf numFmtId="0" fontId="0" fillId="19" borderId="70" xfId="0" applyNumberFormat="1" applyFont="1" applyFill="1" applyBorder="1" applyAlignment="1">
      <x:alignment wrapText="1"/>
    </x:xf>
    <x:xf numFmtId="0" fontId="0" fillId="19" borderId="71" xfId="0" applyNumberFormat="1" applyFont="1" applyFill="1" applyBorder="1" applyAlignment="1">
      <x:alignment wrapText="1"/>
    </x:xf>
    <x:xf numFmtId="0" fontId="0" fillId="19" borderId="72" xfId="0" applyNumberFormat="1" applyFont="1" applyFill="1" applyBorder="1" applyAlignment="1">
      <x:alignment wrapText="1"/>
    </x:xf>
    <x:xf numFmtId="200" fontId="0" fillId="0" borderId="53" xfId="0" applyNumberFormat="1" applyFont="1" applyFill="1" applyBorder="1" applyAlignment="1">
      <x:alignment horizontal="right" vertical="center" wrapText="1"/>
    </x:xf>
    <x:xf numFmtId="0" fontId="0" fillId="19" borderId="73" xfId="0" applyNumberFormat="1" applyFont="1" applyFill="1" applyBorder="1" applyAlignment="1">
      <x:alignment wrapText="1"/>
    </x:xf>
    <x:xf numFmtId="0" fontId="0" fillId="19" borderId="74" xfId="0" applyNumberFormat="1" applyFont="1" applyFill="1" applyBorder="1" applyAlignment="1">
      <x:alignment wrapText="1"/>
    </x:xf>
    <x:xf numFmtId="0" fontId="0" fillId="19" borderId="75" xfId="0" applyNumberFormat="1" applyFont="1" applyFill="1" applyBorder="1" applyAlignment="1">
      <x:alignment wrapText="1"/>
    </x:xf>
    <x:xf numFmtId="0" fontId="40" fillId="0" borderId="2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 applyAlignment="1">
      <x:alignment horizontal="left" vertical="center" wrapText="1"/>
    </x:xf>
    <x:xf numFmtId="0" fontId="9" fillId="17" borderId="0" xfId="0" applyNumberFormat="1" applyFont="1" applyFill="1" applyBorder="1" applyAlignment="1">
      <x:alignment horizontal="center" vertical="center" wrapText="1"/>
    </x:xf>
    <x:xf numFmtId="167" fontId="40" fillId="0" borderId="56" xfId="0" applyNumberFormat="1" applyFont="1" applyFill="1" applyBorder="1" applyAlignment="1">
      <x:alignment horizontal="center" vertical="center" wrapText="1"/>
    </x:xf>
    <x:xf numFmtId="0" fontId="0" fillId="19" borderId="58" xfId="0" applyNumberFormat="1" applyFont="1" applyFill="1" applyBorder="1" applyAlignment="1">
      <x:alignment vertical="center" wrapText="1"/>
    </x:xf>
    <x:xf numFmtId="0" fontId="0" fillId="19" borderId="59" xfId="0" applyNumberFormat="1" applyFont="1" applyFill="1" applyBorder="1" applyAlignment="1">
      <x:alignment vertical="center" wrapText="1"/>
    </x:xf>
    <x:xf numFmtId="0" fontId="0" fillId="19" borderId="60" xfId="0" applyNumberFormat="1" applyFont="1" applyFill="1" applyBorder="1" applyAlignment="1">
      <x:alignment vertical="center" wrapText="1"/>
    </x:xf>
    <x:xf numFmtId="0" fontId="0" fillId="19" borderId="61" xfId="0" applyNumberFormat="1" applyFont="1" applyFill="1" applyBorder="1" applyAlignment="1">
      <x:alignment vertical="center" wrapText="1"/>
    </x:xf>
    <x:xf numFmtId="0" fontId="0" fillId="19" borderId="62" xfId="0" applyNumberFormat="1" applyFont="1" applyFill="1" applyBorder="1" applyAlignment="1">
      <x:alignment vertical="center" wrapText="1"/>
    </x:xf>
    <x:xf numFmtId="0" fontId="0" fillId="19" borderId="63" xfId="0" applyNumberFormat="1" applyFont="1" applyFill="1" applyBorder="1" applyAlignment="1">
      <x:alignment vertical="center" wrapText="1"/>
    </x:xf>
    <x:xf numFmtId="0" fontId="0" fillId="19" borderId="64" xfId="0" applyNumberFormat="1" applyFont="1" applyFill="1" applyBorder="1" applyAlignment="1">
      <x:alignment vertical="center" wrapText="1"/>
    </x:xf>
    <x:xf numFmtId="0" fontId="0" fillId="19" borderId="65" xfId="0" applyNumberFormat="1" applyFont="1" applyFill="1" applyBorder="1" applyAlignment="1">
      <x:alignment vertical="center" wrapText="1"/>
    </x:xf>
    <x:xf numFmtId="0" fontId="0" fillId="19" borderId="66" xfId="0" applyNumberFormat="1" applyFont="1" applyFill="1" applyBorder="1" applyAlignment="1">
      <x:alignment vertical="center" wrapText="1"/>
    </x:xf>
    <x:xf numFmtId="0" fontId="4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0" fillId="2" borderId="0" xfId="0" applyNumberFormat="1" applyFont="1" applyFill="1" applyBorder="1"/>
    <x:xf numFmtId="0" fontId="3" fillId="0" borderId="0" xfId="0" applyNumberFormat="1" applyFont="1" applyFill="1" applyBorder="1"/>
    <x:xf numFmtId="0" fontId="5" fillId="0" borderId="0" xfId="0" applyNumberFormat="1" applyFont="1" applyFill="1" applyBorder="1"/>
    <x:xf numFmtId="0" fontId="10" fillId="2" borderId="0" xfId="0" applyNumberFormat="1" applyFont="1" applyFill="1" applyBorder="1"/>
    <x:xf numFmtId="3" fontId="6" fillId="3" borderId="0" xfId="0" applyNumberFormat="1" applyFont="1" applyFill="1" applyBorder="1"/>
    <x:xf numFmtId="166" fontId="6" fillId="3" borderId="0" xfId="0" applyNumberFormat="1" applyFont="1" applyFill="1" applyBorder="1"/>
    <x:xf numFmtId="0" fontId="1" fillId="4" borderId="0" xfId="0" applyNumberFormat="1" applyFont="1" applyFill="1" applyBorder="1"/>
    <x:xf numFmtId="166" fontId="0" fillId="0" borderId="0" xfId="0" applyNumberFormat="1" applyFont="1" applyFill="1" applyBorder="1"/>
    <x:xf numFmtId="3" fontId="6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6" fillId="3" borderId="7" xfId="0" applyNumberFormat="1" applyFont="1" applyFill="1" applyBorder="1"/>
    <x:xf numFmtId="0" fontId="12" fillId="4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/>
    </x:xf>
    <x:xf numFmtId="166" fontId="0" fillId="0" borderId="2" xfId="0" applyNumberFormat="1" applyFont="1" applyFill="1" applyBorder="1"/>
    <x:xf numFmtId="0" fontId="12" fillId="4" borderId="4" xfId="0" applyNumberFormat="1" applyFont="1" applyFill="1" applyBorder="1"/>
    <x:xf numFmtId="0" fontId="11" fillId="0" borderId="4" xfId="0" applyNumberFormat="1" applyFont="1" applyFill="1" applyBorder="1"/>
    <x:xf numFmtId="0" fontId="0" fillId="0" borderId="4" xfId="0" applyNumberFormat="1" applyFont="1" applyFill="1" applyBorder="1"/>
    <x:xf numFmtId="0" fontId="12" fillId="5" borderId="4" xfId="0" applyNumberFormat="1" applyFont="1" applyFill="1" applyBorder="1"/>
    <x:xf numFmtId="0" fontId="12" fillId="0" borderId="4" xfId="0" applyNumberFormat="1" applyFont="1" applyFill="1" applyBorder="1"/>
    <x:xf numFmtId="0" fontId="12" fillId="0" borderId="5" xfId="0" applyNumberFormat="1" applyFont="1" applyFill="1" applyBorder="1"/>
    <x:xf numFmtId="0" fontId="12" fillId="4" borderId="7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12" fillId="5" borderId="7" xfId="0" applyNumberFormat="1" applyFont="1" applyFill="1" applyBorder="1" applyAlignment="1">
      <x:alignment horizontal="center"/>
    </x:xf>
    <x:xf numFmtId="166" fontId="0" fillId="0" borderId="7" xfId="0" applyNumberFormat="1" applyFont="1" applyFill="1" applyBorder="1"/>
    <x:xf numFmtId="3" fontId="0" fillId="0" borderId="0" xfId="0" applyNumberFormat="1" applyFont="1" applyFill="1" applyBorder="1"/>
    <x:xf numFmtId="166" fontId="11" fillId="0" borderId="0" xfId="0" applyNumberFormat="1" applyFont="1" applyFill="1" applyBorder="1"/>
    <x:xf numFmtId="165" fontId="0" fillId="0" borderId="0" xfId="0" applyNumberFormat="1" applyFont="1" applyFill="1" applyBorder="1"/>
    <x:xf numFmtId="165" fontId="1" fillId="0" borderId="0" xfId="0" applyNumberFormat="1" applyFont="1" applyFill="1" applyBorder="1"/>
    <x:xf numFmtId="166" fontId="11" fillId="0" borderId="2" xfId="0" applyNumberFormat="1" applyFont="1" applyFill="1" applyBorder="1"/>
    <x:xf numFmtId="0" fontId="13" fillId="0" borderId="4" xfId="0" applyNumberFormat="1" applyFont="1" applyFill="1" applyBorder="1"/>
    <x:xf numFmtId="0" fontId="13" fillId="0" borderId="5" xfId="0" applyNumberFormat="1" applyFont="1" applyFill="1" applyBorder="1"/>
    <x:xf numFmtId="3" fontId="0" fillId="0" borderId="7" xfId="0" applyNumberFormat="1" applyFont="1" applyFill="1" applyBorder="1"/>
    <x:xf numFmtId="166" fontId="11" fillId="0" borderId="7" xfId="0" applyNumberFormat="1" applyFont="1" applyFill="1" applyBorder="1"/>
    <x:xf numFmtId="165" fontId="0" fillId="0" borderId="7" xfId="0" applyNumberFormat="1" applyFont="1" applyFill="1" applyBorder="1"/>
    <x:xf numFmtId="165" fontId="1" fillId="0" borderId="7" xfId="0" applyNumberFormat="1" applyFont="1" applyFill="1" applyBorder="1"/>
    <x:xf numFmtId="166" fontId="11" fillId="0" borderId="8" xfId="0" applyNumberFormat="1" applyFont="1" applyFill="1" applyBorder="1"/>
    <x:xf numFmtId="167" fontId="0" fillId="0" borderId="0" xfId="0" applyNumberFormat="1" applyFont="1" applyFill="1" applyBorder="1" applyAlignment="1">
      <x:alignment horizontal="center"/>
    </x:xf>
    <x:xf numFmtId="168" fontId="0" fillId="0" borderId="0" xfId="0" applyNumberFormat="1" applyFont="1" applyFill="1" applyBorder="1"/>
    <x:xf numFmtId="0" fontId="5" fillId="0" borderId="4" xfId="0" applyNumberFormat="1" applyFont="1" applyFill="1" applyBorder="1"/>
    <x:xf numFmtId="167" fontId="0" fillId="0" borderId="7" xfId="0" applyNumberFormat="1" applyFont="1" applyFill="1" applyBorder="1" applyAlignment="1">
      <x:alignment horizontal="center"/>
    </x:xf>
    <x:xf numFmtId="168" fontId="0" fillId="0" borderId="7" xfId="0" applyNumberFormat="1" applyFont="1" applyFill="1" applyBorder="1"/>
    <x:xf numFmtId="3" fontId="1" fillId="0" borderId="7" xfId="0" applyNumberFormat="1" applyFont="1" applyFill="1" applyBorder="1"/>
    <x:xf numFmtId="0" fontId="0" fillId="5" borderId="7" xfId="0" applyNumberFormat="1" applyFont="1" applyFill="1" applyBorder="1"/>
    <x:xf numFmtId="169" fontId="11" fillId="0" borderId="8" xfId="0" applyNumberFormat="1" applyFont="1" applyFill="1" applyBorder="1"/>
    <x:xf numFmtId="0" fontId="0" fillId="0" borderId="1" xfId="0" applyNumberFormat="1" applyFont="1" applyFill="1" applyBorder="1"/>
    <x:xf numFmtId="0" fontId="5" fillId="0" borderId="3" xfId="0" applyNumberFormat="1" applyFont="1" applyFill="1" applyBorder="1"/>
    <x:xf numFmtId="0" fontId="0" fillId="0" borderId="6" xfId="0" applyNumberFormat="1" applyFont="1" applyFill="1" applyBorder="1"/>
    <x:xf numFmtId="0" fontId="12" fillId="4" borderId="9" xfId="0" applyNumberFormat="1" applyFont="1" applyFill="1" applyBorder="1"/>
    <x:xf numFmtId="166" fontId="12" fillId="0" borderId="12" xfId="0" applyNumberFormat="1" applyFont="1" applyFill="1" applyBorder="1"/>
    <x:xf numFmtId="166" fontId="12" fillId="0" borderId="15" xfId="0" applyNumberFormat="1" applyFont="1" applyFill="1" applyBorder="1"/>
    <x:xf numFmtId="0" fontId="5" fillId="0" borderId="18" xfId="0" applyNumberFormat="1" applyFont="1" applyFill="1" applyBorder="1"/>
    <x:xf numFmtId="0" fontId="5" fillId="0" borderId="5" xfId="0" applyNumberFormat="1" applyFont="1" applyFill="1" applyBorder="1"/>
    <x:xf numFmtId="10" fontId="15" fillId="0" borderId="7" xfId="0" applyNumberFormat="1" applyFont="1" applyFill="1" applyBorder="1"/>
    <x:xf numFmtId="2" fontId="15" fillId="0" borderId="7" xfId="0" applyNumberFormat="1" applyFont="1" applyFill="1" applyBorder="1"/>
    <x:xf numFmtId="3" fontId="15" fillId="0" borderId="7" xfId="0" applyNumberFormat="1" applyFont="1" applyFill="1" applyBorder="1"/>
    <x:xf numFmtId="170" fontId="0" fillId="0" borderId="7" xfId="0" applyNumberFormat="1" applyFont="1" applyFill="1" applyBorder="1"/>
    <x:xf numFmtId="2" fontId="0" fillId="0" borderId="7" xfId="0" applyNumberFormat="1" applyFont="1" applyFill="1" applyBorder="1"/>
    <x:xf numFmtId="10" fontId="0" fillId="0" borderId="7" xfId="0" applyNumberFormat="1" applyFont="1" applyFill="1" applyBorder="1"/>
    <x:xf numFmtId="0" fontId="5" fillId="4" borderId="3" xfId="0" applyNumberFormat="1" applyFont="1" applyFill="1" applyBorder="1"/>
    <x:xf numFmtId="0" fontId="14" fillId="0" borderId="5" xfId="0" applyNumberFormat="1" applyFont="1" applyFill="1" applyBorder="1"/>
    <x:xf numFmtId="165" fontId="15" fillId="0" borderId="7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166" fontId="6" fillId="0" borderId="0" xfId="0" applyNumberFormat="1" applyFont="1" applyFill="1" applyBorder="1"/>
    <x:xf numFmtId="171" fontId="6" fillId="3" borderId="0" xfId="0" applyNumberFormat="1" applyFont="1" applyFill="1" applyBorder="1"/>
    <x:xf numFmtId="171" fontId="6" fillId="0" borderId="0" xfId="0" applyNumberFormat="1" applyFont="1" applyFill="1" applyBorder="1"/>
    <x:xf numFmtId="167" fontId="6" fillId="3" borderId="0" xfId="0" applyNumberFormat="1" applyFont="1" applyFill="1" applyBorder="1"/>
    <x:xf numFmtId="0" fontId="9" fillId="2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166" fontId="7" fillId="3" borderId="0" xfId="0" applyNumberFormat="1" applyFont="1" applyFill="1" applyBorder="1"/>
    <x:xf numFmtId="0" fontId="16" fillId="0" borderId="4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8" fillId="7" borderId="4" xfId="0" applyNumberFormat="1" applyFont="1" applyFill="1" applyBorder="1"/>
    <x:xf numFmtId="0" fontId="3" fillId="0" borderId="4" xfId="0" applyNumberFormat="1" applyFont="1" applyFill="1" applyBorder="1"/>
    <x:xf numFmtId="166" fontId="19" fillId="0" borderId="0" xfId="0" applyNumberFormat="1" applyFont="1" applyFill="1" applyBorder="1"/>
    <x:xf numFmtId="0" fontId="1" fillId="10" borderId="0" xfId="0" applyNumberFormat="1" applyFont="1" applyFill="1" applyBorder="1" applyAlignment="1">
      <x:alignment horizontal="center"/>
    </x:xf>
    <x:xf numFmtId="0" fontId="1" fillId="11" borderId="0" xfId="0" applyNumberFormat="1" applyFont="1" applyFill="1" applyBorder="1" applyAlignment="1">
      <x:alignment horizontal="center"/>
    </x:xf>
    <x:xf numFmtId="167" fontId="17" fillId="0" borderId="0" xfId="0" applyNumberFormat="1" applyFont="1" applyFill="1" applyBorder="1"/>
    <x:xf numFmtId="0" fontId="10" fillId="8" borderId="0" xfId="0" applyNumberFormat="1" applyFont="1" applyFill="1" applyBorder="1"/>
    <x:xf numFmtId="166" fontId="0" fillId="0" borderId="8" xfId="0" applyNumberFormat="1" applyFont="1" applyFill="1" applyBorder="1"/>
    <x:xf numFmtId="3" fontId="12" fillId="4" borderId="0" xfId="0" applyNumberFormat="1" applyFont="1" applyFill="1" applyBorder="1" applyAlignment="1">
      <x:alignment horizontal="center"/>
    </x:xf>
    <x:xf numFmtId="3" fontId="0" fillId="0" borderId="2" xfId="0" applyNumberFormat="1" applyFont="1" applyFill="1" applyBorder="1"/>
    <x:xf numFmtId="3" fontId="1" fillId="0" borderId="2" xfId="0" applyNumberFormat="1" applyFont="1" applyFill="1" applyBorder="1"/>
    <x:xf numFmtId="3" fontId="1" fillId="0" borderId="8" xfId="0" applyNumberFormat="1" applyFont="1" applyFill="1" applyBorder="1"/>
    <x:xf numFmtId="0" fontId="10" fillId="8" borderId="4" xfId="0" applyNumberFormat="1" applyFont="1" applyFill="1" applyBorder="1"/>
    <x:xf numFmtId="0" fontId="7" fillId="9" borderId="0" xfId="0" applyNumberFormat="1" applyFont="1" applyFill="1" applyBorder="1"/>
    <x:xf numFmtId="0" fontId="14" fillId="4" borderId="3" xfId="0" applyNumberFormat="1" applyFont="1" applyFill="1" applyBorder="1"/>
    <x:xf numFmtId="0" fontId="9" fillId="2" borderId="7" xfId="0" applyNumberFormat="1" applyFont="1" applyFill="1" applyBorder="1"/>
    <x:xf numFmtId="0" fontId="9" fillId="15" borderId="0" xfId="0" applyNumberFormat="1" applyFont="1" applyFill="1" applyBorder="1"/>
    <x:xf numFmtId="0" fontId="9" fillId="15" borderId="7" xfId="0" applyNumberFormat="1" applyFont="1" applyFill="1" applyBorder="1"/>
    <x:xf numFmtId="0" fontId="9" fillId="16" borderId="0" xfId="0" applyNumberFormat="1" applyFont="1" applyFill="1" applyBorder="1"/>
    <x:xf numFmtId="0" fontId="9" fillId="16" borderId="7" xfId="0" applyNumberFormat="1" applyFont="1" applyFill="1" applyBorder="1"/>
    <x:xf numFmtId="0" fontId="9" fillId="2" borderId="4" xfId="0" applyNumberFormat="1" applyFont="1" applyFill="1" applyBorder="1"/>
    <x:xf numFmtId="0" fontId="9" fillId="15" borderId="4" xfId="0" applyNumberFormat="1" applyFont="1" applyFill="1" applyBorder="1"/>
    <x:xf numFmtId="0" fontId="9" fillId="16" borderId="4" xfId="0" applyNumberFormat="1" applyFont="1" applyFill="1" applyBorder="1"/>
    <x:xf numFmtId="166" fontId="17" fillId="6" borderId="0" xfId="0" applyNumberFormat="1" applyFont="1" applyFill="1" applyBorder="1"/>
    <x:xf numFmtId="0" fontId="21" fillId="3" borderId="0" xfId="0" applyNumberFormat="1" applyFont="1" applyFill="1" applyBorder="1"/>
    <x:xf numFmtId="0" fontId="22" fillId="7" borderId="4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10" fillId="8" borderId="22" xfId="0" applyNumberFormat="1" applyFont="1" applyFill="1" applyBorder="1"/>
    <x:xf numFmtId="0" fontId="12" fillId="0" borderId="12" xfId="0" applyNumberFormat="1" applyFont="1" applyFill="1" applyBorder="1"/>
    <x:xf numFmtId="0" fontId="12" fillId="0" borderId="15" xfId="0" applyNumberFormat="1" applyFont="1" applyFill="1" applyBorder="1"/>
    <x:xf numFmtId="0" fontId="24" fillId="2" borderId="0" xfId="0" applyNumberFormat="1" applyFont="1" applyFill="1" applyBorder="1"/>
    <x:xf numFmtId="0" fontId="25" fillId="8" borderId="4" xfId="0" applyNumberFormat="1" applyFont="1" applyFill="1" applyBorder="1"/>
    <x:xf numFmtId="172" fontId="23" fillId="13" borderId="0" xfId="0" applyNumberFormat="1" applyFont="1" applyFill="1" applyBorder="1"/>
    <x:xf numFmtId="10" fontId="11" fillId="0" borderId="13" xfId="0" applyNumberFormat="1" applyFont="1" applyFill="1" applyBorder="1"/>
    <x:xf numFmtId="10" fontId="11" fillId="0" borderId="14" xfId="0" applyNumberFormat="1" applyFont="1" applyFill="1" applyBorder="1"/>
    <x:xf numFmtId="10" fontId="11" fillId="0" borderId="16" xfId="0" applyNumberFormat="1" applyFont="1" applyFill="1" applyBorder="1"/>
    <x:xf numFmtId="10" fontId="11" fillId="0" borderId="17" xfId="0" applyNumberFormat="1" applyFont="1" applyFill="1" applyBorder="1"/>
    <x:xf numFmtId="10" fontId="0" fillId="0" borderId="0" xfId="0" applyNumberFormat="1" applyFont="1" applyFill="1" applyBorder="1"/>
    <x:xf numFmtId="0" fontId="1" fillId="12" borderId="0" xfId="0" applyNumberFormat="1" applyFont="1" applyFill="1" applyBorder="1" applyAlignment="1">
      <x:alignment horizontal="center"/>
    </x:xf>
    <x:xf numFmtId="172" fontId="11" fillId="0" borderId="13" xfId="0" applyNumberFormat="1" applyFont="1" applyFill="1" applyBorder="1"/>
    <x:xf numFmtId="172" fontId="11" fillId="0" borderId="14" xfId="0" applyNumberFormat="1" applyFont="1" applyFill="1" applyBorder="1"/>
    <x:xf numFmtId="172" fontId="11" fillId="0" borderId="16" xfId="0" applyNumberFormat="1" applyFont="1" applyFill="1" applyBorder="1"/>
    <x:xf numFmtId="172" fontId="11" fillId="0" borderId="17" xfId="0" applyNumberFormat="1" applyFont="1" applyFill="1" applyBorder="1"/>
    <x:xf numFmtId="0" fontId="28" fillId="0" borderId="0" xfId="0" applyNumberFormat="1" applyFont="1" applyFill="1" applyBorder="1"/>
    <x:xf numFmtId="43" fontId="0" fillId="0" borderId="0" xfId="0" applyNumberFormat="1" applyFont="1" applyFill="1" applyBorder="1"/>
    <x:xf numFmtId="173" fontId="0" fillId="0" borderId="0" xfId="0" applyNumberFormat="1" applyFont="1" applyFill="1" applyBorder="1"/>
    <x:xf numFmtId="174" fontId="0" fillId="0" borderId="0" xfId="0" applyNumberFormat="1" applyFont="1" applyFill="1" applyBorder="1"/>
    <x:xf numFmtId="174" fontId="0" fillId="0" borderId="23" xfId="0" applyNumberFormat="1" applyFont="1" applyFill="1" applyBorder="1"/>
    <x:xf numFmtId="174" fontId="1" fillId="0" borderId="23" xfId="0" applyNumberFormat="1" applyFont="1" applyFill="1" applyBorder="1"/>
    <x:xf numFmtId="174" fontId="1" fillId="0" borderId="0" xfId="0" applyNumberFormat="1" applyFont="1" applyFill="1" applyBorder="1"/>
    <x:xf numFmtId="0" fontId="30" fillId="0" borderId="0" xfId="0" applyNumberFormat="1" applyFont="1" applyFill="1" applyBorder="1"/>
    <x:xf numFmtId="0" fontId="31" fillId="0" borderId="0" xfId="0" applyNumberFormat="1" applyFont="1" applyFill="1" applyBorder="1"/>
    <x:xf numFmtId="174" fontId="31" fillId="0" borderId="0" xfId="0" applyNumberFormat="1" applyFont="1" applyFill="1" applyBorder="1"/>
    <x:xf numFmtId="2" fontId="0" fillId="0" borderId="0" xfId="0" applyNumberFormat="1" applyFont="1" applyFill="1" applyBorder="1" applyAlignment="1">
      <x:alignment horizontal="center"/>
    </x:xf>
    <x:xf numFmtId="9" fontId="28" fillId="9" borderId="0" xfId="0" applyNumberFormat="1" applyFont="1" applyFill="1" applyBorder="1"/>
    <x:xf numFmtId="0" fontId="34" fillId="0" borderId="0" xfId="0" applyNumberFormat="1" applyFont="1" applyFill="1" applyBorder="1"/>
    <x:xf numFmtId="166" fontId="34" fillId="0" borderId="0" xfId="0" applyNumberFormat="1" applyFont="1" applyFill="1" applyBorder="1"/>
    <x:xf numFmtId="10" fontId="35" fillId="0" borderId="0" xfId="0" applyNumberFormat="1" applyFont="1" applyFill="1" applyBorder="1"/>
    <x:xf numFmtId="0" fontId="36" fillId="0" borderId="0" xfId="0" applyNumberFormat="1" applyFont="1" applyFill="1" applyBorder="1"/>
    <x:xf numFmtId="0" fontId="35" fillId="0" borderId="0" xfId="0" applyNumberFormat="1" applyFont="1" applyFill="1" applyBorder="1"/>
    <x:xf numFmtId="0" fontId="37" fillId="0" borderId="0" xfId="0" applyNumberFormat="1" applyFont="1" applyFill="1" applyBorder="1"/>
    <x:xf numFmtId="0" fontId="32" fillId="0" borderId="0" xfId="0" applyNumberFormat="1" applyFont="1" applyFill="1" applyBorder="1" applyAlignment="1">
      <x:alignment vertical="top" wrapText="1"/>
    </x:xf>
    <x:xf numFmtId="0" fontId="32" fillId="0" borderId="0" xfId="0" applyNumberFormat="1" applyFont="1" applyFill="1" applyBorder="1" applyAlignment="1">
      <x:alignment vertical="top"/>
    </x:xf>
    <x:xf numFmtId="0" fontId="32" fillId="9" borderId="0" xfId="0" applyNumberFormat="1" applyFont="1" applyFill="1" applyBorder="1" applyAlignment="1">
      <x:alignment vertical="top"/>
    </x:xf>
    <x:xf numFmtId="0" fontId="32" fillId="9" borderId="0" xfId="0" applyNumberFormat="1" applyFont="1" applyFill="1" applyBorder="1" applyAlignment="1">
      <x:alignment vertical="top" wrapText="1"/>
    </x:xf>
    <x:xf numFmtId="2" fontId="32" fillId="9" borderId="0" xfId="0" applyNumberFormat="1" applyFont="1" applyFill="1" applyBorder="1" applyAlignment="1">
      <x:alignment vertical="top" wrapText="1"/>
    </x:xf>
    <x:xf numFmtId="2" fontId="32" fillId="0" borderId="0" xfId="0" applyNumberFormat="1" applyFont="1" applyFill="1" applyBorder="1" applyAlignment="1">
      <x:alignment vertical="top" wrapText="1"/>
    </x:xf>
    <x:xf numFmtId="2" fontId="33" fillId="9" borderId="0" xfId="0" applyNumberFormat="1" applyFont="1" applyFill="1" applyBorder="1" applyAlignment="1">
      <x:alignment vertical="top" wrapText="1"/>
    </x:xf>
    <x:xf numFmtId="167" fontId="32" fillId="9" borderId="0" xfId="0" applyNumberFormat="1" applyFont="1" applyFill="1" applyBorder="1" applyAlignment="1">
      <x:alignment vertical="top"/>
    </x:xf>
    <x:xf numFmtId="167" fontId="32" fillId="0" borderId="0" xfId="0" applyNumberFormat="1" applyFont="1" applyFill="1" applyBorder="1" applyAlignment="1">
      <x:alignment vertical="top"/>
    </x:xf>
    <x:xf numFmtId="167" fontId="33" fillId="9" borderId="0" xfId="0" applyNumberFormat="1" applyFont="1" applyFill="1" applyBorder="1" applyAlignment="1">
      <x:alignment vertical="top"/>
    </x:xf>
    <x:xf numFmtId="174" fontId="1" fillId="9" borderId="0" xfId="0" applyNumberFormat="1" applyFont="1" applyFill="1" applyBorder="1"/>
    <x:xf numFmtId="167" fontId="1" fillId="0" borderId="0" xfId="0" applyNumberFormat="1" applyFont="1" applyFill="1" applyBorder="1"/>
    <x:xf numFmtId="0" fontId="38" fillId="0" borderId="0" xfId="0" applyNumberFormat="1" applyFont="1" applyFill="1" applyBorder="1"/>
    <x:xf numFmtId="167" fontId="38" fillId="0" borderId="0" xfId="0" applyNumberFormat="1" applyFont="1" applyFill="1" applyBorder="1"/>
    <x:xf numFmtId="9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10" fillId="8" borderId="3" xfId="0" applyNumberFormat="1" applyFont="1" applyFill="1" applyBorder="1"/>
    <x:xf numFmtId="0" fontId="10" fillId="2" borderId="6" xfId="0" applyNumberFormat="1" applyFont="1" applyFill="1" applyBorder="1"/>
    <x:xf numFmtId="0" fontId="10" fillId="14" borderId="3" xfId="0" applyNumberFormat="1" applyFont="1" applyFill="1" applyBorder="1"/>
    <x:xf numFmtId="0" fontId="10" fillId="14" borderId="1" xfId="0" applyNumberFormat="1" applyFont="1" applyFill="1" applyBorder="1"/>
    <x:xf numFmtId="0" fontId="10" fillId="14" borderId="6" xfId="0" applyNumberFormat="1" applyFont="1" applyFill="1" applyBorder="1"/>
    <x:xf numFmtId="0" fontId="5" fillId="12" borderId="4" xfId="0" applyNumberFormat="1" applyFont="1" applyFill="1" applyBorder="1"/>
    <x:xf numFmtId="0" fontId="5" fillId="4" borderId="0" xfId="0" applyNumberFormat="1" applyFont="1" applyFill="1" applyBorder="1"/>
    <x:xf numFmtId="0" fontId="5" fillId="4" borderId="7" xfId="0" applyNumberFormat="1" applyFont="1" applyFill="1" applyBorder="1"/>
    <x:xf numFmtId="0" fontId="12" fillId="12" borderId="4" xfId="0" applyNumberFormat="1" applyFont="1" applyFill="1" applyBorder="1"/>
    <x:xf numFmtId="0" fontId="12" fillId="4" borderId="0" xfId="0" applyNumberFormat="1" applyFont="1" applyFill="1" applyBorder="1"/>
    <x:xf numFmtId="0" fontId="12" fillId="4" borderId="7" xfId="0" applyNumberFormat="1" applyFont="1" applyFill="1" applyBorder="1"/>
    <x:xf numFmtId="0" fontId="1" fillId="12" borderId="4" xfId="0" applyNumberFormat="1" applyFont="1" applyFill="1" applyBorder="1"/>
    <x:xf numFmtId="0" fontId="1" fillId="4" borderId="7" xfId="0" applyNumberFormat="1" applyFont="1" applyFill="1" applyBorder="1"/>
    <x:xf numFmtId="0" fontId="20" fillId="16" borderId="4" xfId="0" applyNumberFormat="1" applyFont="1" applyFill="1" applyBorder="1"/>
    <x:xf numFmtId="0" fontId="20" fillId="16" borderId="0" xfId="0" applyNumberFormat="1" applyFont="1" applyFill="1" applyBorder="1"/>
    <x:xf numFmtId="0" fontId="20" fillId="16" borderId="7" xfId="0" applyNumberFormat="1" applyFont="1" applyFill="1" applyBorder="1"/>
    <x:xf numFmtId="0" fontId="5" fillId="5" borderId="0" xfId="0" applyNumberFormat="1" applyFont="1" applyFill="1" applyBorder="1"/>
    <x:xf numFmtId="0" fontId="10" fillId="2" borderId="1" xfId="0" applyNumberFormat="1" applyFont="1" applyFill="1" applyBorder="1"/>
    <x:xf numFmtId="0" fontId="10" fillId="2" borderId="3" xfId="0" applyNumberFormat="1" applyFont="1" applyFill="1" applyBorder="1"/>
    <x:xf numFmtId="0" fontId="1" fillId="4" borderId="3" xfId="0" applyNumberFormat="1" applyFont="1" applyFill="1" applyBorder="1"/>
    <x:xf numFmtId="0" fontId="1" fillId="4" borderId="6" xfId="0" applyNumberFormat="1" applyFont="1" applyFill="1" applyBorder="1"/>
    <x:xf numFmtId="0" fontId="5" fillId="4" borderId="6" xfId="0" applyNumberFormat="1" applyFont="1" applyFill="1" applyBorder="1"/>
    <x:xf numFmtId="0" fontId="9" fillId="2" borderId="0" xfId="0" applyNumberFormat="1" applyFont="1" applyFill="1" applyBorder="1" applyAlignment="1">
      <x:alignment horizontal="left"/>
    </x:xf>
    <x:xf numFmtId="0" fontId="9" fillId="2" borderId="0" xfId="0" applyNumberFormat="1" applyFont="1" applyFill="1" applyBorder="1" applyAlignment="1">
      <x:alignment horizontal="left" vertical="center"/>
    </x:xf>
    <x:xf numFmtId="0" fontId="9" fillId="2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58" xfId="0" applyNumberFormat="1" applyFont="1" applyFill="1" applyBorder="1"/>
    <x:xf numFmtId="0" fontId="0" fillId="6" borderId="59" xfId="0" applyNumberFormat="1" applyFont="1" applyFill="1" applyBorder="1"/>
    <x:xf numFmtId="0" fontId="0" fillId="6" borderId="60" xfId="0" applyNumberFormat="1" applyFont="1" applyFill="1" applyBorder="1"/>
    <x:xf numFmtId="0" fontId="0" fillId="6" borderId="61" xfId="0" applyNumberFormat="1" applyFont="1" applyFill="1" applyBorder="1"/>
    <x:xf numFmtId="0" fontId="0" fillId="6" borderId="62" xfId="0" applyNumberFormat="1" applyFont="1" applyFill="1" applyBorder="1"/>
    <x:xf numFmtId="0" fontId="0" fillId="6" borderId="63" xfId="0" applyNumberFormat="1" applyFont="1" applyFill="1" applyBorder="1"/>
    <x:xf numFmtId="0" fontId="0" fillId="6" borderId="64" xfId="0" applyNumberFormat="1" applyFont="1" applyFill="1" applyBorder="1"/>
    <x:xf numFmtId="0" fontId="0" fillId="6" borderId="65" xfId="0" applyNumberFormat="1" applyFont="1" applyFill="1" applyBorder="1"/>
    <x:xf numFmtId="0" fontId="0" fillId="6" borderId="66" xfId="0" applyNumberFormat="1" applyFont="1" applyFill="1" applyBorder="1"/>
    <x:xf numFmtId="0" fontId="9" fillId="2" borderId="0" xfId="0" applyNumberFormat="1" applyFont="1" applyFill="1" applyBorder="1" applyAlignment="1">
      <x:alignment horizontal="left" vertical="center" wrapText="1"/>
    </x:xf>
    <x:xf numFmtId="0" fontId="9" fillId="2" borderId="0" xfId="0" applyNumberFormat="1" applyFont="1" applyFill="1" applyBorder="1" applyAlignment="1">
      <x:alignment horizontal="center" wrapText="1"/>
    </x:xf>
    <x:xf numFmtId="0" fontId="9" fillId="2" borderId="0" xfId="0" applyNumberFormat="1" applyFont="1" applyFill="1" applyBorder="1" applyAlignment="1">
      <x:alignment horizontal="left" wrapText="1"/>
    </x:xf>
    <x:xf numFmtId="0" fontId="0" fillId="6" borderId="58" xfId="0" applyNumberFormat="1" applyFont="1" applyFill="1" applyBorder="1" applyAlignment="1">
      <x:alignment wrapText="1"/>
    </x:xf>
    <x:xf numFmtId="0" fontId="0" fillId="6" borderId="59" xfId="0" applyNumberFormat="1" applyFont="1" applyFill="1" applyBorder="1" applyAlignment="1">
      <x:alignment wrapText="1"/>
    </x:xf>
    <x:xf numFmtId="0" fontId="0" fillId="6" borderId="60" xfId="0" applyNumberFormat="1" applyFont="1" applyFill="1" applyBorder="1" applyAlignment="1">
      <x:alignment wrapText="1"/>
    </x:xf>
    <x:xf numFmtId="0" fontId="0" fillId="6" borderId="61" xfId="0" applyNumberFormat="1" applyFont="1" applyFill="1" applyBorder="1" applyAlignment="1">
      <x:alignment wrapText="1"/>
    </x:xf>
    <x:xf numFmtId="0" fontId="0" fillId="6" borderId="62" xfId="0" applyNumberFormat="1" applyFont="1" applyFill="1" applyBorder="1" applyAlignment="1">
      <x:alignment wrapText="1"/>
    </x:xf>
    <x:xf numFmtId="0" fontId="0" fillId="6" borderId="63" xfId="0" applyNumberFormat="1" applyFont="1" applyFill="1" applyBorder="1" applyAlignment="1">
      <x:alignment wrapText="1"/>
    </x:xf>
    <x:xf numFmtId="0" fontId="0" fillId="6" borderId="64" xfId="0" applyNumberFormat="1" applyFont="1" applyFill="1" applyBorder="1" applyAlignment="1">
      <x:alignment wrapText="1"/>
    </x:xf>
    <x:xf numFmtId="0" fontId="0" fillId="6" borderId="65" xfId="0" applyNumberFormat="1" applyFont="1" applyFill="1" applyBorder="1" applyAlignment="1">
      <x:alignment wrapText="1"/>
    </x:xf>
    <x:xf numFmtId="0" fontId="0" fillId="6" borderId="66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0" fillId="6" borderId="58" xfId="0" applyNumberFormat="1" applyFont="1" applyFill="1" applyBorder="1" applyAlignment="1">
      <x:alignment vertical="center" wrapText="1"/>
    </x:xf>
    <x:xf numFmtId="0" fontId="0" fillId="6" borderId="59" xfId="0" applyNumberFormat="1" applyFont="1" applyFill="1" applyBorder="1" applyAlignment="1">
      <x:alignment vertical="center" wrapText="1"/>
    </x:xf>
    <x:xf numFmtId="0" fontId="0" fillId="6" borderId="60" xfId="0" applyNumberFormat="1" applyFont="1" applyFill="1" applyBorder="1" applyAlignment="1">
      <x:alignment vertical="center" wrapText="1"/>
    </x:xf>
    <x:xf numFmtId="0" fontId="0" fillId="6" borderId="61" xfId="0" applyNumberFormat="1" applyFont="1" applyFill="1" applyBorder="1" applyAlignment="1">
      <x:alignment vertical="center" wrapText="1"/>
    </x:xf>
    <x:xf numFmtId="0" fontId="0" fillId="6" borderId="62" xfId="0" applyNumberFormat="1" applyFont="1" applyFill="1" applyBorder="1" applyAlignment="1">
      <x:alignment vertical="center" wrapText="1"/>
    </x:xf>
    <x:xf numFmtId="0" fontId="0" fillId="6" borderId="63" xfId="0" applyNumberFormat="1" applyFont="1" applyFill="1" applyBorder="1" applyAlignment="1">
      <x:alignment vertical="center" wrapText="1"/>
    </x:xf>
    <x:xf numFmtId="0" fontId="0" fillId="6" borderId="64" xfId="0" applyNumberFormat="1" applyFont="1" applyFill="1" applyBorder="1" applyAlignment="1">
      <x:alignment vertical="center" wrapText="1"/>
    </x:xf>
    <x:xf numFmtId="0" fontId="0" fillId="6" borderId="65" xfId="0" applyNumberFormat="1" applyFont="1" applyFill="1" applyBorder="1" applyAlignment="1">
      <x:alignment vertical="center" wrapText="1"/>
    </x:xf>
    <x:xf numFmtId="0" fontId="0" fillId="6" borderId="66" xfId="0" applyNumberFormat="1" applyFont="1" applyFill="1" applyBorder="1" applyAlignment="1">
      <x:alignment vertical="center" wrapText="1"/>
    </x:xf>
    <x:xf numFmtId="0" fontId="1" fillId="0" borderId="76" xfId="0" applyNumberFormat="1" applyFont="1" applyFill="1" applyBorder="1" applyAlignment="1">
      <x:alignment vertical="center" wrapText="1"/>
    </x:xf>
    <x:xf numFmtId="0" fontId="0" fillId="0" borderId="76" xfId="0" applyNumberFormat="1" applyFont="1" applyFill="1" applyBorder="1" applyAlignment="1">
      <x:alignment vertical="center" wrapText="1"/>
    </x:xf>
    <x:xf numFmtId="0" fontId="1" fillId="0" borderId="77" xfId="0" applyNumberFormat="1" applyFont="1" applyFill="1" applyBorder="1" applyAlignment="1">
      <x:alignment vertical="center" wrapText="1"/>
    </x:xf>
    <x:xf numFmtId="0" fontId="0" fillId="0" borderId="77" xfId="0" applyNumberFormat="1" applyFont="1" applyFill="1" applyBorder="1" applyAlignment="1">
      <x:alignment vertical="center" wrapText="1"/>
    </x:xf>
    <x:xf numFmtId="0" fontId="1" fillId="0" borderId="78" xfId="0" applyNumberFormat="1" applyFont="1" applyFill="1" applyBorder="1" applyAlignment="1">
      <x:alignment vertical="center" wrapText="1"/>
    </x:xf>
    <x:xf numFmtId="0" fontId="0" fillId="0" borderId="78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 applyAlignment="1">
      <x:alignment vertical="center" wrapText="1"/>
    </x:xf>
    <x:xf numFmtId="0" fontId="9" fillId="20" borderId="0" xfId="0" applyNumberFormat="1" applyFont="1" applyFill="1" applyBorder="1" applyAlignment="1">
      <x:alignment vertical="center" wrapText="1"/>
    </x:xf>
    <x:xf numFmtId="0" fontId="9" fillId="20" borderId="0" xfId="0" applyNumberFormat="1" applyFont="1" applyFill="1" applyBorder="1" applyAlignment="1">
      <x:alignment horizontal="left" vertical="center" wrapText="1"/>
    </x:xf>
    <x:xf numFmtId="0" fontId="0" fillId="0" borderId="79" xfId="0" applyNumberFormat="1" applyFont="1" applyFill="1" applyBorder="1" applyAlignment="1">
      <x:alignment vertical="center" wrapText="1"/>
    </x:xf>
    <x:xf numFmtId="0" fontId="0" fillId="0" borderId="80" xfId="0" applyNumberFormat="1" applyFont="1" applyFill="1" applyBorder="1" applyAlignment="1">
      <x:alignment vertical="center" wrapText="1"/>
    </x:xf>
    <x:xf numFmtId="0" fontId="0" fillId="0" borderId="81" xfId="0" applyNumberFormat="1" applyFont="1" applyFill="1" applyBorder="1" applyAlignment="1">
      <x:alignment vertical="center" wrapText="1"/>
    </x:xf>
    <x:xf numFmtId="0" fontId="0" fillId="0" borderId="82" xfId="0" applyNumberFormat="1" applyFont="1" applyFill="1" applyBorder="1" applyAlignment="1">
      <x:alignment vertical="center" wrapText="1"/>
    </x:xf>
    <x:xf numFmtId="0" fontId="0" fillId="0" borderId="83" xfId="0" applyNumberFormat="1" applyFont="1" applyFill="1" applyBorder="1" applyAlignment="1">
      <x:alignment vertical="center" wrapText="1"/>
    </x:xf>
    <x:xf numFmtId="0" fontId="0" fillId="0" borderId="84" xfId="0" applyNumberFormat="1" applyFont="1" applyFill="1" applyBorder="1" applyAlignment="1">
      <x:alignment vertical="center" wrapText="1"/>
    </x:xf>
    <x:xf numFmtId="0" fontId="0" fillId="0" borderId="85" xfId="0" applyNumberFormat="1" applyFont="1" applyFill="1" applyBorder="1" applyAlignment="1">
      <x:alignment vertical="center" wrapText="1"/>
    </x:xf>
    <x:xf numFmtId="0" fontId="0" fillId="0" borderId="86" xfId="0" applyNumberFormat="1" applyFont="1" applyFill="1" applyBorder="1" applyAlignment="1">
      <x:alignment vertical="center" wrapText="1"/>
    </x:xf>
    <x:xf numFmtId="0" fontId="0" fillId="0" borderId="87" xfId="0" applyNumberFormat="1" applyFont="1" applyFill="1" applyBorder="1" applyAlignment="1">
      <x:alignment vertical="center" wrapText="1"/>
    </x:xf>
    <x:xf numFmtId="200" fontId="0" fillId="0" borderId="80" xfId="0" applyNumberFormat="1" applyFont="1" applyFill="1" applyBorder="1" applyAlignment="1">
      <x:alignment vertical="center" wrapText="1"/>
    </x:xf>
    <x:xf numFmtId="200" fontId="0" fillId="0" borderId="83" xfId="0" applyNumberFormat="1" applyFont="1" applyFill="1" applyBorder="1" applyAlignment="1">
      <x:alignment vertical="center" wrapText="1"/>
    </x:xf>
    <x:xf numFmtId="200" fontId="0" fillId="0" borderId="86" xfId="0" applyNumberFormat="1" applyFont="1" applyFill="1" applyBorder="1" applyAlignment="1">
      <x:alignment vertical="center" wrapText="1"/>
    </x:xf>
    <x:xf numFmtId="166" fontId="0" fillId="0" borderId="83" xfId="0" applyNumberFormat="1" applyFont="1" applyFill="1" applyBorder="1" applyAlignment="1">
      <x:alignment vertical="center" wrapText="1"/>
    </x:xf>
    <x:xf numFmtId="166" fontId="0" fillId="0" borderId="86" xfId="0" applyNumberFormat="1" applyFont="1" applyFill="1" applyBorder="1" applyAlignment="1">
      <x:alignment vertical="center" wrapText="1"/>
    </x:xf>
    <x:xf numFmtId="0" fontId="1" fillId="0" borderId="79" xfId="0" applyNumberFormat="1" applyFont="1" applyFill="1" applyBorder="1" applyAlignment="1">
      <x:alignment vertical="center" wrapText="1"/>
    </x:xf>
    <x:xf numFmtId="0" fontId="1" fillId="0" borderId="82" xfId="0" applyNumberFormat="1" applyFont="1" applyFill="1" applyBorder="1" applyAlignment="1">
      <x:alignment vertical="center" wrapText="1"/>
    </x:xf>
    <x:xf numFmtId="0" fontId="1" fillId="0" borderId="85" xfId="0" applyNumberFormat="1" applyFont="1" applyFill="1" applyBorder="1" applyAlignment="1">
      <x:alignment vertical="center" wrapText="1"/>
    </x:xf>
    <x:xf numFmtId="0" fontId="1" fillId="0" borderId="80" xfId="0" applyNumberFormat="1" applyFont="1" applyFill="1" applyBorder="1" applyAlignment="1">
      <x:alignment vertical="center" wrapText="1"/>
    </x:xf>
    <x:xf numFmtId="0" fontId="1" fillId="0" borderId="83" xfId="0" applyNumberFormat="1" applyFont="1" applyFill="1" applyBorder="1" applyAlignment="1">
      <x:alignment vertical="center" wrapText="1"/>
    </x:xf>
    <x:xf numFmtId="0" fontId="1" fillId="0" borderId="86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 wrapText="1"/>
    </x:xf>
    <x:xf numFmtId="0" fontId="41" fillId="2" borderId="0" xfId="0" applyNumberFormat="1" applyFont="1" applyFill="1" applyBorder="1" applyAlignment="1">
      <x:alignment horizontal="left" vertical="center" wrapText="1"/>
    </x:xf>
    <x:xf numFmtId="0" fontId="16" fillId="0" borderId="0" xfId="0" applyNumberFormat="1" applyFont="1" applyFill="1" applyBorder="1" applyAlignment="1">
      <x:alignment vertical="center" wrapText="1"/>
    </x:xf>
  </x:cellXfs>
  <x:cellStyles count="4">
    <x:cellStyle name="Comma" xfId="1"/>
    <x:cellStyle name="Normal" xfId="0"/>
    <x:cellStyle name="Normal 2" xfId="2"/>
    <x:cellStyle name="Percent" xfId="3"/>
  </x:cellStyles>
  <x:dxfs count="2">
    <x:dxf>
      <x:fill>
        <x:patternFill>
          <x:bgColor rgb="C00000"/>
        </x:patternFill>
      </x:fill>
    </x:dxf>
    <x:dxf>
      <x:fill>
        <x:patternFill>
          <x:bgColor rgb="2F75B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767314ac0d43f7" /><Relationship Type="http://schemas.openxmlformats.org/officeDocument/2006/relationships/theme" Target="/xl/theme/theme1.xml" Id="Ref5b066019824b13" /><Relationship Type="http://schemas.openxmlformats.org/officeDocument/2006/relationships/sharedStrings" Target="/xl/sharedStrings.xml" Id="Rdc109d1b56494d13" /><Relationship Type="http://schemas.openxmlformats.org/officeDocument/2006/relationships/worksheet" Target="/xl/worksheets/sheet1.xml" Id="R35886c019e494848" /><Relationship Type="http://schemas.openxmlformats.org/officeDocument/2006/relationships/worksheet" Target="/xl/worksheets/sheet2.xml" Id="Rfcc33b1659e8486a" /><Relationship Type="http://schemas.openxmlformats.org/officeDocument/2006/relationships/worksheet" Target="/xl/worksheets/sheet3.xml" Id="R3770bcfd02434937" /><Relationship Type="http://schemas.openxmlformats.org/officeDocument/2006/relationships/worksheet" Target="/xl/worksheets/sheet4.xml" Id="Rc238b2125f8e4a05" /><Relationship Type="http://schemas.openxmlformats.org/officeDocument/2006/relationships/worksheet" Target="/xl/worksheets/sheet5.xml" Id="R463f75771c9f4f23" /><Relationship Type="http://schemas.openxmlformats.org/officeDocument/2006/relationships/worksheet" Target="/xl/worksheets/sheet6.xml" Id="Rd5d34e5674b4406c" /><Relationship Type="http://schemas.openxmlformats.org/officeDocument/2006/relationships/worksheet" Target="/xl/worksheets/sheet7.xml" Id="R6611bc65a59043a3" /><Relationship Type="http://schemas.microsoft.com/office/2017/10/relationships/person" Target="/xl/persons/person.xml" Id="R8b5945cabfbe4b6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ff7534a703f446c" /><Relationship Type="http://schemas.openxmlformats.org/officeDocument/2006/relationships/image" Target="/xl/media/image2.png" Id="R298d3beb14004b22" /><Relationship Type="http://schemas.openxmlformats.org/officeDocument/2006/relationships/image" Target="/xl/media/image3.png" Id="R95306f06eb624752" /><Relationship Type="http://schemas.openxmlformats.org/officeDocument/2006/relationships/image" Target="/xl/media/image4.png" Id="Rb7c95b0546ef447f" /><Relationship Type="http://schemas.openxmlformats.org/officeDocument/2006/relationships/image" Target="/xl/media/image5.png" Id="R2a2d646e5ef54b7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6.png" Id="R6bfcde38d5e14aea" /></Relationships>
</file>

<file path=xl/drawings/drawing1.xml><?xml version="1.0" encoding="utf-8"?>
<xdr:wsDr xmlns:xdr="http://schemas.openxmlformats.org/drawingml/2006/spreadsheetDrawing">
  <xdr:twoCellAnchor editAs="oneCell">
    <xdr:from>
      <xdr:col>1</xdr:col>
      <xdr:colOff>12700</xdr:colOff>
      <xdr:row>88</xdr:row>
      <xdr:rowOff>19051</xdr:rowOff>
    </xdr:from>
    <xdr:to>
      <xdr:col>4</xdr:col>
      <xdr:colOff>21002</xdr:colOff>
      <xdr:row>98</xdr:row>
      <xdr:rowOff>146052</xdr:rowOff>
    </xdr:to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f7534a703f44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647700</xdr:colOff>
      <xdr:row>68</xdr:row>
      <xdr:rowOff>114300</xdr:rowOff>
    </xdr:from>
    <xdr:to>
      <xdr:col>5</xdr:col>
      <xdr:colOff>755982</xdr:colOff>
      <xdr:row>72</xdr:row>
      <xdr:rowOff>92433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8d3beb14004b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12</xdr:col>
      <xdr:colOff>527694</xdr:colOff>
      <xdr:row>41</xdr:row>
      <xdr:rowOff>182011</xdr:rowOff>
    </xdr:from>
    <xdr:to>
      <xdr:col>24</xdr:col>
      <xdr:colOff>175472</xdr:colOff>
      <xdr:row>70</xdr:row>
      <xdr:rowOff>152295</xdr:rowOff>
    </xdr:to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306f06eb6247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21</xdr:col>
      <xdr:colOff>0</xdr:colOff>
      <xdr:row>40</xdr:row>
      <xdr:rowOff>0</xdr:rowOff>
    </xdr:from>
    <xdr:to>
      <xdr:col>32</xdr:col>
      <xdr:colOff>267085</xdr:colOff>
      <xdr:row>66</xdr:row>
      <xdr:rowOff>185014</xdr:rowOff>
    </xdr:to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c95b0546ef44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9</xdr:col>
      <xdr:colOff>0</xdr:colOff>
      <xdr:row>72</xdr:row>
      <xdr:rowOff>0</xdr:rowOff>
    </xdr:from>
    <xdr:to>
      <xdr:col>17</xdr:col>
      <xdr:colOff>41768</xdr:colOff>
      <xdr:row>95</xdr:row>
      <xdr:rowOff>174304</xdr:rowOff>
    </xdr:to>
    <xdr:pic>
      <xdr:nvPicPr>
        <xdr:cNvPr id="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2d646e5ef54b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33</xdr:row>
      <xdr:rowOff>0</xdr:rowOff>
    </xdr:from>
    <xdr:ext cx="9144000" cy="4324350"/>
    <xdr:pic>
      <xdr:nvPicPr>
        <xdr:cNvPr id="1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fcde38d5e14a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persons/person.xml><?xml version="1.0" encoding="utf-8"?>
<xltc:personList xmlns:xltc="http://schemas.microsoft.com/office/spreadsheetml/2018/threadedcomments">
  <xltc:person displayName="LUI, Yu On [Student]" id="{CA4DE7A2-A28A-5414-6A4C-9C67E611A921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24099354520c4ffe" /><Relationship Type="http://schemas.openxmlformats.org/officeDocument/2006/relationships/vmlDrawing" Target="/xl/drawings/vmldrawing.vml" Id="Rbdcda733984d46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f659951741fb48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616ae868eaf74423" /></Relationships>
</file>

<file path=xl/worksheets/sheet1.xml><?xml version="1.0" encoding="utf-8"?>
<x:worksheet xmlns:x="http://schemas.openxmlformats.org/spreadsheetml/2006/main">
  <x:sheetFormatPr defaultColWidth="11.125" defaultRowHeight="15.949999809265137"/>
  <x:cols>
    <x:col min="1" max="1" width="36.625" customWidth="1"/>
    <x:col min="2" max="9" width="15.875" customWidth="1"/>
  </x:cols>
  <x:sheetData>
    <x:row r="1" ht="17.100000381469727">
      <x:c r="A1" s="125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>
      <x:c r="A2" s="72" t="s">
        <x:v>1</x:v>
      </x:c>
    </x:row>
    <x:row r="4">
      <x:c r="A4" s="5" t="s">
        <x:v>2</x:v>
      </x:c>
      <x:c r="B4" s="2"/>
      <x:c r="C4" s="2"/>
      <x:c r="D4" s="2"/>
      <x:c r="E4" s="2"/>
      <x:c r="F4" s="2"/>
      <x:c r="G4" s="2"/>
      <x:c r="H4" s="2"/>
      <x:c r="I4" s="2"/>
    </x:row>
    <x:row r="5">
      <x:c r="B5" s="73" t="s">
        <x:v>3</x:v>
      </x:c>
      <x:c r="C5" s="73" t="s">
        <x:v>4</x:v>
      </x:c>
      <x:c r="D5" s="73" t="s">
        <x:v>5</x:v>
      </x:c>
      <x:c r="E5" s="73" t="s">
        <x:v>6</x:v>
      </x:c>
      <x:c r="F5" s="73" t="s">
        <x:v>7</x:v>
      </x:c>
      <x:c r="G5" s="73" t="s">
        <x:v>8</x:v>
      </x:c>
      <x:c r="H5" s="73" t="s">
        <x:v>9</x:v>
      </x:c>
      <x:c r="I5" s="73" t="s">
        <x:v>10</x:v>
      </x:c>
    </x:row>
    <x:row r="6">
      <x:c r="A6" s="11" t="s">
        <x:v>11</x:v>
      </x:c>
      <x:c r="B6" s="9" t="s">
        <x:v>12</x:v>
      </x:c>
      <x:c r="C6" s="9">
        <x:v>7.3795705000000003E-2</x:v>
      </x:c>
      <x:c r="D6" s="9">
        <x:v>-8.1958209000000004E-2</x:v>
      </x:c>
      <x:c r="E6" s="74">
        <x:v>0.04</x:v>
      </x:c>
      <x:c r="F6" s="74">
        <x:v>0.05</x:v>
      </x:c>
      <x:c r="G6" s="74">
        <x:v>4.4999999999999998E-2</x:v>
      </x:c>
      <x:c r="H6" s="74">
        <x:v>0.04</x:v>
      </x:c>
      <x:c r="I6" s="74">
        <x:v>3.5000000000000003E-2</x:v>
      </x:c>
    </x:row>
    <x:row r="7">
      <x:c r="A7" t="s">
        <x:v>13</x:v>
      </x:c>
      <x:c r="B7" s="9">
        <x:v>0.93215431071489996</x:v>
      </x:c>
      <x:c r="C7" s="9">
        <x:v>0.93290561500000002</x:v>
      </x:c>
      <x:c r="D7" s="9">
        <x:v>0.92958577499999995</x:v>
      </x:c>
      <x:c r="E7" s="74">
        <x:v>0.92900000000000005</x:v>
      </x:c>
      <x:c r="F7" s="74">
        <x:v>0.92700000000000005</x:v>
      </x:c>
      <x:c r="G7" s="74">
        <x:v>0.92500000000000004</x:v>
      </x:c>
      <x:c r="H7" s="74">
        <x:v>0.92300000000000004</x:v>
      </x:c>
      <x:c r="I7" s="74">
        <x:v>0.92200000000000004</x:v>
      </x:c>
    </x:row>
    <x:row r="8">
      <x:c r="A8" t="s">
        <x:v>14</x:v>
      </x:c>
      <x:c r="B8" s="9">
        <x:v>1.2918419E-2</x:v>
      </x:c>
      <x:c r="C8" s="9">
        <x:v>7.9451039999999997E-3</x:v>
      </x:c>
      <x:c r="D8" s="9">
        <x:v>1.1120315E-2</x:v>
      </x:c>
      <x:c r="E8" s="74">
        <x:v>1.0999999999999999E-2</x:v>
      </x:c>
      <x:c r="F8" s="74">
        <x:v>1.0999999999999999E-2</x:v>
      </x:c>
      <x:c r="G8" s="74">
        <x:v>0.01</x:v>
      </x:c>
      <x:c r="H8" s="74">
        <x:v>0.01</x:v>
      </x:c>
      <x:c r="I8" s="74">
        <x:v>0.01</x:v>
      </x:c>
    </x:row>
    <x:row r="9">
      <x:c r="A9" t="s">
        <x:v>15</x:v>
      </x:c>
      <x:c r="B9" s="9">
        <x:v>3.3552863000000002E-2</x:v>
      </x:c>
      <x:c r="C9" s="9">
        <x:v>3.2586958999999999E-2</x:v>
      </x:c>
      <x:c r="D9" s="9">
        <x:v>3.2036845000000001E-2</x:v>
      </x:c>
      <x:c r="E9" s="74">
        <x:v>3.2000000000000001E-2</x:v>
      </x:c>
      <x:c r="F9" s="74">
        <x:v>3.1E-2</x:v>
      </x:c>
      <x:c r="G9" s="74">
        <x:v>0.03</x:v>
      </x:c>
      <x:c r="H9" s="74">
        <x:v>0.03</x:v>
      </x:c>
      <x:c r="I9" s="74">
        <x:v>2.9000000000000001E-2</x:v>
      </x:c>
    </x:row>
    <x:row r="10">
      <x:c r="A10" t="s">
        <x:v>16</x:v>
      </x:c>
      <x:c r="B10" s="9">
        <x:v>6.425404E-3</x:v>
      </x:c>
      <x:c r="C10" s="9">
        <x:v>9.0382440000000008E-3</x:v>
      </x:c>
      <x:c r="D10" s="9">
        <x:v>6.8070780000000003E-3</x:v>
      </x:c>
      <x:c r="E10" s="74">
        <x:v>7.0000000000000001E-3</x:v>
      </x:c>
      <x:c r="F10" s="74">
        <x:v>7.0000000000000001E-3</x:v>
      </x:c>
      <x:c r="G10" s="74">
        <x:v>6.0000000000000001E-3</x:v>
      </x:c>
      <x:c r="H10" s="74">
        <x:v>6.0000000000000001E-3</x:v>
      </x:c>
      <x:c r="I10" s="74">
        <x:v>6.0000000000000001E-3</x:v>
      </x:c>
    </x:row>
    <x:row r="11">
      <x:c r="A11" t="s">
        <x:v>17</x:v>
      </x:c>
      <x:c r="B11" s="9">
        <x:v>3.6085879999999998E-3</x:v>
      </x:c>
      <x:c r="C11" s="9">
        <x:v>3.236788E-3</x:v>
      </x:c>
      <x:c r="D11" s="9">
        <x:v>3.7194419999999999E-3</x:v>
      </x:c>
      <x:c r="E11" s="74">
        <x:v>4.0000000000000001E-3</x:v>
      </x:c>
      <x:c r="F11" s="74">
        <x:v>4.0000000000000001E-3</x:v>
      </x:c>
      <x:c r="G11" s="74">
        <x:v>4.0000000000000001E-3</x:v>
      </x:c>
      <x:c r="H11" s="74">
        <x:v>4.0000000000000001E-3</x:v>
      </x:c>
      <x:c r="I11" s="74">
        <x:v>4.0000000000000001E-3</x:v>
      </x:c>
    </x:row>
    <x:row r="12">
      <x:c r="A12" t="s">
        <x:v>18</x:v>
      </x:c>
      <x:c r="B12" s="9">
        <x:v>2.2741440000000001E-3</x:v>
      </x:c>
      <x:c r="C12" s="9">
        <x:v>1.6755920000000001E-3</x:v>
      </x:c>
      <x:c r="D12" s="9">
        <x:v>2.2999850000000001E-3</x:v>
      </x:c>
      <x:c r="E12" s="74">
        <x:v>2E-3</x:v>
      </x:c>
      <x:c r="F12" s="74">
        <x:v>2E-3</x:v>
      </x:c>
      <x:c r="G12" s="74">
        <x:v>2E-3</x:v>
      </x:c>
      <x:c r="H12" s="74">
        <x:v>2E-3</x:v>
      </x:c>
      <x:c r="I12" s="74">
        <x:v>2E-3</x:v>
      </x:c>
    </x:row>
    <x:row r="13">
      <x:c r="A13" t="s">
        <x:v>19</x:v>
      </x:c>
      <x:c r="B13" s="6">
        <x:v>39764</x:v>
      </x:c>
      <x:c r="C13" s="6">
        <x:v>33282</x:v>
      </x:c>
      <x:c r="D13" s="6">
        <x:v>38587</x:v>
      </x:c>
      <x:c r="E13" s="10">
        <x:v>35000</x:v>
      </x:c>
      <x:c r="F13" s="10">
        <x:v>33000</x:v>
      </x:c>
      <x:c r="G13" s="10">
        <x:v>31000</x:v>
      </x:c>
      <x:c r="H13" s="10">
        <x:v>30000</x:v>
      </x:c>
      <x:c r="I13" s="10">
        <x:v>29000</x:v>
      </x:c>
    </x:row>
    <x:row r="14">
      <x:c r="A14" t="s">
        <x:v>20</x:v>
      </x:c>
      <x:c r="B14" s="6">
        <x:v>8242</x:v>
      </x:c>
      <x:c r="C14" s="6">
        <x:v>15403</x:v>
      </x:c>
      <x:c r="D14" s="6">
        <x:v>13836</x:v>
      </x:c>
      <x:c r="E14" s="10">
        <x:v>12000</x:v>
      </x:c>
      <x:c r="F14" s="10">
        <x:v>11000</x:v>
      </x:c>
      <x:c r="G14" s="10">
        <x:v>10000</x:v>
      </x:c>
      <x:c r="H14" s="10">
        <x:v>10000</x:v>
      </x:c>
      <x:c r="I14" s="10">
        <x:v>10000</x:v>
      </x:c>
    </x:row>
    <x:row r="15">
      <x:c r="A15" t="s">
        <x:v>21</x:v>
      </x:c>
      <x:c r="B15" s="75">
        <x:v>60185</x:v>
      </x:c>
      <x:c r="C15" s="75">
        <x:v>27271</x:v>
      </x:c>
      <x:c r="D15" s="75">
        <x:v>22257</x:v>
      </x:c>
      <x:c r="E15" s="76">
        <x:v>15000</x:v>
      </x:c>
      <x:c r="F15" s="76">
        <x:v>12000</x:v>
      </x:c>
      <x:c r="G15" s="76">
        <x:v>10000</x:v>
      </x:c>
      <x:c r="H15" s="76">
        <x:v>10000</x:v>
      </x:c>
      <x:c r="I15" s="76">
        <x:v>10000</x:v>
      </x:c>
    </x:row>
    <x:row r="16">
      <x:c r="A16" t="s">
        <x:v>22</x:v>
      </x:c>
      <x:c r="B16" s="7">
        <x:v>0.34399999999999997</x:v>
      </x:c>
      <x:c r="C16" s="7">
        <x:v>0.24199999999999999</x:v>
      </x:c>
      <x:c r="D16" s="7">
        <x:v>0.17299999999999999</x:v>
      </x:c>
      <x:c r="E16" s="7">
        <x:v>0.2</x:v>
      </x:c>
      <x:c r="F16" s="7">
        <x:v>0.2</x:v>
      </x:c>
      <x:c r="G16" s="7">
        <x:v>0.2</x:v>
      </x:c>
      <x:c r="H16" s="7">
        <x:v>0.2</x:v>
      </x:c>
      <x:c r="I16" s="7">
        <x:v>0.2</x:v>
      </x:c>
    </x:row>
    <x:row r="17">
      <x:c r="A17" t="s">
        <x:v>23</x:v>
      </x:c>
      <x:c r="B17" s="75">
        <x:v>-37</x:v>
      </x:c>
      <x:c r="C17" s="75">
        <x:v>180</x:v>
      </x:c>
      <x:c r="D17" s="75">
        <x:v>32562</x:v>
      </x:c>
      <x:c r="E17" s="75">
        <x:v>1000</x:v>
      </x:c>
      <x:c r="F17" s="75">
        <x:v>1000</x:v>
      </x:c>
      <x:c r="G17" s="75">
        <x:v>1000</x:v>
      </x:c>
      <x:c r="H17" s="75">
        <x:v>1000</x:v>
      </x:c>
      <x:c r="I17" s="75">
        <x:v>1000</x:v>
      </x:c>
    </x:row>
    <x:row r="19">
      <x:c r="A19" s="5" t="s">
        <x:v>24</x:v>
      </x:c>
      <x:c r="B19" s="2"/>
      <x:c r="C19" s="2"/>
      <x:c r="D19" s="2"/>
      <x:c r="E19" s="2"/>
      <x:c r="F19" s="2"/>
      <x:c r="G19" s="2"/>
      <x:c r="H19" s="2"/>
      <x:c r="I19" s="2"/>
    </x:row>
    <x:row r="20">
      <x:c r="A20" t="s">
        <x:v>25</x:v>
      </x:c>
      <x:c r="B20" s="77">
        <x:v>39.9</x:v>
      </x:c>
      <x:c r="C20" s="77">
        <x:v>39.4</x:v>
      </x:c>
      <x:c r="D20" s="77">
        <x:v>32.9</x:v>
      </x:c>
      <x:c r="E20" s="77">
        <x:v>35</x:v>
      </x:c>
      <x:c r="F20" s="77">
        <x:v>35</x:v>
      </x:c>
      <x:c r="G20" s="77">
        <x:v>34</x:v>
      </x:c>
      <x:c r="H20" s="77">
        <x:v>34</x:v>
      </x:c>
      <x:c r="I20" s="77">
        <x:v>33</x:v>
      </x:c>
    </x:row>
    <x:row r="21">
      <x:c r="A21" t="s">
        <x:v>26</x:v>
      </x:c>
      <x:c r="B21" s="77">
        <x:v>6.3</x:v>
      </x:c>
      <x:c r="C21" s="77">
        <x:v>5.8</x:v>
      </x:c>
      <x:c r="D21" s="77">
        <x:v>7.9</x:v>
      </x:c>
      <x:c r="E21" s="77">
        <x:v>7</x:v>
      </x:c>
      <x:c r="F21" s="77">
        <x:v>7</x:v>
      </x:c>
      <x:c r="G21" s="77">
        <x:v>7</x:v>
      </x:c>
      <x:c r="H21" s="77">
        <x:v>7</x:v>
      </x:c>
      <x:c r="I21" s="77">
        <x:v>7</x:v>
      </x:c>
    </x:row>
    <x:row r="22">
      <x:c r="A22" t="s">
        <x:v>27</x:v>
      </x:c>
      <x:c r="B22" s="77">
        <x:v>55.1</x:v>
      </x:c>
      <x:c r="C22" s="77">
        <x:v>51.5</x:v>
      </x:c>
      <x:c r="D22" s="77">
        <x:v>48.4</x:v>
      </x:c>
      <x:c r="E22" s="77">
        <x:v>48</x:v>
      </x:c>
      <x:c r="F22" s="77">
        <x:v>48</x:v>
      </x:c>
      <x:c r="G22" s="77">
        <x:v>47</x:v>
      </x:c>
      <x:c r="H22" s="77">
        <x:v>47</x:v>
      </x:c>
      <x:c r="I22" s="77">
        <x:v>47</x:v>
      </x:c>
    </x:row>
    <x:row r="24">
      <x:c r="A24" t="s">
        <x:v>28</x:v>
      </x:c>
      <x:c r="B24" s="6">
        <x:v>5000</x:v>
      </x:c>
      <x:c r="C24" s="6">
        <x:v>5000</x:v>
      </x:c>
      <x:c r="D24" s="6">
        <x:v>5000</x:v>
      </x:c>
      <x:c r="E24" s="6">
        <x:v>5000</x:v>
      </x:c>
      <x:c r="F24" s="6">
        <x:v>5000</x:v>
      </x:c>
      <x:c r="G24" s="6">
        <x:v>5000</x:v>
      </x:c>
      <x:c r="H24" s="6">
        <x:v>5000</x:v>
      </x:c>
      <x:c r="I24" s="6">
        <x:v>5000</x:v>
      </x:c>
    </x:row>
    <x:row r="25">
      <x:c r="A25" t="s">
        <x:v>29</x:v>
      </x:c>
      <x:c r="B25" s="6">
        <x:v>0</x:v>
      </x:c>
      <x:c r="C25" s="6">
        <x:v>0</x:v>
      </x:c>
      <x:c r="D25" s="6">
        <x:v>35017</x:v>
      </x:c>
      <x:c r="E25" s="6">
        <x:v>20000</x:v>
      </x:c>
      <x:c r="F25" s="6">
        <x:v>25000</x:v>
      </x:c>
      <x:c r="G25" s="6">
        <x:v>30000</x:v>
      </x:c>
      <x:c r="H25" s="6">
        <x:v>30000</x:v>
      </x:c>
      <x:c r="I25" s="6">
        <x:v>35000</x:v>
      </x:c>
    </x:row>
    <x:row r="26">
      <x:c r="A26" t="s">
        <x:v>30</x:v>
      </x:c>
      <x:c r="B26" s="75">
        <x:v>0</x:v>
      </x:c>
      <x:c r="C26" s="75">
        <x:v>145208</x:v>
      </x:c>
      <x:c r="D26" s="75">
        <x:v>-133178</x:v>
      </x:c>
      <x:c r="E26" s="75">
        <x:v>0</x:v>
      </x:c>
      <x:c r="F26" s="75">
        <x:v>0</x:v>
      </x:c>
      <x:c r="G26" s="75">
        <x:v>-50000</x:v>
      </x:c>
      <x:c r="H26" s="75">
        <x:v>-50000</x:v>
      </x:c>
      <x:c r="I26" s="75">
        <x:v>-50000</x:v>
      </x:c>
    </x:row>
    <x:row r="27">
      <x:c r="A27" t="s">
        <x:v>31</x:v>
      </x:c>
      <x:c r="B27" s="75">
        <x:v>0</x:v>
      </x:c>
      <x:c r="C27" s="75">
        <x:v>0</x:v>
      </x:c>
      <x:c r="D27" s="75">
        <x:v>0</x:v>
      </x:c>
      <x:c r="E27" s="75">
        <x:v>0</x:v>
      </x:c>
      <x:c r="F27" s="75">
        <x:v>0</x:v>
      </x:c>
      <x:c r="G27" s="75">
        <x:v>0</x:v>
      </x:c>
      <x:c r="H27" s="75">
        <x:v>0</x:v>
      </x:c>
      <x:c r="I27" s="75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1.125" defaultRowHeight="15.949999809265137"/>
  <x:cols>
    <x:col min="1" max="1" width="33.375" customWidth="1"/>
    <x:col min="2" max="9" width="14.125" customWidth="1"/>
  </x:cols>
  <x:sheetData>
    <x:row r="1" ht="18.600000381469727">
      <x:c r="A1" s="1" t="s">
        <x:v>32</x:v>
      </x:c>
      <x:c r="B1" s="2"/>
      <x:c r="C1" s="2"/>
      <x:c r="D1" s="2"/>
      <x:c r="E1" s="2"/>
      <x:c r="F1" s="2"/>
      <x:c r="G1" s="2"/>
      <x:c r="H1" s="2"/>
      <x:c r="I1" s="2"/>
    </x:row>
    <x:row r="2">
      <x:c r="A2" s="3" t="s">
        <x:v>33</x:v>
      </x:c>
    </x:row>
    <x:row r="4">
      <x:c r="A4" s="4" t="s">
        <x:v>34</x:v>
      </x:c>
      <x:c r="B4" s="103">
        <x:v>2</x:v>
      </x:c>
    </x:row>
    <x:row r="5">
      <x:c r="A5" s="4" t="s">
        <x:v>35</x:v>
      </x:c>
      <x:c r="B5" s="4" t="str">
        <x:f>IF(B4=1,"Bear",IF(B4=2,"Base","Bull"))</x:f>
        <x:v>Base</x:v>
      </x:c>
    </x:row>
    <x:row r="6" ht="16.5"/>
    <x:row r="7">
      <x:c r="A7" s="183" t="s">
        <x:v>36</x:v>
      </x:c>
      <x:c r="B7" s="184"/>
      <x:c r="C7" s="185"/>
      <x:c r="D7" s="185"/>
      <x:c r="E7" s="185"/>
      <x:c r="F7" s="185"/>
      <x:c r="G7" s="185"/>
      <x:c r="H7" s="185"/>
      <x:c r="I7" s="185"/>
    </x:row>
    <x:row r="8">
      <x:c r="A8" s="12" t="s">
        <x:v>37</x:v>
      </x:c>
      <x:c r="B8" s="14">
        <x:v>1370000</x:v>
      </x:c>
    </x:row>
    <x:row r="9">
      <x:c r="A9" s="12" t="s">
        <x:v>38</x:v>
      </x:c>
      <x:c r="B9" s="14">
        <x:v>8540000</x:v>
      </x:c>
    </x:row>
    <x:row r="10">
      <x:c r="A10" s="12" t="s">
        <x:v>39</x:v>
      </x:c>
      <x:c r="B10" s="15">
        <x:v>1.25</x:v>
      </x:c>
    </x:row>
    <x:row r="11">
      <x:c r="A11" s="12" t="s">
        <x:v>40</x:v>
      </x:c>
      <x:c r="B11" s="16">
        <x:v>-135626</x:v>
      </x:c>
    </x:row>
    <x:row r="12">
      <x:c r="A12" s="12" t="s">
        <x:v>41</x:v>
      </x:c>
      <x:c r="B12" s="14">
        <x:v>325000</x:v>
      </x:c>
    </x:row>
    <x:row r="13">
      <x:c r="A13" s="12" t="s">
        <x:v>42</x:v>
      </x:c>
      <x:c r="B13" s="14">
        <x:v>460626</x:v>
      </x:c>
    </x:row>
    <x:row r="14">
      <x:c r="A14" s="12" t="s">
        <x:v>43</x:v>
      </x:c>
      <x:c r="B14" s="17" t="s">
        <x:v>44</x:v>
      </x:c>
    </x:row>
    <x:row r="15">
      <x:c r="A15" s="12" t="s">
        <x:v>45</x:v>
      </x:c>
      <x:c r="B15" s="18">
        <x:v>5.5E-2</x:v>
      </x:c>
    </x:row>
    <x:row r="16">
      <x:c r="A16" s="12" t="s">
        <x:v>46</x:v>
      </x:c>
      <x:c r="B16" s="18">
        <x:v>4.3200000000000002E-2</x:v>
      </x:c>
    </x:row>
    <x:row r="17" ht="16.5">
      <x:c r="A17" s="13" t="s">
        <x:v>47</x:v>
      </x:c>
      <x:c r="B17" s="90">
        <x:v>0.9</x:v>
      </x:c>
    </x:row>
    <x:row r="18" ht="16.5">
      <x:c r="A18" s="120" t="s">
        <x:v>48</x:v>
      </x:c>
      <x:c r="B18" s="121">
        <x:v>7.8</x:v>
      </x:c>
      <x:c r="C18" s="79"/>
      <x:c r="D18" s="79"/>
      <x:c r="E18" s="79"/>
    </x:row>
    <x:row r="19">
      <x:c r="A19" s="186" t="s">
        <x:v>49</x:v>
      </x:c>
      <x:c r="B19" s="187"/>
      <x:c r="C19" s="187"/>
      <x:c r="D19" s="187"/>
      <x:c r="E19" s="187"/>
      <x:c r="F19" s="188"/>
      <x:c r="G19" s="185"/>
      <x:c r="H19" s="185"/>
      <x:c r="I19" s="185"/>
    </x:row>
    <x:row r="20">
      <x:c r="A20" s="189" t="s">
        <x:v>50</x:v>
      </x:c>
      <x:c r="B20" s="190"/>
      <x:c r="C20" s="190"/>
      <x:c r="D20" s="190"/>
      <x:c r="E20" s="190"/>
      <x:c r="F20" s="191"/>
      <x:c r="G20" s="190"/>
      <x:c r="H20" s="190"/>
      <x:c r="I20" s="190"/>
    </x:row>
    <x:row r="21">
      <x:c r="A21" s="22" t="s">
        <x:v>51</x:v>
      </x:c>
      <x:c r="B21" s="19" t="s">
        <x:v>6</x:v>
      </x:c>
      <x:c r="C21" s="19" t="s">
        <x:v>7</x:v>
      </x:c>
      <x:c r="D21" s="19" t="s">
        <x:v>8</x:v>
      </x:c>
      <x:c r="E21" s="19" t="s">
        <x:v>9</x:v>
      </x:c>
      <x:c r="F21" s="28" t="s">
        <x:v>10</x:v>
      </x:c>
    </x:row>
    <x:row r="22">
      <x:c r="A22" s="26" t="s">
        <x:v>52</x:v>
      </x:c>
      <x:c r="B22" s="80">
        <x:v>0.02</x:v>
      </x:c>
      <x:c r="C22" s="80">
        <x:v>0.02</x:v>
      </x:c>
      <x:c r="D22" s="80">
        <x:v>1.4999999999999999E-2</x:v>
      </x:c>
      <x:c r="E22" s="80">
        <x:v>1.4999999999999999E-2</x:v>
      </x:c>
      <x:c r="F22" s="18">
        <x:v>0.01</x:v>
      </x:c>
    </x:row>
    <x:row r="23">
      <x:c r="A23" s="23" t="s">
        <x:v>53</x:v>
      </x:c>
      <x:c r="B23" s="7">
        <x:v>1.4999999999999999E-2</x:v>
      </x:c>
      <x:c r="C23" s="7">
        <x:v>1.6E-2</x:v>
      </x:c>
      <x:c r="D23" s="7">
        <x:v>1.7000000000000001E-2</x:v>
      </x:c>
      <x:c r="E23" s="7">
        <x:v>1.7999999999999999E-2</x:v>
      </x:c>
      <x:c r="F23" s="18">
        <x:v>1.7999999999999999E-2</x:v>
      </x:c>
    </x:row>
    <x:row r="24">
      <x:c r="A24" s="23" t="s">
        <x:v>54</x:v>
      </x:c>
      <x:c r="B24" s="7">
        <x:v>6.0000000000000001E-3</x:v>
      </x:c>
      <x:c r="C24" s="7">
        <x:v>6.0000000000000001E-3</x:v>
      </x:c>
      <x:c r="D24" s="7">
        <x:v>6.0000000000000001E-3</x:v>
      </x:c>
      <x:c r="E24" s="7">
        <x:v>6.0000000000000001E-3</x:v>
      </x:c>
      <x:c r="F24" s="18">
        <x:v>6.0000000000000001E-3</x:v>
      </x:c>
    </x:row>
    <x:row r="25">
      <x:c r="A25" s="23" t="s">
        <x:v>55</x:v>
      </x:c>
      <x:c r="B25" s="7" t="n">
        <x:f>B24</x:f>
        <x:v>0.006</x:v>
      </x:c>
      <x:c r="C25" s="7" t="n">
        <x:f>C24</x:f>
        <x:v>0.006</x:v>
      </x:c>
      <x:c r="D25" s="7" t="n">
        <x:f>D24</x:f>
        <x:v>0.006</x:v>
      </x:c>
      <x:c r="E25" s="7" t="n">
        <x:f>E24</x:f>
        <x:v>0.006</x:v>
      </x:c>
      <x:c r="F25" s="18" t="n">
        <x:f>F24</x:f>
        <x:v>0.006</x:v>
      </x:c>
    </x:row>
    <x:row r="26">
      <x:c r="A26" s="23" t="s">
        <x:v>56</x:v>
      </x:c>
      <x:c r="B26" s="7">
        <x:v>1.4999999999999999E-2</x:v>
      </x:c>
      <x:c r="C26" s="7">
        <x:v>1.4999999999999999E-2</x:v>
      </x:c>
      <x:c r="D26" s="7">
        <x:v>1.4999999999999999E-2</x:v>
      </x:c>
      <x:c r="E26" s="7">
        <x:v>1.4999999999999999E-2</x:v>
      </x:c>
      <x:c r="F26" s="18">
        <x:v>1.4999999999999999E-2</x:v>
      </x:c>
    </x:row>
    <x:row r="27">
      <x:c r="A27" s="23" t="s">
        <x:v>57</x:v>
      </x:c>
      <x:c r="B27" s="7">
        <x:v>0.2</x:v>
      </x:c>
      <x:c r="C27" s="7">
        <x:v>0.2</x:v>
      </x:c>
      <x:c r="D27" s="7">
        <x:v>0.2</x:v>
      </x:c>
      <x:c r="E27" s="7">
        <x:v>0.2</x:v>
      </x:c>
      <x:c r="F27" s="18">
        <x:v>0.2</x:v>
      </x:c>
    </x:row>
    <x:row r="28">
      <x:c r="A28" s="23" t="s">
        <x:v>58</x:v>
      </x:c>
      <x:c r="B28" s="7">
        <x:v>1.4999999999999999E-2</x:v>
      </x:c>
      <x:c r="C28" s="9"/>
      <x:c r="D28" s="9"/>
      <x:c r="E28" s="9"/>
      <x:c r="F28" s="31"/>
    </x:row>
    <x:row r="29">
      <x:c r="A29" s="23" t="s">
        <x:v>59</x:v>
      </x:c>
      <x:c r="B29" s="7" t="n">
        <x:f>WACC!B32</x:f>
        <x:v>0.09763379377410114</x:v>
      </x:c>
      <x:c r="C29" s="9"/>
      <x:c r="D29" s="9"/>
      <x:c r="E29" s="9"/>
      <x:c r="F29" s="31"/>
    </x:row>
    <x:row r="30">
      <x:c r="A30" s="114"/>
      <x:c r="B30" s="78"/>
      <x:c r="C30" s="78"/>
      <x:c r="D30" s="78"/>
      <x:c r="E30" s="78"/>
      <x:c r="F30" s="109"/>
    </x:row>
    <x:row r="31">
      <x:c r="A31" s="192" t="s">
        <x:v>60</x:v>
      </x:c>
      <x:c r="B31" s="193"/>
      <x:c r="C31" s="193"/>
      <x:c r="D31" s="193"/>
      <x:c r="E31" s="193"/>
      <x:c r="F31" s="194"/>
      <x:c r="G31" s="193"/>
      <x:c r="H31" s="193"/>
      <x:c r="I31" s="193"/>
    </x:row>
    <x:row r="32">
      <x:c r="A32" s="22" t="s">
        <x:v>51</x:v>
      </x:c>
      <x:c r="B32" s="19" t="s">
        <x:v>6</x:v>
      </x:c>
      <x:c r="C32" s="19" t="s">
        <x:v>7</x:v>
      </x:c>
      <x:c r="D32" s="19" t="s">
        <x:v>8</x:v>
      </x:c>
      <x:c r="E32" s="19" t="s">
        <x:v>9</x:v>
      </x:c>
      <x:c r="F32" s="28" t="s">
        <x:v>10</x:v>
      </x:c>
    </x:row>
    <x:row r="33">
      <x:c r="A33" s="23" t="s">
        <x:v>52</x:v>
      </x:c>
      <x:c r="B33" s="7">
        <x:v>0.03</x:v>
      </x:c>
      <x:c r="C33" s="7">
        <x:v>0.04</x:v>
      </x:c>
      <x:c r="D33" s="7">
        <x:v>3.5000000000000003E-2</x:v>
      </x:c>
      <x:c r="E33" s="7">
        <x:v>0.03</x:v>
      </x:c>
      <x:c r="F33" s="18">
        <x:v>2.5000000000000001E-2</x:v>
      </x:c>
    </x:row>
    <x:row r="34">
      <x:c r="A34" s="23" t="s">
        <x:v>53</x:v>
      </x:c>
      <x:c r="B34" s="7">
        <x:v>1.7999999999999999E-2</x:v>
      </x:c>
      <x:c r="C34" s="7">
        <x:v>0.02</x:v>
      </x:c>
      <x:c r="D34" s="7">
        <x:v>2.1999999999999999E-2</x:v>
      </x:c>
      <x:c r="E34" s="7">
        <x:v>2.4E-2</x:v>
      </x:c>
      <x:c r="F34" s="18">
        <x:v>2.5000000000000001E-2</x:v>
      </x:c>
    </x:row>
    <x:row r="35">
      <x:c r="A35" s="23" t="s">
        <x:v>54</x:v>
      </x:c>
      <x:c r="B35" s="7">
        <x:v>6.0000000000000001E-3</x:v>
      </x:c>
      <x:c r="C35" s="7">
        <x:v>6.0000000000000001E-3</x:v>
      </x:c>
      <x:c r="D35" s="7">
        <x:v>6.0000000000000001E-3</x:v>
      </x:c>
      <x:c r="E35" s="7">
        <x:v>6.0000000000000001E-3</x:v>
      </x:c>
      <x:c r="F35" s="18">
        <x:v>6.0000000000000001E-3</x:v>
      </x:c>
    </x:row>
    <x:row r="36">
      <x:c r="A36" s="23" t="s">
        <x:v>55</x:v>
      </x:c>
      <x:c r="B36" s="7" t="n">
        <x:f>B35*1.2</x:f>
        <x:v>0.0072</x:v>
      </x:c>
      <x:c r="C36" s="7" t="n">
        <x:f>C35*1.2</x:f>
        <x:v>0.0072</x:v>
      </x:c>
      <x:c r="D36" s="7" t="n">
        <x:f>D35*1.2</x:f>
        <x:v>0.0072</x:v>
      </x:c>
      <x:c r="E36" s="7" t="n">
        <x:f>E35*1.2</x:f>
        <x:v>0.0072</x:v>
      </x:c>
      <x:c r="F36" s="18" t="n">
        <x:f>F35*1.2</x:f>
        <x:v>0.0072</x:v>
      </x:c>
    </x:row>
    <x:row r="37">
      <x:c r="A37" s="23" t="s">
        <x:v>56</x:v>
      </x:c>
      <x:c r="B37" s="7">
        <x:v>0.01</x:v>
      </x:c>
      <x:c r="C37" s="7">
        <x:v>0.01</x:v>
      </x:c>
      <x:c r="D37" s="7">
        <x:v>0.01</x:v>
      </x:c>
      <x:c r="E37" s="7">
        <x:v>0.01</x:v>
      </x:c>
      <x:c r="F37" s="18">
        <x:v>0.01</x:v>
      </x:c>
    </x:row>
    <x:row r="38">
      <x:c r="A38" s="23" t="s">
        <x:v>57</x:v>
      </x:c>
      <x:c r="B38" s="7">
        <x:v>0.2</x:v>
      </x:c>
      <x:c r="C38" s="7">
        <x:v>0.2</x:v>
      </x:c>
      <x:c r="D38" s="7">
        <x:v>0.2</x:v>
      </x:c>
      <x:c r="E38" s="7">
        <x:v>0.2</x:v>
      </x:c>
      <x:c r="F38" s="18">
        <x:v>0.2</x:v>
      </x:c>
    </x:row>
    <x:row r="39">
      <x:c r="A39" s="23" t="s">
        <x:v>58</x:v>
      </x:c>
      <x:c r="B39" s="7">
        <x:v>0.02</x:v>
      </x:c>
      <x:c r="C39" s="9"/>
      <x:c r="D39" s="9"/>
      <x:c r="E39" s="9"/>
      <x:c r="F39" s="31"/>
    </x:row>
    <x:row r="40">
      <x:c r="A40" s="23" t="s">
        <x:v>61</x:v>
      </x:c>
      <x:c r="B40" s="7" t="n">
        <x:f>WACC!B32</x:f>
        <x:v>0.09763379377410114</x:v>
      </x:c>
      <x:c r="C40" s="9"/>
      <x:c r="D40" s="9"/>
      <x:c r="E40" s="9"/>
      <x:c r="F40" s="31"/>
    </x:row>
    <x:row r="41">
      <x:c r="A41" s="115"/>
      <x:c r="B41" s="110"/>
      <x:c r="C41" s="110"/>
      <x:c r="D41" s="110"/>
      <x:c r="E41" s="110"/>
      <x:c r="F41" s="111"/>
    </x:row>
    <x:row r="42">
      <x:c r="A42" s="195" t="s">
        <x:v>62</x:v>
      </x:c>
      <x:c r="B42" s="196"/>
      <x:c r="C42" s="196"/>
      <x:c r="D42" s="196"/>
      <x:c r="E42" s="196"/>
      <x:c r="F42" s="197"/>
      <x:c r="G42" s="196"/>
      <x:c r="H42" s="196"/>
      <x:c r="I42" s="196"/>
    </x:row>
    <x:row r="43">
      <x:c r="A43" s="22" t="s">
        <x:v>51</x:v>
      </x:c>
      <x:c r="B43" s="19" t="s">
        <x:v>6</x:v>
      </x:c>
      <x:c r="C43" s="19" t="s">
        <x:v>7</x:v>
      </x:c>
      <x:c r="D43" s="19" t="s">
        <x:v>8</x:v>
      </x:c>
      <x:c r="E43" s="19" t="s">
        <x:v>9</x:v>
      </x:c>
      <x:c r="F43" s="28" t="s">
        <x:v>10</x:v>
      </x:c>
      <x:c r="G43" s="28" t="s">
        <x:v>63</x:v>
      </x:c>
    </x:row>
    <x:row r="44">
      <x:c r="A44" s="23" t="s">
        <x:v>52</x:v>
      </x:c>
      <x:c r="B44" s="7">
        <x:v>0.05</x:v>
      </x:c>
      <x:c r="C44" s="7">
        <x:v>0.06</x:v>
      </x:c>
      <x:c r="D44" s="7">
        <x:v>5.5E-2</x:v>
      </x:c>
      <x:c r="E44" s="7">
        <x:v>4.4999999999999998E-2</x:v>
      </x:c>
      <x:c r="F44" s="18">
        <x:v>3.5000000000000003E-2</x:v>
      </x:c>
    </x:row>
    <x:row r="45">
      <x:c r="A45" s="23" t="s">
        <x:v>53</x:v>
      </x:c>
      <x:c r="B45" s="7">
        <x:v>0.02</x:v>
      </x:c>
      <x:c r="C45" s="7">
        <x:v>2.3E-2</x:v>
      </x:c>
      <x:c r="D45" s="7">
        <x:v>2.5999999999999999E-2</x:v>
      </x:c>
      <x:c r="E45" s="7">
        <x:v>2.8000000000000001E-2</x:v>
      </x:c>
      <x:c r="F45" s="18">
        <x:v>0.03</x:v>
      </x:c>
    </x:row>
    <x:row r="46">
      <x:c r="A46" s="23" t="s">
        <x:v>54</x:v>
      </x:c>
      <x:c r="B46" s="7">
        <x:v>6.0000000000000001E-3</x:v>
      </x:c>
      <x:c r="C46" s="7">
        <x:v>6.0000000000000001E-3</x:v>
      </x:c>
      <x:c r="D46" s="7">
        <x:v>6.0000000000000001E-3</x:v>
      </x:c>
      <x:c r="E46" s="7">
        <x:v>6.0000000000000001E-3</x:v>
      </x:c>
      <x:c r="F46" s="18">
        <x:v>6.0000000000000001E-3</x:v>
      </x:c>
    </x:row>
    <x:row r="47">
      <x:c r="A47" s="23" t="s">
        <x:v>55</x:v>
      </x:c>
      <x:c r="B47" s="7" t="n">
        <x:f>B46*1.5</x:f>
        <x:v>0.009000000000000001</x:v>
      </x:c>
      <x:c r="C47" s="7" t="n">
        <x:f>C46*1.5</x:f>
        <x:v>0.009000000000000001</x:v>
      </x:c>
      <x:c r="D47" s="7" t="n">
        <x:f>D46*1.5</x:f>
        <x:v>0.009000000000000001</x:v>
      </x:c>
      <x:c r="E47" s="7" t="n">
        <x:f>E46*1.5</x:f>
        <x:v>0.009000000000000001</x:v>
      </x:c>
      <x:c r="F47" s="18" t="n">
        <x:f>F46*1.5</x:f>
        <x:v>0.009000000000000001</x:v>
      </x:c>
    </x:row>
    <x:row r="48">
      <x:c r="A48" s="23" t="s">
        <x:v>56</x:v>
      </x:c>
      <x:c r="B48" s="7">
        <x:v>5.0000000000000001E-3</x:v>
      </x:c>
      <x:c r="C48" s="7">
        <x:v>5.0000000000000001E-3</x:v>
      </x:c>
      <x:c r="D48" s="7">
        <x:v>5.0000000000000001E-3</x:v>
      </x:c>
      <x:c r="E48" s="7">
        <x:v>5.0000000000000001E-3</x:v>
      </x:c>
      <x:c r="F48" s="18">
        <x:v>5.0000000000000001E-3</x:v>
      </x:c>
    </x:row>
    <x:row r="49">
      <x:c r="A49" s="23" t="s">
        <x:v>57</x:v>
      </x:c>
      <x:c r="B49" s="7">
        <x:v>0.2</x:v>
      </x:c>
      <x:c r="C49" s="7">
        <x:v>0.2</x:v>
      </x:c>
      <x:c r="D49" s="7">
        <x:v>0.2</x:v>
      </x:c>
      <x:c r="E49" s="7">
        <x:v>0.2</x:v>
      </x:c>
      <x:c r="F49" s="18">
        <x:v>0.2</x:v>
      </x:c>
    </x:row>
    <x:row r="50">
      <x:c r="A50" s="23" t="s">
        <x:v>58</x:v>
      </x:c>
      <x:c r="B50" s="7">
        <x:v>2.2499999999999999E-2</x:v>
      </x:c>
      <x:c r="C50" s="9"/>
      <x:c r="D50" s="9"/>
      <x:c r="E50" s="9"/>
      <x:c r="F50" s="31"/>
    </x:row>
    <x:row r="51">
      <x:c r="A51" s="23" t="s">
        <x:v>61</x:v>
      </x:c>
      <x:c r="B51" s="7" t="n">
        <x:f>WACC!B32</x:f>
        <x:v>0.09763379377410114</x:v>
      </x:c>
      <x:c r="C51" s="9"/>
      <x:c r="D51" s="9"/>
      <x:c r="E51" s="9"/>
      <x:c r="F51" s="31"/>
    </x:row>
    <x:row r="52">
      <x:c r="A52" s="116"/>
      <x:c r="B52" s="112"/>
      <x:c r="C52" s="112"/>
      <x:c r="D52" s="112"/>
      <x:c r="E52" s="112"/>
      <x:c r="F52" s="113"/>
    </x:row>
    <x:row r="53">
      <x:c r="A53" s="198" t="s">
        <x:v>64</x:v>
      </x:c>
      <x:c r="B53" s="199"/>
      <x:c r="C53" s="199"/>
      <x:c r="D53" s="199"/>
      <x:c r="E53" s="199"/>
      <x:c r="F53" s="200"/>
      <x:c r="G53" s="201"/>
      <x:c r="H53" s="201"/>
      <x:c r="I53" s="201"/>
    </x:row>
    <x:row r="54">
      <x:c r="A54" s="25" t="s">
        <x:v>51</x:v>
      </x:c>
      <x:c r="B54" s="20" t="s">
        <x:v>6</x:v>
      </x:c>
      <x:c r="C54" s="20" t="s">
        <x:v>7</x:v>
      </x:c>
      <x:c r="D54" s="20" t="s">
        <x:v>8</x:v>
      </x:c>
      <x:c r="E54" s="20" t="s">
        <x:v>9</x:v>
      </x:c>
      <x:c r="F54" s="30" t="s">
        <x:v>10</x:v>
      </x:c>
    </x:row>
    <x:row r="55">
      <x:c r="A55" s="26" t="s">
        <x:v>52</x:v>
      </x:c>
      <x:c r="B55" s="9" t="n">
        <x:f t="shared" ref="B55:F60" si="0">CHOOSE($B$4,B22,B33,B44)</x:f>
        <x:v>0.03</x:v>
      </x:c>
      <x:c r="C55" s="9">
        <x:f t="shared" si="0"/>
        <x:v>0.04</x:v>
      </x:c>
      <x:c r="D55" s="9">
        <x:f t="shared" si="0"/>
        <x:v>3.5000000000000003E-2</x:v>
      </x:c>
      <x:c r="E55" s="9">
        <x:f t="shared" si="0"/>
        <x:v>0.03</x:v>
      </x:c>
      <x:c r="F55" s="31">
        <x:f t="shared" si="0"/>
        <x:v>2.5000000000000001E-2</x:v>
      </x:c>
    </x:row>
    <x:row r="56">
      <x:c r="A56" s="26" t="s">
        <x:v>53</x:v>
      </x:c>
      <x:c r="B56" s="9">
        <x:f t="shared" si="0"/>
        <x:v>1.7999999999999999E-2</x:v>
      </x:c>
      <x:c r="C56" s="9">
        <x:f t="shared" si="0"/>
        <x:v>0.02</x:v>
      </x:c>
      <x:c r="D56" s="9">
        <x:f t="shared" si="0"/>
        <x:v>2.1999999999999999E-2</x:v>
      </x:c>
      <x:c r="E56" s="9">
        <x:f t="shared" si="0"/>
        <x:v>2.4E-2</x:v>
      </x:c>
      <x:c r="F56" s="31">
        <x:f t="shared" si="0"/>
        <x:v>2.5000000000000001E-2</x:v>
      </x:c>
    </x:row>
    <x:row r="57">
      <x:c r="A57" s="26" t="s">
        <x:v>54</x:v>
      </x:c>
      <x:c r="B57" s="9">
        <x:f t="shared" si="0"/>
        <x:v>6.0000000000000001E-3</x:v>
      </x:c>
      <x:c r="C57" s="9">
        <x:f t="shared" si="0"/>
        <x:v>6.0000000000000001E-3</x:v>
      </x:c>
      <x:c r="D57" s="9">
        <x:f t="shared" si="0"/>
        <x:v>6.0000000000000001E-3</x:v>
      </x:c>
      <x:c r="E57" s="9">
        <x:f t="shared" si="0"/>
        <x:v>6.0000000000000001E-3</x:v>
      </x:c>
      <x:c r="F57" s="31">
        <x:f t="shared" si="0"/>
        <x:v>6.0000000000000001E-3</x:v>
      </x:c>
    </x:row>
    <x:row r="58">
      <x:c r="A58" s="26" t="s">
        <x:v>55</x:v>
      </x:c>
      <x:c r="B58" s="9">
        <x:f t="shared" si="0"/>
        <x:v>7.1999999999999998E-3</x:v>
      </x:c>
      <x:c r="C58" s="9">
        <x:f t="shared" si="0"/>
        <x:v>7.1999999999999998E-3</x:v>
      </x:c>
      <x:c r="D58" s="9">
        <x:f t="shared" si="0"/>
        <x:v>7.1999999999999998E-3</x:v>
      </x:c>
      <x:c r="E58" s="9">
        <x:f t="shared" si="0"/>
        <x:v>7.1999999999999998E-3</x:v>
      </x:c>
      <x:c r="F58" s="31">
        <x:f t="shared" si="0"/>
        <x:v>7.1999999999999998E-3</x:v>
      </x:c>
    </x:row>
    <x:row r="59">
      <x:c r="A59" s="26" t="s">
        <x:v>56</x:v>
      </x:c>
      <x:c r="B59" s="9">
        <x:f t="shared" si="0"/>
        <x:v>0.01</x:v>
      </x:c>
      <x:c r="C59" s="9">
        <x:f t="shared" si="0"/>
        <x:v>0.01</x:v>
      </x:c>
      <x:c r="D59" s="9">
        <x:f t="shared" si="0"/>
        <x:v>0.01</x:v>
      </x:c>
      <x:c r="E59" s="9">
        <x:f t="shared" si="0"/>
        <x:v>0.01</x:v>
      </x:c>
      <x:c r="F59" s="31">
        <x:f t="shared" si="0"/>
        <x:v>0.01</x:v>
      </x:c>
    </x:row>
    <x:row r="60">
      <x:c r="A60" s="26" t="s">
        <x:v>57</x:v>
      </x:c>
      <x:c r="B60" s="9">
        <x:f t="shared" si="0"/>
        <x:v>0.2</x:v>
      </x:c>
      <x:c r="C60" s="9">
        <x:f t="shared" si="0"/>
        <x:v>0.2</x:v>
      </x:c>
      <x:c r="D60" s="9">
        <x:f t="shared" si="0"/>
        <x:v>0.2</x:v>
      </x:c>
      <x:c r="E60" s="9">
        <x:f t="shared" si="0"/>
        <x:v>0.2</x:v>
      </x:c>
      <x:c r="F60" s="31">
        <x:f t="shared" si="0"/>
        <x:v>0.2</x:v>
      </x:c>
    </x:row>
    <x:row r="61">
      <x:c r="A61" s="26" t="s">
        <x:v>58</x:v>
      </x:c>
      <x:c r="B61" s="9" t="n">
        <x:f>CHOOSE($B$4,B28,B39,B50)</x:f>
        <x:v>0.02</x:v>
      </x:c>
      <x:c r="C61" s="9"/>
      <x:c r="D61" s="9"/>
      <x:c r="E61" s="9"/>
      <x:c r="F61" s="31"/>
    </x:row>
    <x:row r="62" ht="16.5">
      <x:c r="A62" s="27" t="s">
        <x:v>59</x:v>
      </x:c>
      <x:c r="B62" s="21" t="n">
        <x:f>CHOOSE($B$4,B29,B40,B51)</x:f>
        <x:v>0.09763379377410114</x:v>
      </x:c>
      <x:c r="C62" s="21"/>
      <x:c r="D62" s="21"/>
      <x:c r="E62" s="21"/>
      <x:c r="F62" s="91"/>
    </x:row>
    <x:row r="63" ht="16.5">
      <x:c r="A63" s="83"/>
      <x:c r="B63" s="82"/>
      <x:c r="C63" s="82"/>
      <x:c r="D63" s="82"/>
      <x:c r="E63" s="82"/>
    </x:row>
    <x:row r="64">
      <x:c r="A64" s="183" t="s">
        <x:v>65</x:v>
      </x:c>
      <x:c r="B64" s="202"/>
      <x:c r="C64" s="202"/>
      <x:c r="D64" s="202"/>
      <x:c r="E64" s="202"/>
      <x:c r="F64" s="202"/>
      <x:c r="G64" s="202"/>
      <x:c r="H64" s="202"/>
      <x:c r="I64" s="184"/>
    </x:row>
    <x:row r="65">
      <x:c r="A65" s="22" t="s">
        <x:v>66</x:v>
      </x:c>
      <x:c r="B65" s="19" t="s">
        <x:v>3</x:v>
      </x:c>
      <x:c r="C65" s="19" t="s">
        <x:v>4</x:v>
      </x:c>
      <x:c r="D65" s="19" t="s">
        <x:v>5</x:v>
      </x:c>
      <x:c r="E65" s="19" t="s">
        <x:v>6</x:v>
      </x:c>
      <x:c r="F65" s="19" t="s">
        <x:v>7</x:v>
      </x:c>
      <x:c r="G65" s="19" t="s">
        <x:v>8</x:v>
      </x:c>
      <x:c r="H65" s="19" t="s">
        <x:v>9</x:v>
      </x:c>
      <x:c r="I65" s="28" t="s">
        <x:v>10</x:v>
      </x:c>
    </x:row>
    <x:row r="66">
      <x:c r="A66" s="26" t="s">
        <x:v>67</x:v>
      </x:c>
      <x:c r="B66" s="10">
        <x:v>6138135</x:v>
      </x:c>
      <x:c r="C66" s="10">
        <x:v>6591103</x:v>
      </x:c>
      <x:c r="D66" s="10">
        <x:v>6050908</x:v>
      </x:c>
      <x:c r="E66" s="32" t="n">
        <x:f>D66*(1+B55)</x:f>
        <x:v>6232435.24</x:v>
      </x:c>
      <x:c r="F66" s="32" t="n">
        <x:f>E66*(1+C55)</x:f>
        <x:v>6481732.6496</x:v>
      </x:c>
      <x:c r="G66" s="32" t="n">
        <x:f>F66*(1+D55)</x:f>
        <x:v>6708593.292335999</x:v>
      </x:c>
      <x:c r="H66" s="32" t="n">
        <x:f>G66*(1+E55)</x:f>
        <x:v>6909851.0911060795</x:v>
      </x:c>
      <x:c r="I66" s="39" t="n">
        <x:f>H66*(1+F55)</x:f>
        <x:v>7082597.368383731</x:v>
      </x:c>
    </x:row>
    <x:row r="67">
      <x:c r="A67" s="84" t="s">
        <x:v>68</x:v>
      </x:c>
      <x:c r="B67" s="117"/>
      <x:c r="C67" s="85" t="n">
        <x:f t="shared" ref="C67:I67" si="1">C66/B66-1</x:f>
        <x:v>0.07379570504721711</x:v>
      </x:c>
      <x:c r="D67" s="85">
        <x:f t="shared" si="1"/>
        <x:v>-8.1958209422611006E-2</x:v>
      </x:c>
      <x:c r="E67" s="85">
        <x:f t="shared" si="1"/>
        <x:v>3.0000000000000027E-2</x:v>
      </x:c>
      <x:c r="F67" s="33">
        <x:f t="shared" si="1"/>
        <x:v>4.0000000000000036E-2</x:v>
      </x:c>
      <x:c r="G67" s="33">
        <x:f t="shared" si="1"/>
        <x:v>3.499999999999992E-2</x:v>
      </x:c>
      <x:c r="H67" s="33">
        <x:f t="shared" si="1"/>
        <x:v>3.0000000000000027E-2</x:v>
      </x:c>
      <x:c r="I67" s="40">
        <x:f t="shared" si="1"/>
        <x:v>2.4999999999999911E-2</x:v>
      </x:c>
    </x:row>
    <x:row r="68">
      <x:c r="A68" s="81" t="s">
        <x:v>69</x:v>
      </x:c>
      <x:c r="B68" s="32" t="n">
        <x:f>B69+15000</x:f>
        <x:v>70650</x:v>
      </x:c>
      <x:c r="C68" s="32" t="n">
        <x:f>C69+5000</x:f>
        <x:v>88125</x:v>
      </x:c>
      <x:c r="D68" s="32" t="n">
        <x:f>D69+0</x:f>
        <x:v>87318</x:v>
      </x:c>
      <x:c r="E68" s="32" t="n">
        <x:f>AVERAGE(B68,C68,D68)</x:f>
        <x:v>82031</x:v>
      </x:c>
      <x:c r="F68" s="32"/>
      <x:c r="G68" s="32"/>
      <x:c r="H68" s="32"/>
      <x:c r="I68" s="39"/>
    </x:row>
    <x:row r="69">
      <x:c r="A69" s="26" t="s">
        <x:v>70</x:v>
      </x:c>
      <x:c r="B69" s="10">
        <x:v>55650</x:v>
      </x:c>
      <x:c r="C69" s="10">
        <x:v>83125</x:v>
      </x:c>
      <x:c r="D69" s="10">
        <x:v>87318</x:v>
      </x:c>
      <x:c r="E69" s="32" t="n">
        <x:f>E66*B56</x:f>
        <x:v>112183.83432</x:v>
      </x:c>
      <x:c r="F69" s="32" t="n">
        <x:f>F66*C56</x:f>
        <x:v>129634.652992</x:v>
      </x:c>
      <x:c r="G69" s="32" t="n">
        <x:f>G66*D56</x:f>
        <x:v>147589.05243139196</x:v>
      </x:c>
      <x:c r="H69" s="32" t="n">
        <x:f>H66*E56</x:f>
        <x:v>165836.4261865459</x:v>
      </x:c>
      <x:c r="I69" s="39" t="n">
        <x:f>I66*F56</x:f>
        <x:v>177064.93420959328</x:v>
      </x:c>
    </x:row>
    <x:row r="70">
      <x:c r="A70" s="37" t="s">
        <x:v>71</x:v>
      </x:c>
      <x:c r="B70" s="33" t="n">
        <x:f t="shared" ref="B70:I70" si="2">B69/B66</x:f>
        <x:v>0.009066271758441286</x:v>
      </x:c>
      <x:c r="C70" s="33">
        <x:f t="shared" si="2"/>
        <x:v>1.2611697920666692E-2</x:v>
      </x:c>
      <x:c r="D70" s="33">
        <x:f t="shared" si="2"/>
        <x:v>1.4430561495894501E-2</x:v>
      </x:c>
      <x:c r="E70" s="33">
        <x:f t="shared" si="2"/>
        <x:v>1.7999999999999999E-2</x:v>
      </x:c>
      <x:c r="F70" s="33">
        <x:f t="shared" si="2"/>
        <x:v>0.02</x:v>
      </x:c>
      <x:c r="G70" s="33">
        <x:f t="shared" si="2"/>
        <x:v>2.1999999999999995E-2</x:v>
      </x:c>
      <x:c r="H70" s="33">
        <x:f t="shared" si="2"/>
        <x:v>2.3999999999999997E-2</x:v>
      </x:c>
      <x:c r="I70" s="40">
        <x:f t="shared" si="2"/>
        <x:v>2.5000000000000001E-2</x:v>
      </x:c>
    </x:row>
    <x:row r="71">
      <x:c r="A71" s="24"/>
      <x:c r="B71" s="32"/>
      <x:c r="C71" s="32"/>
      <x:c r="D71" s="32"/>
      <x:c r="E71" s="32"/>
      <x:c r="F71" s="32"/>
      <x:c r="G71" s="32"/>
      <x:c r="H71" s="32"/>
      <x:c r="I71" s="39"/>
    </x:row>
    <x:row r="72">
      <x:c r="A72" s="23" t="s">
        <x:v>72</x:v>
      </x:c>
      <x:c r="B72" s="32" t="n">
        <x:f>-B69*B60</x:f>
        <x:v>-11130</x:v>
      </x:c>
      <x:c r="C72" s="32" t="n">
        <x:f>-C69*C60</x:f>
        <x:v>-16625</x:v>
      </x:c>
      <x:c r="D72" s="32" t="n">
        <x:f>-D69*D60</x:f>
        <x:v>-17463.600000000002</x:v>
      </x:c>
      <x:c r="E72" s="32" t="n">
        <x:f>-E69*B60</x:f>
        <x:v>-22436.766864</x:v>
      </x:c>
      <x:c r="F72" s="32" t="n">
        <x:f>-F69*C60</x:f>
        <x:v>-25926.930598400002</x:v>
      </x:c>
      <x:c r="G72" s="32" t="n">
        <x:f>-G69*D60</x:f>
        <x:v>-29517.810486278395</x:v>
      </x:c>
      <x:c r="H72" s="32" t="n">
        <x:f>-H69*E60</x:f>
        <x:v>-33167.28523730918</x:v>
      </x:c>
      <x:c r="I72" s="39" t="n">
        <x:f>-I69*F60</x:f>
        <x:v>-35412.98684191866</x:v>
      </x:c>
    </x:row>
    <x:row r="73">
      <x:c r="A73" s="26" t="s">
        <x:v>73</x:v>
      </x:c>
      <x:c r="B73" s="35" t="n">
        <x:f t="shared" ref="B73:I73" si="3">B69+B72</x:f>
        <x:v>44520</x:v>
      </x:c>
      <x:c r="C73" s="35">
        <x:f t="shared" si="3"/>
        <x:v>66500</x:v>
      </x:c>
      <x:c r="D73" s="35">
        <x:f t="shared" si="3"/>
        <x:v>69854.399999999994</x:v>
      </x:c>
      <x:c r="E73" s="35">
        <x:f t="shared" si="3"/>
        <x:v>89747.06745599999</x:v>
      </x:c>
      <x:c r="F73" s="35">
        <x:f t="shared" si="3"/>
        <x:v>103707.72239360001</x:v>
      </x:c>
      <x:c r="G73" s="35">
        <x:f t="shared" si="3"/>
        <x:v>118071.24194511356</x:v>
      </x:c>
      <x:c r="H73" s="35">
        <x:f t="shared" si="3"/>
        <x:v>132669.14094923672</x:v>
      </x:c>
      <x:c r="I73" s="42">
        <x:f t="shared" si="3"/>
        <x:v>141651.94736767461</x:v>
      </x:c>
    </x:row>
    <x:row r="74">
      <x:c r="A74" s="24"/>
      <x:c r="I74" s="29"/>
    </x:row>
    <x:row r="75">
      <x:c r="A75" s="23" t="s">
        <x:v>74</x:v>
      </x:c>
      <x:c r="B75" s="10">
        <x:v>36109</x:v>
      </x:c>
      <x:c r="C75" s="10">
        <x:v>32378</x:v>
      </x:c>
      <x:c r="D75" s="10">
        <x:v>36423</x:v>
      </x:c>
      <x:c r="E75" s="32" t="n">
        <x:f>E66*B57</x:f>
        <x:v>37394.61144</x:v>
      </x:c>
      <x:c r="F75" s="32" t="n">
        <x:f>F66*C57</x:f>
        <x:v>38890.3958976</x:v>
      </x:c>
      <x:c r="G75" s="32" t="n">
        <x:f>G66*D57</x:f>
        <x:v>40251.559754015994</x:v>
      </x:c>
      <x:c r="H75" s="32" t="n">
        <x:f>H66*E57</x:f>
        <x:v>41459.106546636474</x:v>
      </x:c>
      <x:c r="I75" s="39" t="n">
        <x:f>I66*F57</x:f>
        <x:v>42495.58421030238</x:v>
      </x:c>
    </x:row>
    <x:row r="76" ht="16.5">
      <x:c r="A76" s="38" t="s">
        <x:v>75</x:v>
      </x:c>
      <x:c r="B76" s="36" t="n">
        <x:f t="shared" ref="B76:I76" si="4">B75/B66</x:f>
        <x:v>0.005882731481142074</x:v>
      </x:c>
      <x:c r="C76" s="36">
        <x:f t="shared" si="4"/>
        <x:v>4.9123796123349914E-3</x:v>
      </x:c>
      <x:c r="D76" s="36">
        <x:f t="shared" si="4"/>
        <x:v>6.0194271669640328E-3</x:v>
      </x:c>
      <x:c r="E76" s="36">
        <x:f t="shared" si="4"/>
        <x:v>6.0000000000000001E-3</x:v>
      </x:c>
      <x:c r="F76" s="36">
        <x:f t="shared" si="4"/>
        <x:v>6.0000000000000001E-3</x:v>
      </x:c>
      <x:c r="G76" s="36">
        <x:f t="shared" si="4"/>
        <x:v>6.0000000000000001E-3</x:v>
      </x:c>
      <x:c r="H76" s="36">
        <x:f t="shared" si="4"/>
        <x:v>5.9999999999999993E-3</x:v>
      </x:c>
      <x:c r="I76" s="43">
        <x:f t="shared" si="4"/>
        <x:v>6.0000000000000001E-3</x:v>
      </x:c>
    </x:row>
    <x:row r="77" ht="16.5">
      <x:c r="B77" s="32"/>
      <x:c r="C77" s="32"/>
      <x:c r="D77" s="32"/>
      <x:c r="E77" s="32"/>
      <x:c r="F77" s="32"/>
      <x:c r="G77" s="32"/>
      <x:c r="H77" s="32"/>
      <x:c r="I77" s="32"/>
    </x:row>
    <x:row r="78">
      <x:c r="A78" s="203" t="s">
        <x:v>76</x:v>
      </x:c>
      <x:c r="B78" s="202"/>
      <x:c r="C78" s="202"/>
      <x:c r="D78" s="202"/>
      <x:c r="E78" s="202"/>
      <x:c r="F78" s="202"/>
      <x:c r="G78" s="202"/>
      <x:c r="H78" s="202"/>
      <x:c r="I78" s="184"/>
    </x:row>
    <x:row r="79">
      <x:c r="A79" s="22" t="s">
        <x:v>77</x:v>
      </x:c>
      <x:c r="B79" s="95" t="s">
        <x:v>3</x:v>
      </x:c>
      <x:c r="C79" s="95" t="s">
        <x:v>4</x:v>
      </x:c>
      <x:c r="D79" s="95" t="s">
        <x:v>5</x:v>
      </x:c>
      <x:c r="E79" s="95" t="s">
        <x:v>6</x:v>
      </x:c>
      <x:c r="F79" s="95" t="s">
        <x:v>7</x:v>
      </x:c>
      <x:c r="G79" s="95" t="s">
        <x:v>8</x:v>
      </x:c>
      <x:c r="H79" s="95" t="s">
        <x:v>9</x:v>
      </x:c>
      <x:c r="I79" s="96" t="s">
        <x:v>10</x:v>
      </x:c>
    </x:row>
    <x:row r="80">
      <x:c r="A80" s="23" t="s">
        <x:v>73</x:v>
      </x:c>
      <x:c r="E80" s="34" t="n">
        <x:f>E73</x:f>
        <x:v>89747.06745599999</x:v>
      </x:c>
      <x:c r="F80" s="34" t="n">
        <x:f>F73</x:f>
        <x:v>103707.72239360001</x:v>
      </x:c>
      <x:c r="G80" s="34" t="n">
        <x:f>G73</x:f>
        <x:v>118071.24194511356</x:v>
      </x:c>
      <x:c r="H80" s="34" t="n">
        <x:f>H73</x:f>
        <x:v>132669.14094923672</x:v>
      </x:c>
      <x:c r="I80" s="41" t="n">
        <x:f>I73</x:f>
        <x:v>141651.9473676746</x:v>
      </x:c>
    </x:row>
    <x:row r="81">
      <x:c r="A81" s="23" t="s">
        <x:v>74</x:v>
      </x:c>
      <x:c r="B81" s="32"/>
      <x:c r="C81" s="32"/>
      <x:c r="D81" s="32"/>
      <x:c r="E81" s="32" t="n">
        <x:f>E75</x:f>
        <x:v>37394.61144</x:v>
      </x:c>
      <x:c r="F81" s="32" t="n">
        <x:f>F75</x:f>
        <x:v>38890.3958976</x:v>
      </x:c>
      <x:c r="G81" s="32" t="n">
        <x:f>G75</x:f>
        <x:v>40251.559754015994</x:v>
      </x:c>
      <x:c r="H81" s="32" t="n">
        <x:f>H75</x:f>
        <x:v>41459.106546636474</x:v>
      </x:c>
      <x:c r="I81" s="39" t="n">
        <x:f>I75</x:f>
        <x:v>42495.58421030238</x:v>
      </x:c>
    </x:row>
    <x:row r="82">
      <x:c r="A82" s="23" t="s">
        <x:v>78</x:v>
      </x:c>
      <x:c r="E82" s="34" t="n">
        <x:f>-E66*B58</x:f>
        <x:v>-44873.533728</x:v>
      </x:c>
      <x:c r="F82" s="34" t="n">
        <x:f>-F66*C58</x:f>
        <x:v>-46668.47507712</x:v>
      </x:c>
      <x:c r="G82" s="34" t="n">
        <x:f>-G66*D58</x:f>
        <x:v>-48301.87170481919</x:v>
      </x:c>
      <x:c r="H82" s="34" t="n">
        <x:f>-H66*E58</x:f>
        <x:v>-49750.92785596377</x:v>
      </x:c>
      <x:c r="I82" s="41" t="n">
        <x:f>-I66*F58</x:f>
        <x:v>-50994.70105236286</x:v>
      </x:c>
    </x:row>
    <x:row r="83">
      <x:c r="A83" s="37" t="s">
        <x:v>79</x:v>
      </x:c>
      <x:c r="B83" s="118"/>
      <x:c r="C83" s="118"/>
      <x:c r="D83" s="118"/>
      <x:c r="E83" s="33" t="n">
        <x:f>-E82/E66</x:f>
        <x:v>0.0072</x:v>
      </x:c>
      <x:c r="F83" s="33" t="n">
        <x:f>-F82/F66</x:f>
        <x:v>0.0072</x:v>
      </x:c>
      <x:c r="G83" s="33" t="n">
        <x:f>-G82/G66</x:f>
        <x:v>0.0072</x:v>
      </x:c>
      <x:c r="H83" s="33" t="n">
        <x:f>-H82/H66</x:f>
        <x:v>0.007199999999999999</x:v>
      </x:c>
      <x:c r="I83" s="40" t="n">
        <x:f>-I82/I66</x:f>
        <x:v>0.007200000000000001</x:v>
      </x:c>
    </x:row>
    <x:row r="84">
      <x:c r="A84" s="23" t="s">
        <x:v>80</x:v>
      </x:c>
      <x:c r="E84" s="34" t="n">
        <x:f>-(E66-D66)*B59</x:f>
        <x:v>-1815.2724000000023</x:v>
      </x:c>
      <x:c r="F84" s="34" t="n">
        <x:f>-(F66-E66)*C59</x:f>
        <x:v>-2492.974095999999</x:v>
      </x:c>
      <x:c r="G84" s="34" t="n">
        <x:f>-(G66-F66)*D59</x:f>
        <x:v>-2268.606427359991</x:v>
      </x:c>
      <x:c r="H84" s="34" t="n">
        <x:f>-(H66-G66)*E59</x:f>
        <x:v>-2012.5779877008033</x:v>
      </x:c>
      <x:c r="I84" s="41" t="n">
        <x:f>-(I66-H66)*F59</x:f>
        <x:v>-1727.4627727765126</x:v>
      </x:c>
    </x:row>
    <x:row r="85" ht="16.5">
      <x:c r="A85" s="24"/>
      <x:c r="I85" s="29"/>
    </x:row>
    <x:row r="86" ht="16.5">
      <x:c r="A86" s="46" t="s">
        <x:v>81</x:v>
      </x:c>
      <x:c r="B86" s="32"/>
      <x:c r="C86" s="32"/>
      <x:c r="D86" s="32"/>
      <x:c r="E86" s="97" t="n">
        <x:f>E80+E81+E82+E84</x:f>
        <x:v>80452.87276799999</x:v>
      </x:c>
      <x:c r="F86" s="97" t="n">
        <x:f>F80+F81+F82+F84</x:f>
        <x:v>93436.66911808001</x:v>
      </x:c>
      <x:c r="G86" s="97" t="n">
        <x:f>G80+G81+G82+G84</x:f>
        <x:v>107752.32356695039</x:v>
      </x:c>
      <x:c r="H86" s="97" t="n">
        <x:f>H80+H81+H82+H84</x:f>
        <x:v>122364.74165220863</x:v>
      </x:c>
      <x:c r="I86" s="98" t="n">
        <x:f>I80+I81+I82+I84</x:f>
        <x:v>131425.36775283763</x:v>
      </x:c>
    </x:row>
    <x:row r="87" ht="16.5">
      <x:c r="A87" s="24"/>
      <x:c r="I87" s="29"/>
    </x:row>
    <x:row r="88">
      <x:c r="A88" s="23" t="s">
        <x:v>82</x:v>
      </x:c>
      <x:c r="E88" s="44">
        <x:v>0.5</x:v>
      </x:c>
      <x:c r="F88" s="44">
        <x:v>1.5</x:v>
      </x:c>
      <x:c r="G88" s="44">
        <x:v>2.5</x:v>
      </x:c>
      <x:c r="H88" s="44">
        <x:v>3.5</x:v>
      </x:c>
      <x:c r="I88" s="47">
        <x:v>4.5</x:v>
      </x:c>
    </x:row>
    <x:row r="89">
      <x:c r="A89" s="23" t="s">
        <x:v>83</x:v>
      </x:c>
      <x:c r="E89" s="45" t="n">
        <x:f>1/(1+$B$62)^E88</x:f>
        <x:v>0.9544897417232914</x:v>
      </x:c>
      <x:c r="F89" s="45" t="n">
        <x:f>1/(1+$B$62)^F88</x:f>
        <x:v>0.8695885158941546</x:v>
      </x:c>
      <x:c r="G89" s="45" t="n">
        <x:f>1/(1+$B$62)^G88</x:f>
        <x:v>0.792239197468733</x:v>
      </x:c>
      <x:c r="H89" s="45" t="n">
        <x:f>1/(1+$B$62)^H88</x:f>
        <x:v>0.7217700493210033</x:v>
      </x:c>
      <x:c r="I89" s="48" t="n">
        <x:f>1/(1+$B$62)^I88</x:f>
        <x:v>0.6575690848942168</x:v>
      </x:c>
    </x:row>
    <x:row r="90" ht="16.5">
      <x:c r="A90" s="27" t="s">
        <x:v>84</x:v>
      </x:c>
      <x:c r="B90" s="99"/>
      <x:c r="C90" s="99"/>
      <x:c r="D90" s="99"/>
      <x:c r="E90" s="100" t="n">
        <x:f>E86*E89</x:f>
        <x:v>76791.44174922512</x:v>
      </x:c>
      <x:c r="F90" s="100" t="n">
        <x:f>F86*F89</x:f>
        <x:v>81251.45442848439</x:v>
      </x:c>
      <x:c r="G90" s="100" t="n">
        <x:f>G86*G89</x:f>
        <x:v>85365.61434807202</x:v>
      </x:c>
      <x:c r="H90" s="100" t="n">
        <x:f>H86*H89</x:f>
        <x:v>88319.20561746645</x:v>
      </x:c>
      <x:c r="I90" s="101" t="n">
        <x:f>I86*I89</x:f>
        <x:v>86421.25880511936</x:v>
      </x:c>
    </x:row>
    <x:row r="91" ht="16.5"/>
    <x:row r="92">
      <x:c r="A92" s="183" t="s">
        <x:v>85</x:v>
      </x:c>
      <x:c r="B92" s="184"/>
      <x:c r="C92" s="185"/>
      <x:c r="D92" s="185"/>
      <x:c r="E92" s="185"/>
      <x:c r="F92" s="185"/>
      <x:c r="G92" s="185"/>
      <x:c r="H92" s="185"/>
      <x:c r="I92" s="185"/>
    </x:row>
    <x:row r="93">
      <x:c r="A93" s="23" t="s">
        <x:v>86</x:v>
      </x:c>
      <x:c r="B93" s="39" t="n">
        <x:f>I86</x:f>
        <x:v>131425.36775283763</x:v>
      </x:c>
    </x:row>
    <x:row r="94">
      <x:c r="A94" s="23" t="s">
        <x:v>87</x:v>
      </x:c>
      <x:c r="B94" s="39" t="n">
        <x:f>B93*(1+B61)</x:f>
        <x:v>134053.8751078944</x:v>
      </x:c>
    </x:row>
    <x:row r="95">
      <x:c r="A95" s="23" t="s">
        <x:v>88</x:v>
      </x:c>
      <x:c r="B95" s="31" t="n">
        <x:f>B61</x:f>
        <x:v>0.02</x:v>
      </x:c>
    </x:row>
    <x:row r="96">
      <x:c r="A96" s="23" t="s">
        <x:v>89</x:v>
      </x:c>
      <x:c r="B96" s="31" t="n">
        <x:f>B62</x:f>
        <x:v>0.09763379377410114</x:v>
      </x:c>
    </x:row>
    <x:row r="97">
      <x:c r="A97" s="26" t="s">
        <x:v>90</x:v>
      </x:c>
      <x:c r="B97" s="49" t="n">
        <x:f>B94/(B96-B95)</x:f>
        <x:v>1726746.4153299585</x:v>
      </x:c>
    </x:row>
    <x:row r="98">
      <x:c r="A98" s="26" t="s">
        <x:v>91</x:v>
      </x:c>
      <x:c r="B98" s="49" t="n">
        <x:f>B97/(1+B96)^I88</x:f>
        <x:v>1135455.06017289</x:v>
      </x:c>
    </x:row>
    <x:row r="99">
      <x:c r="A99" s="24"/>
      <x:c r="B99" s="29"/>
    </x:row>
    <x:row r="100">
      <x:c r="A100" s="102" t="s">
        <x:v>92</x:v>
      </x:c>
      <x:c r="B100" s="50"/>
    </x:row>
    <x:row r="101">
      <x:c r="A101" s="26" t="s">
        <x:v>93</x:v>
      </x:c>
      <x:c r="B101" s="39" t="n">
        <x:f>SUM(E90:I90)</x:f>
        <x:v>418148.9749483674</x:v>
      </x:c>
    </x:row>
    <x:row r="102" ht="16.5">
      <x:c r="A102" s="26" t="s">
        <x:v>94</x:v>
      </x:c>
      <x:c r="B102" s="39" t="n">
        <x:f>B98</x:f>
        <x:v>1135455.06017289</x:v>
      </x:c>
    </x:row>
    <x:row r="103">
      <x:c r="A103" s="53" t="s">
        <x:v>95</x:v>
      </x:c>
      <x:c r="B103" s="104" t="n">
        <x:f>B101+B102</x:f>
        <x:v>1553604.0351212574</x:v>
      </x:c>
    </x:row>
    <x:row r="104">
      <x:c r="A104" s="26" t="s">
        <x:v>96</x:v>
      </x:c>
      <x:c r="B104" s="39" t="n">
        <x:f>-B11</x:f>
        <x:v>135626</x:v>
      </x:c>
    </x:row>
    <x:row r="105">
      <x:c r="A105" s="46" t="s">
        <x:v>97</x:v>
      </x:c>
      <x:c r="B105" s="119" t="n">
        <x:f>B103+B104</x:f>
        <x:v>1689230.0351212574</x:v>
      </x:c>
    </x:row>
    <x:row r="106" ht="16.5">
      <x:c r="A106" s="4" t="s">
        <x:v>98</x:v>
      </x:c>
      <x:c r="B106" s="127" t="n">
        <x:f>B105/B9*$B$18</x:f>
        <x:v>1.542856472358994</x:v>
      </x:c>
    </x:row>
    <x:row r="107" ht="17.100000381469727">
      <x:c r="A107" s="122" t="s">
        <x:v>99</x:v>
      </x:c>
    </x:row>
    <x:row r="108" ht="16.5">
      <x:c r="A108" s="23" t="s">
        <x:v>100</x:v>
      </x:c>
      <x:c r="B108" s="39" t="n">
        <x:f>I69+I75</x:f>
        <x:v>219560.51841989567</x:v>
      </x:c>
    </x:row>
    <x:row r="109" ht="16.5">
      <x:c r="A109" s="60" t="s">
        <x:v>101</x:v>
      </x:c>
      <x:c r="B109" s="92">
        <x:v>7</x:v>
      </x:c>
    </x:row>
    <x:row r="110" ht="16.5">
      <x:c r="A110" s="23" t="s">
        <x:v>102</x:v>
      </x:c>
      <x:c r="B110" s="39" t="n">
        <x:f>B108*B109</x:f>
        <x:v>1536923.6289392696</x:v>
      </x:c>
    </x:row>
    <x:row r="111">
      <x:c r="A111" s="24" t="s">
        <x:v>103</x:v>
      </x:c>
      <x:c r="B111" s="39" t="n">
        <x:f>B110/(1+B62)^I88</x:f>
        <x:v>1010633.4642338944</x:v>
      </x:c>
    </x:row>
    <x:row r="112">
      <x:c r="A112" s="23" t="s">
        <x:v>104</x:v>
      </x:c>
      <x:c r="B112" s="49" t="n">
        <x:f>SUM(E90:H90)+B111+B104</x:f>
        <x:v>1477987.1803771425</x:v>
      </x:c>
    </x:row>
    <x:row r="113">
      <x:c r="A113" s="26" t="s">
        <x:v>105</x:v>
      </x:c>
      <x:c r="B113" s="105" t="n">
        <x:f>B112/B9*$B$18</x:f>
        <x:v>1.349918033599732</x:v>
      </x:c>
    </x:row>
    <x:row r="114">
      <x:c r="A114" s="126" t="s">
        <x:v>106</x:v>
      </x:c>
      <x:c r="B114" s="39"/>
    </x:row>
    <x:row r="115">
      <x:c r="A115" s="37" t="s">
        <x:v>107</x:v>
      </x:c>
      <x:c r="B115" s="40" t="n">
        <x:f>B102/B103</x:f>
        <x:v>0.7308522857204531</x:v>
      </x:c>
    </x:row>
    <x:row r="116" ht="16.5">
      <x:c r="A116" t="s">
        <x:v>108</x:v>
      </x:c>
      <x:c r="B116" s="51" t="n">
        <x:f>B103/(D69+D75)</x:f>
        <x:v>12.555289153322322</x:v>
      </x:c>
    </x:row>
    <x:row r="117" ht="16.5">
      <x:c r="A117" s="89" t="s">
        <x:v>109</x:v>
      </x:c>
    </x:row>
    <x:row r="118">
      <x:c r="A118" s="69" t="s">
        <x:v>110</x:v>
      </x:c>
      <x:c r="B118" s="52"/>
      <x:c r="C118" s="52"/>
      <x:c r="D118" s="52"/>
      <x:c r="E118" s="52"/>
      <x:c r="F118" s="54"/>
    </x:row>
    <x:row r="119">
      <x:c r="A119" s="55" t="s">
        <x:v>111</x:v>
      </x:c>
      <x:c r="B119" s="107">
        <x:v>0.01</x:v>
      </x:c>
      <x:c r="C119" s="107">
        <x:v>1.4999999999999999E-2</x:v>
      </x:c>
      <x:c r="D119" s="107">
        <x:v>0.02</x:v>
      </x:c>
      <x:c r="E119" s="107">
        <x:v>2.2499999999999999E-2</x:v>
      </x:c>
      <x:c r="F119" s="108">
        <x:v>2.5000000000000001E-2</x:v>
      </x:c>
    </x:row>
    <x:row r="120">
      <x:c r="A120" s="58">
        <x:v>0.09</x:v>
      </x:c>
      <x:c r="B120" s="135" t="n">
        <x:f>(E86/(1+$A120)^E88+F86/(1+$A120)^F88+G86/(1+$A120)^G88+H86/(1+$A120)^H88+I86/(1+$A120)^I88+I86*(1+B$119)/($A120-B$119)/(1+$A120)^I88-B11)/B9*$B$18</x:f>
        <x:v>1.54102071723188</x:v>
      </x:c>
      <x:c r="C120" s="135" t="n">
        <x:f>(E86/(1+$A120)^E88+F86/(1+$A120)^F88+G86/(1+$A120)^G88+H86/(1+$A120)^H88+I86/(1+$A120)^I88+I86*(1+C$119)/($A120-C$119)/(1+$A120)^I88-B11)/B9*$B$18</x:f>
        <x:v>1.6150054218251606</x:v>
      </x:c>
      <x:c r="D120" s="135" t="n">
        <x:f>(E86/(1+$A120)^E88+F86/(1+$A120)^F88+G86/(1+$A120)^G88+H86/(1+$A120)^H88+I86/(1+$A120)^I88+I86*(1+D$119)/($A120-D$119)/(1+$A120)^I88-B11)/B9*$B$18</x:f>
        <x:v>1.699559369931767</x:v>
      </x:c>
      <x:c r="E120" s="135" t="n">
        <x:f>(E86/(1+$A120)^E88+F86/(1+$A120)^F88+G86/(1+$A120)^G88+H86/(1+$A120)^H88+I86/(1+$A120)^I88+I86*(1+E$119)/($A120-E$119)/(1+$A120)^I88-B11)/B9*$B$18</x:f>
        <x:v>1.7465337855465481</x:v>
      </x:c>
      <x:c r="F120" s="136" t="n">
        <x:f>(E86/(1+$A120)^E88+F86/(1+$A120)^F88+G86/(1+$A120)^G88+H86/(1+$A120)^H88+I86/(1+$A120)^I88+I86*(1+F$119)/($A120-F$119)/(1+$A120)^I88-B11)/B9*$B$18</x:f>
        <x:v>1.7971216177470817</x:v>
      </x:c>
    </x:row>
    <x:row r="121">
      <x:c r="A121" s="58">
        <x:v>9.5000000000000001E-2</x:v>
      </x:c>
      <x:c r="B121" s="135" t="n">
        <x:f>(E86/(1+$A121)^E88+F86/(1+$A121)^F88+G86/(1+$A121)^G88+H86/(1+$A121)^H88+I86/(1+$A121)^I88+I86*(1+B$119)/($A121-B$119)/(1+$A121)^I88-B11)/B9*$B$18</x:f>
        <x:v>1.456252303169765</x:v>
      </x:c>
      <x:c r="C121" s="135" t="n">
        <x:f>(E86/(1+$A121)^E88+F86/(1+$A121)^F88+G86/(1+$A121)^G88+H86/(1+$A121)^H88+I86/(1+$A121)^I88+I86*(1+C$119)/($A121-C$119)/(1+$A121)^I88-B11)/B9*$B$18</x:f>
        <x:v>1.5204955685697719</x:v>
      </x:c>
      <x:c r="D121" s="135" t="n">
        <x:f>(E86/(1+$A121)^E88+F86/(1+$A121)^F88+G86/(1+$A121)^G88+H86/(1+$A121)^H88+I86/(1+$A121)^I88+I86*(1+D$119)/($A121-D$119)/(1+$A121)^I88-B11)/B9*$B$18</x:f>
        <x:v>1.5933046026897797</x:v>
      </x:c>
      <x:c r="E121" s="135" t="n">
        <x:f>(E86/(1+$A121)^E88+F86/(1+$A121)^F88+G86/(1+$A121)^G88+H86/(1+$A121)^H88+I86/(1+$A121)^I88+I86*(1+E$119)/($A121-E$119)/(1+$A121)^I88-B11)/B9*$B$18</x:f>
        <x:v>1.633475104273232</x:v>
      </x:c>
      <x:c r="F121" s="136" t="n">
        <x:f>(E86/(1+$A121)^E88+F86/(1+$A121)^F88+G86/(1+$A121)^G88+H86/(1+$A121)^H88+I86/(1+$A121)^I88+I86*(1+F$119)/($A121-F$119)/(1+$A121)^I88-B11)/B9*$B$18</x:f>
        <x:v>1.6765149273983604</x:v>
      </x:c>
    </x:row>
    <x:row r="122">
      <x:c r="A122" s="58">
        <x:v>0.1</x:v>
      </x:c>
      <x:c r="B122" s="135" t="n">
        <x:f>(E86/(1+$A122)^E88+F86/(1+$A122)^F88+G86/(1+$A122)^G88+H86/(1+$A122)^H88+I86/(1+$A122)^I88+I86*(1+B$119)/($A122-B$119)/(1+$A122)^I88-B11)/B9*$B$18</x:f>
        <x:v>1.3809482468848764</x:v>
      </x:c>
      <x:c r="C122" s="135" t="n">
        <x:f>(E86/(1+$A122)^E88+F86/(1+$A122)^F88+G86/(1+$A122)^G88+H86/(1+$A122)^H88+I86/(1+$A122)^I88+I86*(1+C$119)/($A122-C$119)/(1+$A122)^I88-B11)/B9*$B$18</x:f>
        <x:v>1.4371500312167238</x:v>
      </x:c>
      <x:c r="D122" s="137" t="n">
        <x:f>(E86/(1+$A122)^E88+F86/(1+$A122)^F88+G86/(1+$A122)^G88+H86/(1+$A122)^H88+I86/(1+$A122)^I88+I86*(1+D$119)/($A122-D$119)/(1+$A122)^I88-B11)/B9*$B$18</x:f>
        <x:v>1.5003770385900523</x:v>
      </x:c>
      <x:c r="E122" s="135" t="n">
        <x:f>(E86/(1+$A122)^E88+F86/(1+$A122)^F88+G86/(1+$A122)^G88+H86/(1+$A122)^H88+I86/(1+$A122)^I88+I86*(1+E$119)/($A122-E$119)/(1+$A122)^I88-B11)/B9*$B$18</x:f>
        <x:v>1.5350499136012326</x:v>
      </x:c>
      <x:c r="F122" s="136" t="n">
        <x:f>(E86/(1+$A122)^E88+F86/(1+$A122)^F88+G86/(1+$A122)^G88+H86/(1+$A122)^H88+I86/(1+$A122)^I88+I86*(1+F$119)/($A122-F$119)/(1+$A122)^I88-B11)/B9*$B$18</x:f>
        <x:v>1.5720343136131578</x:v>
      </x:c>
    </x:row>
    <x:row r="123">
      <x:c r="A123" s="58">
        <x:v>0.105</x:v>
      </x:c>
      <x:c r="B123" s="135" t="n">
        <x:f>(E86/(1+$A123)^E88+F86/(1+$A123)^F88+G86/(1+$A123)^G88+H86/(1+$A123)^H88+I86/(1+$A123)^I88+I86*(1+B$119)/($A123-B$119)/(1+$A123)^I88-B11)/B9*$B$18</x:f>
        <x:v>1.313613216454249</x:v>
      </x:c>
      <x:c r="C123" s="135" t="n">
        <x:f>(E86/(1+$A123)^E88+F86/(1+$A123)^F88+G86/(1+$A123)^G88+H86/(1+$A123)^H88+I86/(1+$A123)^I88+I86*(1+C$119)/($A123-C$119)/(1+$A123)^I88-B11)/B9*$B$18</x:f>
        <x:v>1.363107136164004</x:v>
      </x:c>
      <x:c r="D123" s="135" t="n">
        <x:f>(E86/(1+$A123)^E88+F86/(1+$A123)^F88+G86/(1+$A123)^G88+H86/(1+$A123)^H88+I86/(1+$A123)^I88+I86*(1+D$119)/($A123-D$119)/(1+$A123)^I88-B11)/B9*$B$18</x:f>
        <x:v>1.4184238699572593</x:v>
      </x:c>
      <x:c r="E123" s="135" t="n">
        <x:f>(E86/(1+$A123)^E88+F86/(1+$A123)^F88+G86/(1+$A123)^G88+H86/(1+$A123)^H88+I86/(1+$A123)^I88+I86*(1+E$119)/($A123-E$119)/(1+$A123)^I88-B11)/B9*$B$18</x:f>
        <x:v>1.4485966338444896</x:v>
      </x:c>
      <x:c r="F123" s="136" t="n">
        <x:f>(E86/(1+$A123)^E88+F86/(1+$A123)^F88+G86/(1+$A123)^G88+H86/(1+$A123)^H88+I86/(1+$A123)^I88+I86*(1+F$119)/($A123-F$119)/(1+$A123)^I88-B11)/B9*$B$18</x:f>
        <x:v>1.4806551954746718</x:v>
      </x:c>
    </x:row>
    <x:row r="124" ht="16.5">
      <x:c r="A124" s="59">
        <x:v>0.11</x:v>
      </x:c>
      <x:c r="B124" s="135" t="n">
        <x:f>(E86/(1+$A124)^E88+F86/(1+$A124)^F88+G86/(1+$A124)^G88+H86/(1+$A124)^H88+I86/(1+$A124)^I88+I86*(1+B$119)/($A124-B$119)/(1+$A124)^I88-B11)/B9*$B$18</x:f>
        <x:v>1.2530509703338182</x:v>
      </x:c>
      <x:c r="C124" s="135" t="n">
        <x:f>(E86/(1+$A124)^E88+F86/(1+$A124)^F88+G86/(1+$A124)^G88+H86/(1+$A124)^H88+I86/(1+$A124)^I88+I86*(1+C$119)/($A124-C$119)/(1+$A124)^I88-B11)/B9*$B$18</x:f>
        <x:v>1.2968971648524643</x:v>
      </x:c>
      <x:c r="D124" s="135" t="n">
        <x:f>(E86/(1+$A124)^E88+F86/(1+$A124)^F88+G86/(1+$A124)^G88+H86/(1+$A124)^H88+I86/(1+$A124)^I88+I86*(1+D$119)/($A124-D$119)/(1+$A124)^I88-B11)/B9*$B$18</x:f>
        <x:v>1.3456151587620715</x:v>
      </x:c>
      <x:c r="E124" s="135" t="n">
        <x:f>(E86/(1+$A124)^E88+F86/(1+$A124)^F88+G86/(1+$A124)^G88+H86/(1+$A124)^H88+I86/(1+$A124)^I88+I86*(1+E$119)/($A124-E$119)/(1+$A124)^I88-B11)/B9*$B$18</x:f>
        <x:v>1.372062069741572</x:v>
      </x:c>
      <x:c r="F124" s="136" t="n">
        <x:f>(E86/(1+$A124)^E88+F86/(1+$A124)^F88+G86/(1+$A124)^G88+H86/(1+$A124)^H88+I86/(1+$A124)^I88+I86*(1+F$119)/($A124-F$119)/(1+$A124)^I88-B11)/B9*$B$18</x:f>
        <x:v>1.4000646813669257</x:v>
      </x:c>
    </x:row>
    <x:row r="126" ht="16.5"/>
    <x:row r="127">
      <x:c r="A127" s="69" t="s">
        <x:v>112</x:v>
      </x:c>
      <x:c r="B127" s="52"/>
      <x:c r="C127" s="52"/>
      <x:c r="D127" s="52"/>
      <x:c r="E127" s="52"/>
      <x:c r="F127" s="54"/>
    </x:row>
    <x:row r="128">
      <x:c r="A128" s="55" t="s">
        <x:v>113</x:v>
      </x:c>
      <x:c r="B128" s="93">
        <x:v>5</x:v>
      </x:c>
      <x:c r="C128" s="93">
        <x:v>6</x:v>
      </x:c>
      <x:c r="D128" s="93">
        <x:v>7</x:v>
      </x:c>
      <x:c r="E128" s="93">
        <x:v>8</x:v>
      </x:c>
      <x:c r="F128" s="94">
        <x:v>9</x:v>
      </x:c>
    </x:row>
    <x:row r="129">
      <x:c r="A129" s="58">
        <x:v>0.09</x:v>
      </x:c>
      <x:c r="B129" s="135" t="n">
        <x:f>(SUM(E90:H90)+(I69+I75)*B$128/(1+$A129)^I88+B104)/B9*$B$18</x:f>
        <x:v>1.107221677963137</x:v>
      </x:c>
      <x:c r="C129" s="135" t="n">
        <x:f>(SUM(E90:H90)+(I69+I75)*C$128/(1+$A129)^I88+B104)/B9*$B$18</x:f>
        <x:v>1.2432946087333445</x:v>
      </x:c>
      <x:c r="D129" s="135" t="n">
        <x:f>(SUM(E90:H90)+(I69+I75)*D$128/(1+$A129)^I88+B104)/B9*$B$18</x:f>
        <x:v>1.3793675395035518</x:v>
      </x:c>
      <x:c r="E129" s="135" t="n">
        <x:f>(SUM(E90:H90)+(I69+I75)*E$128/(1+$A129)^I88+B104)/B9*$B$18</x:f>
        <x:v>1.5154404702737594</x:v>
      </x:c>
      <x:c r="F129" s="136" t="n">
        <x:f>(SUM(E90:H90)+(I69+I75)*F$128/(1+$A129)^I88+B104)/B9*$B$18</x:f>
        <x:v>1.651513401043967</x:v>
      </x:c>
    </x:row>
    <x:row r="130">
      <x:c r="A130" s="58">
        <x:v>9.5000000000000001E-2</x:v>
      </x:c>
      <x:c r="B130" s="135" t="n">
        <x:f>(SUM(E90:H90)+(I69+I75)*B$128/(1+$A130)^I88+B104)/B9*$B$18</x:f>
        <x:v>1.0933528710686569</x:v>
      </x:c>
      <x:c r="C130" s="135" t="n">
        <x:f>(SUM(E90:H90)+(I69+I75)*C$128/(1+$A130)^I88+B104)/B9*$B$18</x:f>
        <x:v>1.2266520404599681</x:v>
      </x:c>
      <x:c r="D130" s="135" t="n">
        <x:f>(SUM(E90:H90)+(I69+I75)*D$128/(1+$A130)^I88+B104)/B9*$B$18</x:f>
        <x:v>1.3599512098512798</x:v>
      </x:c>
      <x:c r="E130" s="135" t="n">
        <x:f>(SUM(E90:H90)+(I69+I75)*E$128/(1+$A130)^I88+B104)/B9*$B$18</x:f>
        <x:v>1.493250379242591</x:v>
      </x:c>
      <x:c r="F130" s="136" t="n">
        <x:f>(SUM(E90:H90)+(I69+I75)*F$128/(1+$A130)^I88+B104)/B9*$B$18</x:f>
        <x:v>1.6265495486339023</x:v>
      </x:c>
    </x:row>
    <x:row r="131">
      <x:c r="A131" s="58">
        <x:v>0.1</x:v>
      </x:c>
      <x:c r="B131" s="135" t="n">
        <x:f>(SUM(E90:H90)+(I69+I75)*B$128/(1+$A131)^I88+B104)/B9*$B$18</x:f>
        <x:v>1.0798280346825562</x:v>
      </x:c>
      <x:c r="C131" s="135" t="n">
        <x:f>(SUM(E90:H90)+(I69+I75)*C$128/(1+$A131)^I88+B104)/B9*$B$18</x:f>
        <x:v>1.2104222367966475</x:v>
      </x:c>
      <x:c r="D131" s="137" t="n">
        <x:f>(SUM(E90:H90)+(I69+I75)*D$128/(1+$A131)^I88+B104)/B9*$B$18</x:f>
        <x:v>1.3410164389107386</x:v>
      </x:c>
      <x:c r="E131" s="135" t="n">
        <x:f>(SUM(E90:H90)+(I69+I75)*E$128/(1+$A131)^I88+B104)/B9*$B$18</x:f>
        <x:v>1.47161064102483</x:v>
      </x:c>
      <x:c r="F131" s="136" t="n">
        <x:f>(SUM(E90:H90)+(I69+I75)*F$128/(1+$A131)^I88+B104)/B9*$B$18</x:f>
        <x:v>1.6022048431389213</x:v>
      </x:c>
    </x:row>
    <x:row r="132">
      <x:c r="A132" s="58">
        <x:v>0.105</x:v>
      </x:c>
      <x:c r="B132" s="135" t="n">
        <x:f>(SUM(E90:H90)+(I69+I75)*B$128/(1+$A132)^I88+B104)/B9*$B$18</x:f>
        <x:v>1.066637131955107</x:v>
      </x:c>
      <x:c r="C132" s="135" t="n">
        <x:f>(SUM(E90:H90)+(I69+I75)*C$128/(1+$A132)^I88+B104)/B9*$B$18</x:f>
        <x:v>1.1945931535237082</x:v>
      </x:c>
      <x:c r="D132" s="135" t="n">
        <x:f>(SUM(E90:H90)+(I69+I75)*D$128/(1+$A132)^I88+B104)/B9*$B$18</x:f>
        <x:v>1.322549175092309</x:v>
      </x:c>
      <x:c r="E132" s="135" t="n">
        <x:f>(SUM(E90:H90)+(I69+I75)*E$128/(1+$A132)^I88+B104)/B9*$B$18</x:f>
        <x:v>1.4505051966609108</x:v>
      </x:c>
      <x:c r="F132" s="136" t="n">
        <x:f>(SUM(E90:H90)+(I69+I75)*F$128/(1+$A132)^I88+B104)/B9*$B$18</x:f>
        <x:v>1.578461218229512</x:v>
      </x:c>
    </x:row>
    <x:row r="133" ht="16.5">
      <x:c r="A133" s="59">
        <x:v>0.11</x:v>
      </x:c>
      <x:c r="B133" s="138" t="n">
        <x:f>(SUM(E90:H90)+(I69+I75)*B$128/(1+$A133)^I88+B104)/B9*$B$18</x:f>
        <x:v>1.053770462450351</x:v>
      </x:c>
      <x:c r="C133" s="138" t="n">
        <x:f>(SUM(E90:H90)+(I69+I75)*C$128/(1+$A133)^I88+B104)/B9*$B$18</x:f>
        <x:v>1.179153150118001</x:v>
      </x:c>
      <x:c r="D133" s="138" t="n">
        <x:f>(SUM(E90:H90)+(I69+I75)*D$128/(1+$A133)^I88+B104)/B9*$B$18</x:f>
        <x:v>1.3045358377856513</x:v>
      </x:c>
      <x:c r="E133" s="138" t="n">
        <x:f>(SUM(E90:H90)+(I69+I75)*E$128/(1+$A133)^I88+B104)/B9*$B$18</x:f>
        <x:v>1.4299185254533016</x:v>
      </x:c>
      <x:c r="F133" s="139" t="n">
        <x:f>(SUM(E90:H90)+(I69+I75)*F$128/(1+$A133)^I88+B104)/B9*$B$18</x:f>
        <x:v>1.5553012131209518</x:v>
      </x:c>
    </x:row>
    <x:row r="135" ht="16.5"/>
    <x:row r="136">
      <x:c r="A136" s="106" t="s">
        <x:v>114</x:v>
      </x:c>
      <x:c r="B136" s="52"/>
      <x:c r="C136" s="52"/>
      <x:c r="D136" s="52"/>
      <x:c r="E136" s="52"/>
      <x:c r="F136" s="54"/>
    </x:row>
    <x:row r="137">
      <x:c r="A137" s="55" t="s">
        <x:v>115</x:v>
      </x:c>
      <x:c r="B137" s="56">
        <x:v>3.5000000000000003E-2</x:v>
      </x:c>
      <x:c r="C137" s="56">
        <x:v>0.04</x:v>
      </x:c>
      <x:c r="D137" s="56">
        <x:v>4.3200000000000002E-2</x:v>
      </x:c>
      <x:c r="E137" s="56">
        <x:v>4.4999999999999998E-2</x:v>
      </x:c>
      <x:c r="F137" s="57">
        <x:v>0.05</x:v>
      </x:c>
    </x:row>
    <x:row r="138">
      <x:c r="A138" s="123">
        <x:v>0.7</x:v>
      </x:c>
      <x:c r="B138" s="128" t="n">
        <x:f>WACC!B29*(B$137+$A138*(1+(1-WACC!B10)*WACC!B12)*DCF!B15)+WACC!B30*WACC!B22</x:f>
        <x:v>0.08042789406908639</x:v>
      </x:c>
      <x:c r="C138" s="128" t="n">
        <x:f>WACC!B29*(C$137+$A138*(1+(1-WACC!B10)*WACC!B12)*DCF!B15)+WACC!B30*WACC!B22</x:f>
        <x:v>0.08446919200418963</x:v>
      </x:c>
      <x:c r="D138" s="128" t="n">
        <x:f>WACC!B29*(D$137+$A138*(1+(1-WACC!B10)*WACC!B12)*DCF!B15)+WACC!B30*WACC!B22</x:f>
        <x:v>0.08705562268265571</x:v>
      </x:c>
      <x:c r="E138" s="128" t="n">
        <x:f>WACC!B29*(E$137+$A138*(1+(1-WACC!B10)*WACC!B12)*DCF!B15)+WACC!B30*WACC!B22</x:f>
        <x:v>0.08851048993929288</x:v>
      </x:c>
      <x:c r="F138" s="129" t="n">
        <x:f>WACC!B29*(F$137+$A138*(1+(1-WACC!B10)*WACC!B12)*DCF!B15)+WACC!B30*WACC!B22</x:f>
        <x:v>0.09255178787439612</x:v>
      </x:c>
    </x:row>
    <x:row r="139">
      <x:c r="A139" s="123">
        <x:v>0.8</x:v>
      </x:c>
      <x:c r="B139" s="128" t="n">
        <x:f>WACC!B29*(B$137+$A139*(1+(1-WACC!B10)*WACC!B12)*DCF!B15)+WACC!B30*WACC!B22</x:f>
        <x:v>0.0857169796148091</x:v>
      </x:c>
      <x:c r="C139" s="128" t="n">
        <x:f>WACC!B29*(C$137+$A139*(1+(1-WACC!B10)*WACC!B12)*DCF!B15)+WACC!B30*WACC!B22</x:f>
        <x:v>0.08975827754991235</x:v>
      </x:c>
      <x:c r="D139" s="128" t="n">
        <x:f>WACC!B29*(D$137+$A139*(1+(1-WACC!B10)*WACC!B12)*DCF!B15)+WACC!B30*WACC!B22</x:f>
        <x:v>0.09234470822837844</x:v>
      </x:c>
      <x:c r="E139" s="128" t="n">
        <x:f>WACC!B29*(E$137+$A139*(1+(1-WACC!B10)*WACC!B12)*DCF!B15)+WACC!B30*WACC!B22</x:f>
        <x:v>0.09379957548501561</x:v>
      </x:c>
      <x:c r="F139" s="129" t="n">
        <x:f>WACC!B29*(F$137+$A139*(1+(1-WACC!B10)*WACC!B12)*DCF!B15)+WACC!B30*WACC!B22</x:f>
        <x:v>0.09784087342011885</x:v>
      </x:c>
    </x:row>
    <x:row r="140">
      <x:c r="A140" s="123">
        <x:v>0.9</x:v>
      </x:c>
      <x:c r="B140" s="128" t="n">
        <x:f>WACC!B29*(B$137+$A140*(1+(1-WACC!B10)*WACC!B12)*DCF!B15)+WACC!B30*WACC!B22</x:f>
        <x:v>0.09100606516053183</x:v>
      </x:c>
      <x:c r="C140" s="128" t="n">
        <x:f>WACC!B29*(C$137+$A140*(1+(1-WACC!B10)*WACC!B12)*DCF!B15)+WACC!B30*WACC!B22</x:f>
        <x:v>0.09504736309563507</x:v>
      </x:c>
      <x:c r="D140" s="133" t="n">
        <x:f>WACC!B29*(D$137+$A140*(1+(1-WACC!B10)*WACC!B12)*DCF!B15)+WACC!B30*WACC!B22</x:f>
        <x:v>0.09763379377410114</x:v>
      </x:c>
      <x:c r="E140" s="128" t="n">
        <x:f>WACC!B29*(E$137+$A140*(1+(1-WACC!B10)*WACC!B12)*DCF!B15)+WACC!B30*WACC!B22</x:f>
        <x:v>0.09908866103073831</x:v>
      </x:c>
      <x:c r="F140" s="129" t="n">
        <x:f>WACC!B29*(F$137+$A140*(1+(1-WACC!B10)*WACC!B12)*DCF!B15)+WACC!B30*WACC!B22</x:f>
        <x:v>0.10312995896584155</x:v>
      </x:c>
    </x:row>
    <x:row r="141">
      <x:c r="A141" s="123">
        <x:v>1</x:v>
      </x:c>
      <x:c r="B141" s="128" t="n">
        <x:f>WACC!B29*(B$137+$A141*(1+(1-WACC!B10)*WACC!B12)*DCF!B15)+WACC!B30*WACC!B22</x:f>
        <x:v>0.09629515070625454</x:v>
      </x:c>
      <x:c r="C141" s="128" t="n">
        <x:f>WACC!B29*(C$137+$A141*(1+(1-WACC!B10)*WACC!B12)*DCF!B15)+WACC!B30*WACC!B22</x:f>
        <x:v>0.10033644864135778</x:v>
      </x:c>
      <x:c r="D141" s="128" t="n">
        <x:f>WACC!B29*(D$137+$A141*(1+(1-WACC!B10)*WACC!B12)*DCF!B15)+WACC!B30*WACC!B22</x:f>
        <x:v>0.10292287931982386</x:v>
      </x:c>
      <x:c r="E141" s="128" t="n">
        <x:f>WACC!B29*(E$137+$A141*(1+(1-WACC!B10)*WACC!B12)*DCF!B15)+WACC!B30*WACC!B22</x:f>
        <x:v>0.10437774657646101</x:v>
      </x:c>
      <x:c r="F141" s="129" t="n">
        <x:f>WACC!B29*(F$137+$A141*(1+(1-WACC!B10)*WACC!B12)*DCF!B15)+WACC!B30*WACC!B22</x:f>
        <x:v>0.10841904451156427</x:v>
      </x:c>
    </x:row>
    <x:row r="142" ht="16.5">
      <x:c r="A142" s="124">
        <x:v>1.1000000000000001</x:v>
      </x:c>
      <x:c r="B142" s="130" t="n">
        <x:f>WACC!B29*(B$137+$A142*(1+(1-WACC!B10)*WACC!B12)*DCF!B15)+WACC!B30*WACC!B22</x:f>
        <x:v>0.10158423625197725</x:v>
      </x:c>
      <x:c r="C142" s="130" t="n">
        <x:f>WACC!B29*(C$137+$A142*(1+(1-WACC!B10)*WACC!B12)*DCF!B15)+WACC!B30*WACC!B22</x:f>
        <x:v>0.10562553418708048</x:v>
      </x:c>
      <x:c r="D142" s="130" t="n">
        <x:f>WACC!B29*(D$137+$A142*(1+(1-WACC!B10)*WACC!B12)*DCF!B15)+WACC!B30*WACC!B22</x:f>
        <x:v>0.10821196486554657</x:v>
      </x:c>
      <x:c r="E142" s="130" t="n">
        <x:f>WACC!B29*(E$137+$A142*(1+(1-WACC!B10)*WACC!B12)*DCF!B15)+WACC!B30*WACC!B22</x:f>
        <x:v>0.10966683212218373</x:v>
      </x:c>
      <x:c r="F142" s="131" t="n">
        <x:f>WACC!B29*(F$137+$A142*(1+(1-WACC!B10)*WACC!B12)*DCF!B15)+WACC!B30*WACC!B22</x:f>
        <x:v>0.11370813005728699</x:v>
      </x:c>
    </x:row>
    <x:row r="143" ht="16.5"/>
    <x:row r="144">
      <x:c r="A144" s="106" t="s">
        <x:v>116</x:v>
      </x:c>
    </x:row>
    <x:row r="145">
      <x:c r="A145" s="8" t="s">
        <x:v>117</x:v>
      </x:c>
      <x:c r="B145" s="73" t="s">
        <x:v>3</x:v>
      </x:c>
      <x:c r="C145" s="73" t="s">
        <x:v>4</x:v>
      </x:c>
      <x:c r="D145" s="73" t="s">
        <x:v>5</x:v>
      </x:c>
      <x:c r="E145" s="86" t="s">
        <x:v>118</x:v>
      </x:c>
      <x:c r="F145" s="87" t="s">
        <x:v>119</x:v>
      </x:c>
      <x:c r="G145" s="134" t="s">
        <x:v>120</x:v>
      </x:c>
    </x:row>
    <x:row r="146">
      <x:c r="A146" t="s">
        <x:v>25</x:v>
      </x:c>
      <x:c r="B146">
        <x:v>39.9</x:v>
      </x:c>
      <x:c r="C146">
        <x:v>39.4</x:v>
      </x:c>
      <x:c r="D146">
        <x:v>32.9</x:v>
      </x:c>
      <x:c r="E146">
        <x:v>35</x:v>
      </x:c>
      <x:c r="F146">
        <x:v>33</x:v>
      </x:c>
      <x:c r="G146">
        <x:v>30</x:v>
      </x:c>
    </x:row>
    <x:row r="147">
      <x:c r="A147" t="s">
        <x:v>26</x:v>
      </x:c>
      <x:c r="B147">
        <x:v>6.3</x:v>
      </x:c>
      <x:c r="C147">
        <x:v>5.8</x:v>
      </x:c>
      <x:c r="D147">
        <x:v>7.9</x:v>
      </x:c>
      <x:c r="E147">
        <x:v>10</x:v>
      </x:c>
      <x:c r="F147">
        <x:v>8</x:v>
      </x:c>
      <x:c r="G147">
        <x:v>7</x:v>
      </x:c>
    </x:row>
    <x:row r="148">
      <x:c r="A148" t="s">
        <x:v>27</x:v>
      </x:c>
      <x:c r="B148">
        <x:v>55.1</x:v>
      </x:c>
      <x:c r="C148">
        <x:v>51.5</x:v>
      </x:c>
      <x:c r="D148">
        <x:v>48.4</x:v>
      </x:c>
      <x:c r="E148">
        <x:v>45</x:v>
      </x:c>
      <x:c r="F148">
        <x:v>48</x:v>
      </x:c>
      <x:c r="G148">
        <x:v>50</x:v>
      </x:c>
    </x:row>
    <x:row r="149">
      <x:c r="A149" s="11" t="s">
        <x:v>121</x:v>
      </x:c>
      <x:c r="B149" s="9" t="n">
        <x:f>(B146+B147*0.932-B148*0.932)/365</x:f>
        <x:v>-0.015292054794520553</x:v>
      </x:c>
      <x:c r="C149" s="9" t="n">
        <x:f>(C146+C147*0.933-C148*0.933)/365</x:f>
        <x:v>-0.008871506849315076</x:v>
      </x:c>
      <x:c r="D149" s="9" t="n">
        <x:f>(D146+D147*0.93-D148*0.93)/365</x:f>
        <x:v>-0.013054794520547947</x:v>
      </x:c>
      <x:c r="E149" s="132" t="n">
        <x:f>(E146+E147*(1-B23-B24)-E148*(1-B23-B24))/365</x:f>
        <x:v>0.0020136986301369847</x:v>
      </x:c>
      <x:c r="F149" s="132" t="n">
        <x:f>(F146+F147*(1-B34-B35)-F148*(1-B34-B35))/365</x:f>
        <x:v>-0.01654794520547945</x:v>
      </x:c>
      <x:c r="G149" s="132" t="n">
        <x:f>(G146+G147*(1-B45-B46)-G148*(1-B45-B46))/365</x:f>
        <x:v>-0.03255342465753424</x:v>
      </x:c>
      <x:c r="H149" s="9"/>
      <x:c r="I149" s="9"/>
    </x:row>
    <x:row r="150">
      <x:c r="A150" s="72" t="s">
        <x:v>122</x:v>
      </x:c>
      <x:c r="B150" s="88" t="n">
        <x:f t="shared" ref="B150:G150" si="5">B146+B147-B148</x:f>
        <x:v>-8.900000000000006</x:v>
      </x:c>
      <x:c r="C150" s="88">
        <x:f t="shared" si="5"/>
        <x:v>-6.3000000000000043</x:v>
      </x:c>
      <x:c r="D150" s="88">
        <x:f t="shared" si="5"/>
        <x:v>-7.6000000000000014</x:v>
      </x:c>
      <x:c r="E150" s="88">
        <x:f t="shared" si="5"/>
        <x:v>0</x:v>
      </x:c>
      <x:c r="F150" s="88">
        <x:f t="shared" si="5"/>
        <x:v>-7</x:v>
      </x:c>
      <x:c r="G150" s="88">
        <x:f t="shared" si="5"/>
        <x:v>-13</x:v>
      </x:c>
    </x:row>
    <x:row r="151">
      <x:c r="A151" s="72" t="s">
        <x:v>123</x:v>
      </x:c>
    </x:row>
    <x:row r="152">
      <x:c r="A152" s="72" t="s">
        <x:v>124</x:v>
      </x:c>
    </x:row>
    <x:row r="153">
      <x:c r="A153" s="72" t="s">
        <x:v>125</x:v>
      </x:c>
    </x:row>
  </x:sheetData>
  <x:mergeCells>
    <x:mergeCell ref="A64:I64"/>
    <x:mergeCell ref="A78:I78"/>
    <x:mergeCell ref="A92:I92"/>
    <x:mergeCell ref="A7:I7"/>
    <x:mergeCell ref="A19:I19"/>
    <x:mergeCell ref="A20:I20"/>
    <x:mergeCell ref="A31:I31"/>
    <x:mergeCell ref="A42:I42"/>
    <x:mergeCell ref="A53:I53"/>
  </x:mergeCells>
  <x:pageMargins left="0.7" right="0.7" top="0.75" bottom="0.75" header="0.3" footer="0.3"/>
  <x:legacyDrawing xmlns:r="http://schemas.openxmlformats.org/officeDocument/2006/relationships" r:id="Rbdcda733984d46f5"/>
</x:worksheet>
</file>

<file path=xl/worksheets/sheet3.xml><?xml version="1.0" encoding="utf-8"?>
<x:worksheet xmlns:x="http://schemas.openxmlformats.org/spreadsheetml/2006/main">
  <x:sheetFormatPr defaultColWidth="11.125" defaultRowHeight="15.949999809265137"/>
  <x:cols>
    <x:col min="1" max="1" width="36.625" customWidth="1"/>
    <x:col min="2" max="2" width="16.625" customWidth="1"/>
  </x:cols>
  <x:sheetData>
    <x:row r="1" ht="18.600000381469727">
      <x:c r="A1" s="204" t="s">
        <x:v>126</x:v>
      </x:c>
      <x:c r="B1" s="204"/>
    </x:row>
    <x:row r="2" ht="16.5"/>
    <x:row r="3">
      <x:c r="A3" s="205" t="s">
        <x:v>127</x:v>
      </x:c>
      <x:c r="B3" s="206"/>
    </x:row>
    <x:row r="4">
      <x:c r="A4" s="12" t="s">
        <x:v>46</x:v>
      </x:c>
      <x:c r="B4" s="62" t="n">
        <x:f>DCF!B16</x:f>
        <x:v>0.0432</x:v>
      </x:c>
    </x:row>
    <x:row r="5">
      <x:c r="A5" s="12" t="s">
        <x:v>47</x:v>
      </x:c>
      <x:c r="B5" s="63">
        <x:v>0.9</x:v>
      </x:c>
    </x:row>
    <x:row r="6">
      <x:c r="A6" s="12" t="s">
        <x:v>128</x:v>
      </x:c>
      <x:c r="B6" s="62" t="n">
        <x:f>DCF!B15</x:f>
        <x:v>0.055</x:v>
      </x:c>
    </x:row>
    <x:row r="7">
      <x:c r="A7" s="12" t="s">
        <x:v>129</x:v>
      </x:c>
      <x:c r="B7" s="64" t="n">
        <x:f>DCF!B12</x:f>
        <x:v>325000</x:v>
      </x:c>
    </x:row>
    <x:row r="8">
      <x:c r="A8" s="12" t="s">
        <x:v>130</x:v>
      </x:c>
      <x:c r="B8" s="64" t="n">
        <x:f>DCF!B13</x:f>
        <x:v>460626</x:v>
      </x:c>
    </x:row>
    <x:row r="9">
      <x:c r="A9" s="12" t="s">
        <x:v>131</x:v>
      </x:c>
      <x:c r="B9" s="64" t="n">
        <x:f>DCF!B8</x:f>
        <x:v>1370000</x:v>
      </x:c>
    </x:row>
    <x:row r="10">
      <x:c r="A10" s="12" t="s">
        <x:v>132</x:v>
      </x:c>
      <x:c r="B10" s="18">
        <x:v>0.2</x:v>
      </x:c>
    </x:row>
    <x:row r="11">
      <x:c r="A11" s="24"/>
      <x:c r="B11" s="29"/>
    </x:row>
    <x:row r="12">
      <x:c r="A12" s="12" t="s">
        <x:v>133</x:v>
      </x:c>
      <x:c r="B12" s="65" t="n">
        <x:f>B7/B9</x:f>
        <x:v>0.23722627737226276</x:v>
      </x:c>
    </x:row>
    <x:row r="13">
      <x:c r="A13" s="12" t="s">
        <x:v>134</x:v>
      </x:c>
      <x:c r="B13" s="66" t="n">
        <x:f>B5*(1+(1-B10)*B12)</x:f>
        <x:v>1.0708029197080293</x:v>
      </x:c>
    </x:row>
    <x:row r="14">
      <x:c r="A14" s="24"/>
      <x:c r="B14" s="29"/>
    </x:row>
    <x:row r="15" ht="16.5">
      <x:c r="A15" s="61" t="s">
        <x:v>135</x:v>
      </x:c>
      <x:c r="B15" s="67" t="n">
        <x:f>B4+B13*B6</x:f>
        <x:v>0.1020941605839416</x:v>
      </x:c>
    </x:row>
    <x:row r="16" ht="16.5"/>
    <x:row r="17">
      <x:c r="A17" s="205" t="s">
        <x:v>136</x:v>
      </x:c>
      <x:c r="B17" s="206"/>
    </x:row>
    <x:row r="18">
      <x:c r="A18" s="12" t="s">
        <x:v>137</x:v>
      </x:c>
      <x:c r="B18" s="14">
        <x:v>38587</x:v>
      </x:c>
    </x:row>
    <x:row r="19">
      <x:c r="A19" s="12" t="s">
        <x:v>138</x:v>
      </x:c>
      <x:c r="B19" s="39" t="n">
        <x:f>(458178+325000)/2</x:f>
        <x:v>391589</x:v>
      </x:c>
    </x:row>
    <x:row r="20">
      <x:c r="A20" s="12" t="s">
        <x:v>139</x:v>
      </x:c>
      <x:c r="B20" s="68" t="n">
        <x:f>B18/B19</x:f>
        <x:v>0.09853954018115933</x:v>
      </x:c>
    </x:row>
    <x:row r="21">
      <x:c r="A21" s="12" t="s">
        <x:v>132</x:v>
      </x:c>
      <x:c r="B21" s="31" t="n">
        <x:f>B10</x:f>
        <x:v>0.2</x:v>
      </x:c>
    </x:row>
    <x:row r="22" ht="16.5">
      <x:c r="A22" s="61" t="s">
        <x:v>140</x:v>
      </x:c>
      <x:c r="B22" s="67" t="n">
        <x:f>B20*(1-B21)</x:f>
        <x:v>0.07883163214492747</x:v>
      </x:c>
    </x:row>
    <x:row r="23" ht="16.5"/>
    <x:row r="24">
      <x:c r="A24" s="207" t="s">
        <x:v>126</x:v>
      </x:c>
      <x:c r="B24" s="208"/>
    </x:row>
    <x:row r="25">
      <x:c r="A25" s="12" t="s">
        <x:v>141</x:v>
      </x:c>
      <x:c r="B25" s="39" t="n">
        <x:f>B9</x:f>
        <x:v>1370000</x:v>
      </x:c>
    </x:row>
    <x:row r="26">
      <x:c r="A26" s="12" t="s">
        <x:v>142</x:v>
      </x:c>
      <x:c r="B26" s="71" t="n">
        <x:f>DCF!B11</x:f>
        <x:v>-135626</x:v>
      </x:c>
    </x:row>
    <x:row r="27">
      <x:c r="A27" s="12" t="s">
        <x:v>143</x:v>
      </x:c>
      <x:c r="B27" s="39" t="n">
        <x:f>B25+B26</x:f>
        <x:v>1234374</x:v>
      </x:c>
    </x:row>
    <x:row r="28">
      <x:c r="A28" s="24"/>
      <x:c r="B28" s="29"/>
    </x:row>
    <x:row r="29">
      <x:c r="A29" s="12" t="s">
        <x:v>144</x:v>
      </x:c>
      <x:c r="B29" s="31" t="n">
        <x:f>B25/B31</x:f>
        <x:v>0.8082595870206489</x:v>
      </x:c>
    </x:row>
    <x:row r="30">
      <x:c r="A30" s="12" t="s">
        <x:v>145</x:v>
      </x:c>
      <x:c r="B30" s="31" t="n">
        <x:f>B7/B31</x:f>
        <x:v>0.19174041297935104</x:v>
      </x:c>
    </x:row>
    <x:row r="31">
      <x:c r="A31" s="24" t="s">
        <x:v>146</x:v>
      </x:c>
      <x:c r="B31" s="39" t="n">
        <x:f>B25+B7</x:f>
        <x:v>1695000</x:v>
      </x:c>
    </x:row>
    <x:row r="32" ht="16.5">
      <x:c r="A32" s="70" t="s">
        <x:v>147</x:v>
      </x:c>
      <x:c r="B32" s="67" t="n">
        <x:f>B29*B15+B30*B22</x:f>
        <x:v>0.09763379377410114</x:v>
      </x:c>
    </x:row>
    <x:row r="34">
      <x:c r="A34" s="3" t="s">
        <x:v>148</x:v>
      </x:c>
    </x:row>
    <x:row r="35">
      <x:c r="A35" s="3" t="s">
        <x:v>149</x:v>
      </x:c>
    </x:row>
    <x:row r="36">
      <x:c r="A36" s="3" t="s">
        <x:v>150</x:v>
      </x:c>
    </x:row>
    <x:row r="37">
      <x:c r="A37" s="3"/>
    </x:row>
  </x:sheetData>
  <x:mergeCells>
    <x:mergeCell ref="A1:B1"/>
    <x:mergeCell ref="A3:B3"/>
    <x:mergeCell ref="A17:B17"/>
    <x:mergeCell ref="A24:B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.949999809265137"/>
  <x:cols>
    <x:col min="2" max="2" width="30.5" customWidth="1"/>
    <x:col min="4" max="4" width="32.625" customWidth="1"/>
    <x:col min="5" max="5" width="9.625" customWidth="1"/>
    <x:col min="6" max="6" width="15.375" customWidth="1"/>
    <x:col min="7" max="7" width="6.625" customWidth="1"/>
    <x:col min="8" max="8" width="16.125" customWidth="1"/>
    <x:col min="9" max="9" width="12.125" customWidth="1"/>
    <x:col min="11" max="11" width="20.375" style="176" customWidth="1"/>
  </x:cols>
  <x:sheetData>
    <x:row r="1">
      <x:c r="B1" s="11" t="s">
        <x:v>151</x:v>
      </x:c>
    </x:row>
    <x:row r="3">
      <x:c r="D3" s="140" t="s">
        <x:v>152</x:v>
      </x:c>
      <x:c r="K3" s="176" t="s">
        <x:v>153</x:v>
      </x:c>
    </x:row>
    <x:row r="4">
      <x:c r="B4" s="11" t="s">
        <x:v>154</x:v>
      </x:c>
    </x:row>
    <x:row r="5">
      <x:c r="B5" s="141" t="s">
        <x:v>155</x:v>
      </x:c>
      <x:c r="D5" s="140">
        <x:v>2019</x:v>
      </x:c>
      <x:c r="F5" s="140">
        <x:v>2024</x:v>
      </x:c>
      <x:c r="H5" s="140">
        <x:v>2025</x:v>
      </x:c>
      <x:c r="I5" s="160" t="s">
        <x:v>156</x:v>
      </x:c>
      <x:c r="K5" s="177">
        <x:v>2026</x:v>
      </x:c>
      <x:c r="L5" s="160" t="s">
        <x:v>157</x:v>
      </x:c>
    </x:row>
    <x:row r="6">
      <x:c r="I6" s="160"/>
    </x:row>
    <x:row r="7">
      <x:c r="B7" s="11" t="s">
        <x:v>158</x:v>
      </x:c>
      <x:c r="D7" s="148">
        <x:v>11413312</x:v>
      </x:c>
      <x:c r="F7" s="148">
        <x:v>6591103</x:v>
      </x:c>
      <x:c r="H7" s="148">
        <x:v>6050908</x:v>
      </x:c>
      <x:c r="I7" s="161" t="n">
        <x:f>H7/F7-1</x:f>
        <x:v>-0.081958209422611</x:v>
      </x:c>
      <x:c r="K7" s="176" t="n">
        <x:f>+Multiples!C25*1000</x:f>
        <x:v>6353445</x:v>
      </x:c>
      <x:c r="L7" s="161" t="n">
        <x:f>(K7/F7)^(1/2)-1</x:f>
        <x:v>-0.018194211841774277</x:v>
      </x:c>
    </x:row>
    <x:row r="8">
      <x:c r="B8" t="s">
        <x:v>159</x:v>
      </x:c>
      <x:c r="D8" s="145">
        <x:v>-10221721</x:v>
      </x:c>
      <x:c r="F8" s="145">
        <x:v>-6148877</x:v>
      </x:c>
      <x:c r="H8" s="145">
        <x:v>-5624838</x:v>
      </x:c>
      <x:c r="I8" s="161" t="n">
        <x:f t="shared" ref="I8:I42" si="0">H8/F8-1</x:f>
        <x:v>-0.08522515574795198</x:v>
      </x:c>
    </x:row>
    <x:row r="9">
      <x:c r="D9" s="145"/>
      <x:c r="F9" s="145"/>
      <x:c r="H9" s="145"/>
      <x:c r="I9" s="161"/>
    </x:row>
    <x:row r="10">
      <x:c r="B10" s="11" t="s">
        <x:v>160</x:v>
      </x:c>
      <x:c r="D10" s="148" t="n">
        <x:f>D7+D8</x:f>
        <x:v>1191591</x:v>
      </x:c>
      <x:c r="F10" s="148" t="n">
        <x:f>F7+F8</x:f>
        <x:v>442226</x:v>
      </x:c>
      <x:c r="H10" s="148" t="n">
        <x:f>H7+H8</x:f>
        <x:v>426070</x:v>
      </x:c>
      <x:c r="I10" s="161">
        <x:f t="shared" si="0"/>
        <x:v>-3.653335624771048E-2</x:v>
      </x:c>
    </x:row>
    <x:row r="11">
      <x:c r="B11" s="164" t="s">
        <x:v>161</x:v>
      </x:c>
      <x:c r="D11" s="162" t="n">
        <x:f>D10/D7</x:f>
        <x:v>0.10440361220301346</x:v>
      </x:c>
      <x:c r="F11" s="162" t="n">
        <x:f>F10/F7</x:f>
        <x:v>0.06709438465762103</x:v>
      </x:c>
      <x:c r="H11" s="162" t="n">
        <x:f>H10/H7</x:f>
        <x:v>0.070414225435257</x:v>
      </x:c>
      <x:c r="I11" s="161"/>
    </x:row>
    <x:row r="12">
      <x:c r="B12" s="163"/>
      <x:c r="D12" s="162"/>
      <x:c r="F12" s="162"/>
      <x:c r="H12" s="162"/>
      <x:c r="I12" s="161"/>
    </x:row>
    <x:row r="13">
      <x:c r="B13" t="s">
        <x:v>162</x:v>
      </x:c>
      <x:c r="D13" s="145">
        <x:v>27745</x:v>
      </x:c>
      <x:c r="F13" s="145">
        <x:v>31706</x:v>
      </x:c>
      <x:c r="H13" s="145">
        <x:v>24906</x:v>
      </x:c>
      <x:c r="I13" s="161">
        <x:f t="shared" si="0"/>
        <x:v>-0.21447044723396202</x:v>
      </x:c>
    </x:row>
    <x:row r="14">
      <x:c r="D14" s="145"/>
      <x:c r="F14" s="145"/>
      <x:c r="H14" s="145"/>
      <x:c r="I14" s="161"/>
    </x:row>
    <x:row r="15">
      <x:c r="B15" s="11" t="s">
        <x:v>163</x:v>
      </x:c>
      <x:c r="D15" s="147" t="n">
        <x:f>SUM(D10:D13)</x:f>
        <x:v>1219336.1044036122</x:v>
      </x:c>
      <x:c r="F15" s="147" t="n">
        <x:f>SUM(F10:F13)</x:f>
        <x:v>473932.06709438463</x:v>
      </x:c>
      <x:c r="H15" s="147" t="n">
        <x:f>SUM(H10:H13)</x:f>
        <x:v>450976.07041422545</x:v>
      </x:c>
      <x:c r="I15" s="161">
        <x:f t="shared" si="0"/>
        <x:v>-4.8437314699761425E-2</x:v>
      </x:c>
    </x:row>
    <x:row r="16">
      <x:c r="D16" s="145"/>
      <x:c r="F16" s="145"/>
      <x:c r="H16" s="145"/>
      <x:c r="I16" s="161"/>
    </x:row>
    <x:row r="17">
      <x:c r="B17" t="s">
        <x:v>164</x:v>
      </x:c>
      <x:c r="D17" s="145">
        <x:v>-384973</x:v>
      </x:c>
      <x:c r="F17" s="145">
        <x:v>-78243</x:v>
      </x:c>
      <x:c r="H17" s="145">
        <x:v>-76299</x:v>
      </x:c>
      <x:c r="I17" s="161">
        <x:f t="shared" si="0"/>
        <x:v>-2.4845673095356791E-2</x:v>
      </x:c>
    </x:row>
    <x:row r="18">
      <x:c r="B18" t="s">
        <x:v>165</x:v>
      </x:c>
      <x:c r="D18" s="145">
        <x:v>-606816</x:v>
      </x:c>
      <x:c r="F18" s="145">
        <x:v>-275583</x:v>
      </x:c>
      <x:c r="H18" s="145">
        <x:v>-251637</x:v>
      </x:c>
      <x:c r="I18" s="161">
        <x:f t="shared" si="0"/>
        <x:v>-8.6892152273543743E-2</x:v>
      </x:c>
    </x:row>
    <x:row r="19">
      <x:c r="D19" s="145"/>
      <x:c r="F19" s="145"/>
      <x:c r="H19" s="145"/>
      <x:c r="I19" s="161"/>
    </x:row>
    <x:row r="20">
      <x:c r="B20" s="11" t="s">
        <x:v>166</x:v>
      </x:c>
      <x:c r="C20" s="11"/>
      <x:c r="D20" s="147" t="n">
        <x:f>SUM(D15:D18)</x:f>
        <x:v>227547.1044036122</x:v>
      </x:c>
      <x:c r="F20" s="147" t="n">
        <x:f>SUM(F15:F18)</x:f>
        <x:v>120106.06709438463</x:v>
      </x:c>
      <x:c r="H20" s="147" t="n">
        <x:f>SUM(H15:H18)</x:f>
        <x:v>123040.07041422545</x:v>
      </x:c>
      <x:c r="I20" s="161">
        <x:f t="shared" si="0"/>
        <x:v>2.4428435555509109E-2</x:v>
      </x:c>
      <x:c r="K20" s="176" t="n">
        <x:f>+H20*(1+Multiples!C20)</x:f>
        <x:v>129192.07393493674</x:v>
      </x:c>
    </x:row>
    <x:row r="21">
      <x:c r="D21" s="145"/>
      <x:c r="F21" s="145"/>
      <x:c r="H21" s="145"/>
      <x:c r="I21" s="161"/>
    </x:row>
    <x:row r="22">
      <x:c r="B22" t="s">
        <x:v>167</x:v>
      </x:c>
      <x:c r="D22" s="145">
        <x:v>621</x:v>
      </x:c>
      <x:c r="F22" s="145">
        <x:v>0</x:v>
      </x:c>
      <x:c r="H22" s="145">
        <x:v>0</x:v>
      </x:c>
      <x:c r="I22" s="161"/>
    </x:row>
    <x:row r="23">
      <x:c r="B23" t="s">
        <x:v>168</x:v>
      </x:c>
      <x:c r="D23" s="145">
        <x:v>-26534</x:v>
      </x:c>
      <x:c r="F23" s="145">
        <x:v>-10082</x:v>
      </x:c>
      <x:c r="H23" s="145">
        <x:v>-12955</x:v>
      </x:c>
      <x:c r="I23" s="161">
        <x:f t="shared" si="0"/>
        <x:v>0.28496330093235467</x:v>
      </x:c>
    </x:row>
    <x:row r="24">
      <x:c r="B24" t="s">
        <x:v>169</x:v>
      </x:c>
      <x:c r="D24" s="145">
        <x:v>-46825</x:v>
      </x:c>
      <x:c r="F24" s="145">
        <x:v>0</x:v>
      </x:c>
      <x:c r="H24" s="145">
        <x:v>0</x:v>
      </x:c>
      <x:c r="I24" s="161"/>
    </x:row>
    <x:row r="25">
      <x:c r="B25" t="s">
        <x:v>170</x:v>
      </x:c>
      <x:c r="D25" s="145">
        <x:v>-6491</x:v>
      </x:c>
      <x:c r="F25" s="145">
        <x:v>-3763</x:v>
      </x:c>
      <x:c r="H25" s="145">
        <x:v>-533</x:v>
      </x:c>
      <x:c r="I25" s="161">
        <x:f t="shared" si="0"/>
        <x:v>-0.85835769332979006</x:v>
      </x:c>
    </x:row>
    <x:row r="26">
      <x:c r="D26" s="145"/>
      <x:c r="F26" s="145"/>
      <x:c r="H26" s="145"/>
      <x:c r="I26" s="161"/>
    </x:row>
    <x:row r="27">
      <x:c r="B27" s="11" t="s">
        <x:v>171</x:v>
      </x:c>
      <x:c r="C27" s="11"/>
      <x:c r="D27" s="147" t="n">
        <x:f>SUM(D20:D25)</x:f>
        <x:v>148318.1044036122</x:v>
      </x:c>
      <x:c r="F27" s="147" t="n">
        <x:f>SUM(F20:F25)</x:f>
        <x:v>106261.06709438463</x:v>
      </x:c>
      <x:c r="H27" s="147" t="n">
        <x:f>SUM(H20:H25)</x:f>
        <x:v>109552.07041422545</x:v>
      </x:c>
      <x:c r="I27" s="161">
        <x:f t="shared" si="0"/>
        <x:v>3.0970922933774458E-2</x:v>
      </x:c>
    </x:row>
    <x:row r="28">
      <x:c r="D28" s="145"/>
      <x:c r="F28" s="145"/>
      <x:c r="H28" s="145"/>
      <x:c r="I28" s="161"/>
    </x:row>
    <x:row r="29">
      <x:c r="B29" t="s">
        <x:v>20</x:v>
      </x:c>
      <x:c r="D29" s="145">
        <x:v>11531</x:v>
      </x:c>
      <x:c r="F29" s="145">
        <x:v>15403</x:v>
      </x:c>
      <x:c r="H29" s="145">
        <x:v>13836</x:v>
      </x:c>
      <x:c r="I29" s="161">
        <x:f t="shared" si="0"/>
        <x:v>-0.10173342855287926</x:v>
      </x:c>
    </x:row>
    <x:row r="30">
      <x:c r="D30" s="145"/>
      <x:c r="F30" s="145"/>
      <x:c r="H30" s="145"/>
      <x:c r="I30" s="161"/>
    </x:row>
    <x:row r="31">
      <x:c r="B31" t="s">
        <x:v>172</x:v>
      </x:c>
      <x:c r="D31" s="145"/>
      <x:c r="F31" s="145"/>
      <x:c r="H31" s="145"/>
      <x:c r="I31" s="161"/>
    </x:row>
    <x:row r="32">
      <x:c r="B32" s="142" t="s">
        <x:v>173</x:v>
      </x:c>
      <x:c r="D32" s="145">
        <x:v>-7640</x:v>
      </x:c>
      <x:c r="F32" s="145">
        <x:v>0</x:v>
      </x:c>
      <x:c r="H32" s="145">
        <x:v>0</x:v>
      </x:c>
      <x:c r="I32" s="161"/>
    </x:row>
    <x:row r="33">
      <x:c r="B33" s="142" t="s">
        <x:v>174</x:v>
      </x:c>
      <x:c r="D33" s="145">
        <x:v>-15302</x:v>
      </x:c>
      <x:c r="F33" s="145">
        <x:v>-2413</x:v>
      </x:c>
      <x:c r="H33" s="145">
        <x:v>-2016</x:v>
      </x:c>
      <x:c r="I33" s="161">
        <x:f t="shared" si="0"/>
        <x:v>-0.16452548694571079</x:v>
      </x:c>
    </x:row>
    <x:row r="34">
      <x:c r="B34" s="142" t="s">
        <x:v>175</x:v>
      </x:c>
      <x:c r="D34" s="145">
        <x:v>-66844</x:v>
      </x:c>
      <x:c r="F34" s="145">
        <x:v>-30869</x:v>
      </x:c>
      <x:c r="H34" s="145">
        <x:v>-36571</x:v>
      </x:c>
      <x:c r="I34" s="161">
        <x:f t="shared" si="0"/>
        <x:v>0.18471605818134695</x:v>
      </x:c>
    </x:row>
    <x:row r="35">
      <x:c r="D35" s="146" t="n">
        <x:f>SUM(D32:D34)</x:f>
        <x:v>-89786</x:v>
      </x:c>
      <x:c r="F35" s="146" t="n">
        <x:f>SUM(F32:F34)</x:f>
        <x:v>-33282</x:v>
      </x:c>
      <x:c r="H35" s="146" t="n">
        <x:f>SUM(H32:H34)</x:f>
        <x:v>-38587</x:v>
      </x:c>
      <x:c r="I35" s="161">
        <x:f t="shared" si="0"/>
        <x:v>0.15939546902229429</x:v>
      </x:c>
    </x:row>
    <x:row r="36">
      <x:c r="B36" t="s">
        <x:v>176</x:v>
      </x:c>
      <x:c r="D36" s="145">
        <x:v>-36</x:v>
      </x:c>
      <x:c r="F36" s="145">
        <x:v>12</x:v>
      </x:c>
      <x:c r="H36" s="145">
        <x:v>10</x:v>
      </x:c>
      <x:c r="I36" s="161">
        <x:f t="shared" si="0"/>
        <x:v>-0.16666666666666663</x:v>
      </x:c>
    </x:row>
    <x:row r="37">
      <x:c r="D37" s="145"/>
      <x:c r="F37" s="145"/>
      <x:c r="H37" s="145"/>
      <x:c r="I37" s="161"/>
    </x:row>
    <x:row r="38">
      <x:c r="B38" t="s">
        <x:v>177</x:v>
      </x:c>
      <x:c r="D38" s="147" t="n">
        <x:f>D27+D29+D35+D36</x:f>
        <x:v>70027.1044036122</x:v>
      </x:c>
      <x:c r="F38" s="147" t="n">
        <x:f>F27+F29+F35+F36</x:f>
        <x:v>88394.06709438463</x:v>
      </x:c>
      <x:c r="H38" s="147" t="n">
        <x:f>H27+H29+H35+H36</x:f>
        <x:v>84811.07041422545</x:v>
      </x:c>
      <x:c r="I38" s="161">
        <x:f t="shared" si="0"/>
        <x:v>-4.0534357089072048E-2</x:v>
      </x:c>
    </x:row>
    <x:row r="39">
      <x:c r="D39" s="145"/>
      <x:c r="F39" s="145"/>
      <x:c r="H39" s="145"/>
      <x:c r="I39" s="161"/>
    </x:row>
    <x:row r="40">
      <x:c r="B40" t="s">
        <x:v>178</x:v>
      </x:c>
      <x:c r="D40" s="145">
        <x:v>-15756</x:v>
      </x:c>
      <x:c r="F40" s="145">
        <x:v>-22355</x:v>
      </x:c>
      <x:c r="H40" s="145">
        <x:v>-14710</x:v>
      </x:c>
      <x:c r="I40" s="161">
        <x:f t="shared" si="0"/>
        <x:v>-0.34198165958398563</x:v>
      </x:c>
    </x:row>
    <x:row r="41">
      <x:c r="D41" s="145"/>
      <x:c r="F41" s="145"/>
      <x:c r="H41" s="145"/>
      <x:c r="I41" s="161"/>
    </x:row>
    <x:row r="42">
      <x:c r="B42" t="s">
        <x:v>179</x:v>
      </x:c>
      <x:c r="D42" s="147" t="n">
        <x:f>D38+D40</x:f>
        <x:v>54271.104403612204</x:v>
      </x:c>
      <x:c r="F42" s="147" t="n">
        <x:f>F38+F40</x:f>
        <x:v>66039.06709438463</x:v>
      </x:c>
      <x:c r="H42" s="147" t="n">
        <x:f>H38+H40</x:f>
        <x:v>70101.07041422545</x:v>
      </x:c>
      <x:c r="I42" s="161">
        <x:f t="shared" si="0"/>
        <x:v>6.1509096033039112E-2</x:v>
      </x:c>
    </x:row>
    <x:row r="43">
      <x:c r="D43" s="145"/>
      <x:c r="F43" s="145"/>
      <x:c r="H43" s="145"/>
      <x:c r="I43" s="160"/>
    </x:row>
    <x:row r="44">
      <x:c r="B44" s="140" t="s">
        <x:v>180</x:v>
      </x:c>
      <x:c r="D44" s="145"/>
      <x:c r="F44" s="145"/>
      <x:c r="H44" s="145"/>
      <x:c r="I44" s="160"/>
    </x:row>
    <x:row r="45">
      <x:c r="B45" t="s">
        <x:v>181</x:v>
      </x:c>
      <x:c r="D45" s="145">
        <x:v>0</x:v>
      </x:c>
      <x:c r="F45" s="145">
        <x:v>0</x:v>
      </x:c>
      <x:c r="H45" s="145">
        <x:v>0</x:v>
      </x:c>
      <x:c r="I45" s="160"/>
    </x:row>
    <x:row r="46">
      <x:c r="D46" s="145"/>
      <x:c r="F46" s="145"/>
      <x:c r="H46" s="145"/>
      <x:c r="I46" s="160"/>
    </x:row>
    <x:row r="47">
      <x:c r="B47" s="11" t="s">
        <x:v>182</x:v>
      </x:c>
      <x:c r="D47" s="148" t="n">
        <x:f>D42+D45</x:f>
        <x:v>54271.104403612204</x:v>
      </x:c>
      <x:c r="F47" s="148" t="n">
        <x:f>F42+F45</x:f>
        <x:v>66039.06709438463</x:v>
      </x:c>
      <x:c r="H47" s="148" t="n">
        <x:f>H42+H45</x:f>
        <x:v>70101.07041422545</x:v>
      </x:c>
      <x:c r="I47" s="160"/>
      <x:c r="K47" s="176" t="n">
        <x:f>Multiples!C16*1000</x:f>
        <x:v>73500</x:v>
      </x:c>
      <x:c r="L47" s="161" t="n">
        <x:f>(K47/F47)^(1/2)-1</x:f>
        <x:v>0.05497751807492679</x:v>
      </x:c>
    </x:row>
    <x:row r="48">
      <x:c r="B48" s="165" t="s">
        <x:v>183</x:v>
      </x:c>
      <x:c r="C48" s="141"/>
      <x:c r="D48" s="162" t="n">
        <x:f>D47/D7</x:f>
        <x:v>0.00475507060558865</x:v>
      </x:c>
      <x:c r="E48" s="141"/>
      <x:c r="F48" s="162" t="n">
        <x:f>F47/F7</x:f>
        <x:v>0.010019425746249852</x:v>
      </x:c>
      <x:c r="G48" s="141"/>
      <x:c r="H48" s="162" t="n">
        <x:f>H47/H7</x:f>
        <x:v>0.011585215047762328</x:v>
      </x:c>
      <x:c r="I48" s="160"/>
      <x:c r="K48" s="162" t="n">
        <x:f>K47/K7</x:f>
        <x:v>0.011568526995984069</x:v>
      </x:c>
    </x:row>
    <x:row r="49">
      <x:c r="D49" s="145"/>
      <x:c r="F49" s="145"/>
      <x:c r="H49" s="145"/>
      <x:c r="I49" s="160"/>
    </x:row>
    <x:row r="50">
      <x:c r="B50" s="149" t="s">
        <x:v>184</x:v>
      </x:c>
      <x:c r="D50" s="145"/>
      <x:c r="F50" s="145"/>
      <x:c r="H50" s="145"/>
      <x:c r="I50" s="160"/>
    </x:row>
    <x:row r="51">
      <x:c r="B51" s="142" t="s">
        <x:v>185</x:v>
      </x:c>
      <x:c r="D51" s="145">
        <x:v>16748</x:v>
      </x:c>
      <x:c r="F51" s="145">
        <x:v>37539</x:v>
      </x:c>
      <x:c r="H51" s="145">
        <x:v>37539</x:v>
      </x:c>
      <x:c r="I51" s="160"/>
    </x:row>
    <x:row r="52">
      <x:c r="B52" s="142" t="s">
        <x:v>186</x:v>
      </x:c>
      <x:c r="D52" s="145">
        <x:v>34125</x:v>
      </x:c>
      <x:c r="F52" s="145">
        <x:v>32375</x:v>
      </x:c>
      <x:c r="H52" s="145">
        <x:v>32375</x:v>
      </x:c>
      <x:c r="I52" s="160"/>
    </x:row>
    <x:row r="53">
      <x:c r="B53" s="142" t="s">
        <x:v>187</x:v>
      </x:c>
      <x:c r="D53" s="145">
        <x:v>3398</x:v>
      </x:c>
      <x:c r="F53" s="145">
        <x:v>187</x:v>
      </x:c>
      <x:c r="H53" s="145">
        <x:v>187</x:v>
      </x:c>
      <x:c r="I53" s="160"/>
    </x:row>
    <x:row r="54">
      <x:c r="D54" s="147" t="n">
        <x:f>SUM(D51:D53)</x:f>
        <x:v>54271</x:v>
      </x:c>
      <x:c r="F54" s="147" t="n">
        <x:f>SUM(F51:F53)</x:f>
        <x:v>70101</x:v>
      </x:c>
      <x:c r="H54" s="147" t="n">
        <x:f>SUM(H51:H53)</x:f>
        <x:v>70101</x:v>
      </x:c>
      <x:c r="I54" s="160"/>
    </x:row>
    <x:row r="55">
      <x:c r="D55" s="145"/>
      <x:c r="I55" s="160"/>
    </x:row>
    <x:row r="56">
      <x:c r="D56" s="145"/>
      <x:c r="I56" s="160"/>
    </x:row>
    <x:row r="57">
      <x:c r="D57" s="145"/>
      <x:c r="I57" s="160"/>
    </x:row>
    <x:row r="58">
      <x:c r="D58" s="145"/>
      <x:c r="I58" s="160"/>
    </x:row>
    <x:row r="59">
      <x:c r="B59" s="11" t="s">
        <x:v>188</x:v>
      </x:c>
      <x:c r="D59" s="150" t="n">
        <x:f>D27-D22-D23-D24</x:f>
        <x:v>221056.1044036122</x:v>
      </x:c>
      <x:c r="F59" s="150" t="n">
        <x:f>F27-F23</x:f>
        <x:v>116343.06709438463</x:v>
      </x:c>
      <x:c r="H59" s="150" t="n">
        <x:f>H27-H23</x:f>
        <x:v>122507.07041422545</x:v>
      </x:c>
      <x:c r="I59" s="160"/>
    </x:row>
    <x:row r="60">
      <x:c r="B60" s="11" t="s">
        <x:v>70</x:v>
      </x:c>
      <x:c r="D60" s="150" t="n">
        <x:f>D27</x:f>
        <x:v>148318.1044036122</x:v>
      </x:c>
      <x:c r="F60" s="150" t="n">
        <x:f>F27</x:f>
        <x:v>106261.06709438463</x:v>
      </x:c>
      <x:c r="H60" s="150" t="n">
        <x:f>H27</x:f>
        <x:v>109552.07041422545</x:v>
      </x:c>
      <x:c r="I60" s="160"/>
    </x:row>
    <x:row r="61">
      <x:c r="D61" s="145"/>
      <x:c r="I61" s="160"/>
    </x:row>
    <x:row r="62">
      <x:c r="B62" s="11" t="s">
        <x:v>189</x:v>
      </x:c>
      <x:c r="F62">
        <x:v>142</x:v>
      </x:c>
      <x:c r="H62">
        <x:v>147</x:v>
      </x:c>
      <x:c r="I62" s="160"/>
      <x:c r="K62" s="176" t="n">
        <x:f>+Multiples!C21</x:f>
        <x:v>154.35</x:v>
      </x:c>
      <x:c r="L62" s="161" t="n">
        <x:f>(K62/F62)^(1/2)-1</x:f>
        <x:v>0.04257941231635476</x:v>
      </x:c>
    </x:row>
    <x:row r="63">
      <x:c r="B63" s="151" t="s">
        <x:v>190</x:v>
      </x:c>
      <x:c r="C63" s="152"/>
      <x:c r="D63" s="152"/>
      <x:c r="E63" s="152"/>
      <x:c r="F63" s="153" t="n">
        <x:f>F20</x:f>
        <x:v>120106.06709438463</x:v>
      </x:c>
      <x:c r="G63" s="152"/>
      <x:c r="H63" s="153" t="n">
        <x:f>H20</x:f>
        <x:v>123040.07041422545</x:v>
      </x:c>
      <x:c r="I63" s="160"/>
      <x:c r="K63" s="153" t="n">
        <x:f>+K20</x:f>
        <x:v>129192.07393493674</x:v>
      </x:c>
      <x:c r="L63" s="181" t="n">
        <x:f>+K63/H63-1</x:f>
        <x:v>0.050000000000000044</x:v>
      </x:c>
    </x:row>
    <x:row r="64">
      <x:c r="B64" s="151" t="s">
        <x:v>191</x:v>
      </x:c>
      <x:c r="F64" s="153">
        <x:v>-3487</x:v>
      </x:c>
      <x:c r="H64" s="153">
        <x:v>-3882</x:v>
      </x:c>
      <x:c r="I64" s="160"/>
      <x:c r="K64" s="153" t="n">
        <x:f>+H64</x:f>
        <x:v>-3882</x:v>
      </x:c>
    </x:row>
    <x:row r="65">
      <x:c r="B65" s="151" t="s">
        <x:v>192</x:v>
      </x:c>
      <x:c r="F65" s="153">
        <x:v>-17847</x:v>
      </x:c>
      <x:c r="H65" s="153">
        <x:v>-18624</x:v>
      </x:c>
      <x:c r="I65" s="160"/>
      <x:c r="K65" s="153" t="n">
        <x:f>H65</x:f>
        <x:v>-18624</x:v>
      </x:c>
    </x:row>
    <x:row r="66">
      <x:c r="B66" s="151" t="s">
        <x:v>193</x:v>
      </x:c>
      <x:c r="F66" s="153">
        <x:v>-962</x:v>
      </x:c>
      <x:c r="H66" s="153">
        <x:v>-962</x:v>
      </x:c>
      <x:c r="I66" s="160"/>
      <x:c r="K66" s="153" t="n">
        <x:f>H66</x:f>
        <x:v>-962</x:v>
      </x:c>
    </x:row>
    <x:row r="67">
      <x:c r="B67" s="151"/>
      <x:c r="F67" s="154" t="n">
        <x:f>F63-F64-F65-F66</x:f>
        <x:v>142402.06709438463</x:v>
      </x:c>
      <x:c r="H67" s="154" t="n">
        <x:f>H63-H64-H65-H66</x:f>
        <x:v>146508.07041422545</x:v>
      </x:c>
      <x:c r="I67" s="160"/>
      <x:c r="K67" s="154" t="n">
        <x:f>K63-K64-K65-K66</x:f>
        <x:v>152660.07393493672</x:v>
      </x:c>
    </x:row>
    <x:row r="68">
      <x:c r="B68" s="165" t="s">
        <x:v>194</x:v>
      </x:c>
      <x:c r="F68" s="162" t="n">
        <x:f>+F67/F7</x:f>
        <x:v>0.021605195229749047</x:v>
      </x:c>
      <x:c r="H68" s="162" t="n">
        <x:f>+H67/H7</x:f>
        <x:v>0.024212576098368285</x:v>
      </x:c>
      <x:c r="K68" s="162" t="n">
        <x:f>+K67/K7</x:f>
        <x:v>0.024027920905105297</x:v>
      </x:c>
      <x:c r="L68" s="162" t="n">
        <x:f>K62*1000/K7</x:f>
        <x:v>0.024293906691566544</x:v>
      </x:c>
    </x:row>
    <x:row r="72">
      <x:c r="D72" s="145"/>
    </x:row>
    <x:row r="73">
      <x:c r="D73" s="145"/>
    </x:row>
    <x:row r="74">
      <x:c r="B74" t="s">
        <x:v>195</x:v>
      </x:c>
      <x:c r="D74" s="144">
        <x:v>11.3</x:v>
      </x:c>
    </x:row>
    <x:row r="75">
      <x:c r="B75" t="s">
        <x:v>196</x:v>
      </x:c>
      <x:c r="D75" s="144">
        <x:v>7.6</x:v>
      </x:c>
    </x:row>
    <x:row r="76">
      <x:c r="D76" s="145"/>
    </x:row>
    <x:row r="77">
      <x:c r="B77" t="s">
        <x:v>197</x:v>
      </x:c>
      <x:c r="D77" s="145"/>
    </x:row>
    <x:row r="78">
      <x:c r="B78" t="s">
        <x:v>198</x:v>
      </x:c>
      <x:c r="D78" s="144">
        <x:v>18.5</x:v>
      </x:c>
    </x:row>
    <x:row r="79">
      <x:c r="B79" t="s">
        <x:v>199</x:v>
      </x:c>
      <x:c r="D79" s="144">
        <x:v>8.4</x:v>
      </x:c>
    </x:row>
  </x:sheetData>
  <x:pageMargins left="0.7" right="0.7" top="0.75" bottom="0.75" header="0.3" footer="0.3"/>
  <x:drawing xmlns:r="http://schemas.openxmlformats.org/officeDocument/2006/relationships" r:id="Rf659951741fb48f0"/>
</x:worksheet>
</file>

<file path=xl/worksheets/sheet5.xml><?xml version="1.0" encoding="utf-8"?>
<x:worksheet xmlns:x="http://schemas.openxmlformats.org/spreadsheetml/2006/main">
  <x:sheetFormatPr defaultColWidth="8.625" defaultRowHeight="14.449999809265137"/>
  <x:cols>
    <x:col min="1" max="1" width="13.75" style="167" customWidth="1"/>
    <x:col min="2" max="2" width="28.125" style="167" customWidth="1"/>
    <x:col min="3" max="3" width="44.875" style="167" customWidth="1"/>
    <x:col min="4" max="4" width="10.125" style="167" customWidth="1"/>
    <x:col min="5" max="6" width="7.75" style="167" customWidth="1"/>
    <x:col min="7" max="7" width="11.125" style="167" customWidth="1"/>
    <x:col min="8" max="10" width="12.625" style="167" customWidth="1"/>
    <x:col min="11" max="12" width="13.875" style="167" customWidth="1"/>
    <x:col min="13" max="16384" width="8.625" style="167" customWidth="0"/>
  </x:cols>
  <x:sheetData>
    <x:row r="1">
      <x:c r="D1" s="168" t="s">
        <x:v>200</x:v>
      </x:c>
      <x:c r="E1" s="167" t="s">
        <x:v>201</x:v>
      </x:c>
      <x:c r="F1" s="167" t="s">
        <x:v>202</x:v>
      </x:c>
      <x:c r="G1" s="167" t="s">
        <x:v>203</x:v>
      </x:c>
      <x:c r="H1" s="167" t="s">
        <x:v>204</x:v>
      </x:c>
      <x:c r="I1" s="167" t="s">
        <x:v>205</x:v>
      </x:c>
      <x:c r="J1" s="168" t="s">
        <x:v>206</x:v>
      </x:c>
      <x:c r="K1" s="167" t="s">
        <x:v>207</x:v>
      </x:c>
      <x:c r="L1" s="167" t="s">
        <x:v>208</x:v>
      </x:c>
    </x:row>
    <x:row r="2">
      <x:c r="A2" s="167" t="s">
        <x:v>209</x:v>
      </x:c>
      <x:c r="D2" s="168"/>
      <x:c r="J2" s="168"/>
    </x:row>
    <x:row r="3" ht="43.5">
      <x:c r="A3" s="167" t="s">
        <x:v>210</x:v>
      </x:c>
      <x:c r="B3" s="167" t="s">
        <x:v>211</x:v>
      </x:c>
      <x:c r="C3" s="166" t="s">
        <x:v>212</x:v>
      </x:c>
      <x:c r="D3" s="169">
        <x:v>36.950000000000003</x:v>
      </x:c>
      <x:c r="E3" s="166">
        <x:v>37.82</x:v>
      </x:c>
      <x:c r="F3" s="166">
        <x:v>19.3</x:v>
      </x:c>
      <x:c r="G3" s="166">
        <x:v>0.32</x:v>
      </x:c>
      <x:c r="H3" s="166">
        <x:v>0.33</x:v>
      </x:c>
      <x:c r="I3" s="166">
        <x:v>0.28000000000000003</x:v>
      </x:c>
      <x:c r="J3" s="169">
        <x:v>10.91</x:v>
      </x:c>
      <x:c r="K3" s="166" t="s">
        <x:v>12</x:v>
      </x:c>
      <x:c r="L3" s="166" t="s">
        <x:v>12</x:v>
      </x:c>
    </x:row>
    <x:row r="4" ht="43.5">
      <x:c r="A4" s="167" t="s">
        <x:v>213</x:v>
      </x:c>
      <x:c r="B4" s="167" t="s">
        <x:v>214</x:v>
      </x:c>
      <x:c r="C4" s="166" t="s">
        <x:v>215</x:v>
      </x:c>
      <x:c r="D4" s="169">
        <x:v>7.76</x:v>
      </x:c>
      <x:c r="E4" s="166"/>
      <x:c r="F4" s="166"/>
      <x:c r="G4" s="166">
        <x:v>0.44</x:v>
      </x:c>
      <x:c r="H4" s="166"/>
      <x:c r="I4" s="166"/>
      <x:c r="J4" s="169">
        <x:v>4.47</x:v>
      </x:c>
      <x:c r="K4" s="166"/>
      <x:c r="L4" s="166"/>
    </x:row>
    <x:row r="5" ht="43.5">
      <x:c r="A5" s="167" t="s">
        <x:v>216</x:v>
      </x:c>
      <x:c r="B5" s="167" t="s">
        <x:v>217</x:v>
      </x:c>
      <x:c r="C5" s="166" t="s">
        <x:v>218</x:v>
      </x:c>
      <x:c r="D5" s="169">
        <x:v>10.26</x:v>
      </x:c>
      <x:c r="E5" s="166">
        <x:v>9.07</x:v>
      </x:c>
      <x:c r="F5" s="166">
        <x:v>8.07</x:v>
      </x:c>
      <x:c r="G5" s="166">
        <x:v>0.74</x:v>
      </x:c>
      <x:c r="H5" s="166">
        <x:v>0.68</x:v>
      </x:c>
      <x:c r="I5" s="166">
        <x:v>0.62</x:v>
      </x:c>
      <x:c r="J5" s="169">
        <x:v>5.63</x:v>
      </x:c>
      <x:c r="K5" s="166">
        <x:v>5.0199999999999996</x:v>
      </x:c>
      <x:c r="L5" s="166">
        <x:v>4.55</x:v>
      </x:c>
    </x:row>
    <x:row r="6" ht="43.5">
      <x:c r="A6" s="167" t="s">
        <x:v>219</x:v>
      </x:c>
      <x:c r="B6" s="167" t="s">
        <x:v>220</x:v>
      </x:c>
      <x:c r="C6" s="166" t="s">
        <x:v>221</x:v>
      </x:c>
      <x:c r="D6" s="169">
        <x:v>7.73</x:v>
      </x:c>
      <x:c r="E6" s="166">
        <x:v>6.43</x:v>
      </x:c>
      <x:c r="F6" s="166">
        <x:v>5.41</x:v>
      </x:c>
      <x:c r="G6" s="166">
        <x:v>0.39</x:v>
      </x:c>
      <x:c r="H6" s="166">
        <x:v>0.37</x:v>
      </x:c>
      <x:c r="I6" s="166">
        <x:v>0.36</x:v>
      </x:c>
      <x:c r="J6" s="169">
        <x:v>5.8</x:v>
      </x:c>
      <x:c r="K6" s="166">
        <x:v>5.4</x:v>
      </x:c>
      <x:c r="L6" s="166">
        <x:v>4.66</x:v>
      </x:c>
    </x:row>
    <x:row r="7" ht="43.5">
      <x:c r="A7" s="167" t="s">
        <x:v>222</x:v>
      </x:c>
      <x:c r="B7" s="167" t="s">
        <x:v>223</x:v>
      </x:c>
      <x:c r="C7" s="166" t="s">
        <x:v>224</x:v>
      </x:c>
      <x:c r="D7" s="169">
        <x:v>10.83</x:v>
      </x:c>
      <x:c r="E7" s="166">
        <x:v>10.02</x:v>
      </x:c>
      <x:c r="F7" s="166">
        <x:v>9.15</x:v>
      </x:c>
      <x:c r="G7" s="166">
        <x:v>1.61</x:v>
      </x:c>
      <x:c r="H7" s="166">
        <x:v>1.53</x:v>
      </x:c>
      <x:c r="I7" s="166">
        <x:v>1.43</x:v>
      </x:c>
      <x:c r="J7" s="169">
        <x:v>6.31</x:v>
      </x:c>
      <x:c r="K7" s="166">
        <x:v>5.96</x:v>
      </x:c>
      <x:c r="L7" s="166">
        <x:v>5.42</x:v>
      </x:c>
    </x:row>
    <x:row r="8">
      <x:c r="C8" s="166"/>
      <x:c r="D8" s="169"/>
      <x:c r="E8" s="166"/>
      <x:c r="F8" s="166"/>
      <x:c r="G8" s="166"/>
      <x:c r="H8" s="166"/>
      <x:c r="I8" s="166"/>
      <x:c r="J8" s="169"/>
      <x:c r="K8" s="166"/>
      <x:c r="L8" s="166"/>
    </x:row>
    <x:row r="9">
      <x:c r="C9" s="166" t="s">
        <x:v>225</x:v>
      </x:c>
      <x:c r="D9" s="170" t="n">
        <x:f>MAX(D$3:D$7)</x:f>
        <x:v>36.95</x:v>
      </x:c>
      <x:c r="E9" s="171" t="n">
        <x:f t="shared" ref="E9:L9" si="0">MAX(E$3:E$7)</x:f>
        <x:v>37.82</x:v>
      </x:c>
      <x:c r="F9" s="171">
        <x:f t="shared" si="0"/>
        <x:v>19.3</x:v>
      </x:c>
      <x:c r="G9" s="171">
        <x:f t="shared" si="0"/>
        <x:v>1.61</x:v>
      </x:c>
      <x:c r="H9" s="171">
        <x:f t="shared" si="0"/>
        <x:v>1.53</x:v>
      </x:c>
      <x:c r="I9" s="171">
        <x:f t="shared" si="0"/>
        <x:v>1.43</x:v>
      </x:c>
      <x:c r="J9" s="170">
        <x:f t="shared" si="0"/>
        <x:v>10.91</x:v>
      </x:c>
      <x:c r="K9" s="171">
        <x:f t="shared" si="0"/>
        <x:v>5.96</x:v>
      </x:c>
      <x:c r="L9" s="171">
        <x:f t="shared" si="0"/>
        <x:v>5.42</x:v>
      </x:c>
    </x:row>
    <x:row r="10">
      <x:c r="C10" s="166" t="s">
        <x:v>226</x:v>
      </x:c>
      <x:c r="D10" s="172" t="n">
        <x:f>AVERAGE(D$3:D$7)</x:f>
        <x:v>14.706</x:v>
      </x:c>
      <x:c r="E10" s="171" t="n">
        <x:f t="shared" ref="E10:L10" si="1">AVERAGE(E$3:E$7)</x:f>
        <x:v>15.835</x:v>
      </x:c>
      <x:c r="F10" s="171">
        <x:f t="shared" si="1"/>
        <x:v>10.4825</x:v>
      </x:c>
      <x:c r="G10" s="171">
        <x:f t="shared" si="1"/>
        <x:v>0.7</x:v>
      </x:c>
      <x:c r="H10" s="171">
        <x:f t="shared" si="1"/>
        <x:v>0.72750000000000004</x:v>
      </x:c>
      <x:c r="I10" s="171">
        <x:f t="shared" si="1"/>
        <x:v>0.67249999999999999</x:v>
      </x:c>
      <x:c r="J10" s="172">
        <x:f t="shared" si="1"/>
        <x:v>6.6239999999999997</x:v>
      </x:c>
      <x:c r="K10" s="171">
        <x:f t="shared" si="1"/>
        <x:v>5.46</x:v>
      </x:c>
      <x:c r="L10" s="171">
        <x:f t="shared" si="1"/>
        <x:v>4.8766666666666669</x:v>
      </x:c>
    </x:row>
    <x:row r="11">
      <x:c r="C11" s="166" t="s">
        <x:v>227</x:v>
      </x:c>
      <x:c r="D11" s="170" t="n">
        <x:f>MEDIAN(D$3:D$7)</x:f>
        <x:v>10.26</x:v>
      </x:c>
      <x:c r="E11" s="171" t="n">
        <x:f t="shared" ref="E11:L11" si="2">MEDIAN(E$3:E$7)</x:f>
        <x:v>9.545</x:v>
      </x:c>
      <x:c r="F11" s="171">
        <x:f t="shared" si="2"/>
        <x:v>8.61</x:v>
      </x:c>
      <x:c r="G11" s="171">
        <x:f t="shared" si="2"/>
        <x:v>0.44</x:v>
      </x:c>
      <x:c r="H11" s="171">
        <x:f t="shared" si="2"/>
        <x:v>0.52500000000000002</x:v>
      </x:c>
      <x:c r="I11" s="171">
        <x:f t="shared" si="2"/>
        <x:v>0.49</x:v>
      </x:c>
      <x:c r="J11" s="170">
        <x:f t="shared" si="2"/>
        <x:v>5.8</x:v>
      </x:c>
      <x:c r="K11" s="171">
        <x:f t="shared" si="2"/>
        <x:v>5.4</x:v>
      </x:c>
      <x:c r="L11" s="171">
        <x:f t="shared" si="2"/>
        <x:v>4.66</x:v>
      </x:c>
    </x:row>
    <x:row r="12">
      <x:c r="C12" s="166" t="s">
        <x:v>228</x:v>
      </x:c>
      <x:c r="D12" s="170" t="n">
        <x:f>MIN(D$3:D$7)</x:f>
        <x:v>7.73</x:v>
      </x:c>
      <x:c r="E12" s="171" t="n">
        <x:f t="shared" ref="E12:L12" si="3">MIN(E$3:E$7)</x:f>
        <x:v>6.43</x:v>
      </x:c>
      <x:c r="F12" s="171">
        <x:f t="shared" si="3"/>
        <x:v>5.41</x:v>
      </x:c>
      <x:c r="G12" s="171">
        <x:f t="shared" si="3"/>
        <x:v>0.32</x:v>
      </x:c>
      <x:c r="H12" s="171">
        <x:f t="shared" si="3"/>
        <x:v>0.33</x:v>
      </x:c>
      <x:c r="I12" s="171">
        <x:f t="shared" si="3"/>
        <x:v>0.28000000000000003</x:v>
      </x:c>
      <x:c r="J12" s="170">
        <x:f t="shared" si="3"/>
        <x:v>4.47</x:v>
      </x:c>
      <x:c r="K12" s="171">
        <x:f t="shared" si="3"/>
        <x:v>5.0199999999999996</x:v>
      </x:c>
      <x:c r="L12" s="171">
        <x:f t="shared" si="3"/>
        <x:v>4.55</x:v>
      </x:c>
    </x:row>
    <x:row r="13">
      <x:c r="C13" s="166"/>
      <x:c r="D13" s="168"/>
      <x:c r="J13" s="168"/>
    </x:row>
    <x:row r="14">
      <x:c r="C14" s="166"/>
      <x:c r="D14" s="168" t="s">
        <x:v>200</x:v>
      </x:c>
      <x:c r="E14" s="167" t="s">
        <x:v>201</x:v>
      </x:c>
      <x:c r="F14" s="167" t="s">
        <x:v>202</x:v>
      </x:c>
      <x:c r="G14" s="167" t="s">
        <x:v>203</x:v>
      </x:c>
      <x:c r="H14" s="167" t="s">
        <x:v>204</x:v>
      </x:c>
      <x:c r="I14" s="167" t="s">
        <x:v>205</x:v>
      </x:c>
      <x:c r="J14" s="168" t="s">
        <x:v>206</x:v>
      </x:c>
      <x:c r="K14" s="167" t="s">
        <x:v>207</x:v>
      </x:c>
      <x:c r="L14" s="167" t="s">
        <x:v>208</x:v>
      </x:c>
    </x:row>
    <x:row r="15">
      <x:c r="A15" s="167" t="s">
        <x:v>229</x:v>
      </x:c>
      <x:c r="C15" s="166"/>
      <x:c r="D15" s="168"/>
      <x:c r="J15" s="168"/>
    </x:row>
    <x:row r="16" ht="43.5">
      <x:c r="A16" s="167" t="s">
        <x:v>230</x:v>
      </x:c>
      <x:c r="B16" s="167" t="s">
        <x:v>231</x:v>
      </x:c>
      <x:c r="C16" s="166" t="s">
        <x:v>232</x:v>
      </x:c>
      <x:c r="D16" s="168">
        <x:v>8.48</x:v>
      </x:c>
      <x:c r="E16" s="167">
        <x:v>8.57</x:v>
      </x:c>
      <x:c r="F16" s="167">
        <x:v>8.17</x:v>
      </x:c>
      <x:c r="G16" s="167">
        <x:v>0.34</x:v>
      </x:c>
      <x:c r="H16" s="167">
        <x:v>0.33</x:v>
      </x:c>
      <x:c r="I16" s="167">
        <x:v>0.31</x:v>
      </x:c>
      <x:c r="J16" s="168">
        <x:v>4.46</x:v>
      </x:c>
      <x:c r="K16" s="167">
        <x:v>4.3899999999999997</x:v>
      </x:c>
      <x:c r="L16" s="167">
        <x:v>4.24</x:v>
      </x:c>
    </x:row>
    <x:row r="17" ht="43.5">
      <x:c r="A17" s="167" t="s">
        <x:v>233</x:v>
      </x:c>
      <x:c r="B17" s="167" t="s">
        <x:v>234</x:v>
      </x:c>
      <x:c r="C17" s="166" t="s">
        <x:v>235</x:v>
      </x:c>
      <x:c r="D17" s="168">
        <x:v>45.04</x:v>
      </x:c>
      <x:c r="E17" s="167">
        <x:v>25.43</x:v>
      </x:c>
      <x:c r="F17" s="167">
        <x:v>19</x:v>
      </x:c>
      <x:c r="G17" s="167">
        <x:v>1.92</x:v>
      </x:c>
      <x:c r="H17" s="167">
        <x:v>1.65</x:v>
      </x:c>
      <x:c r="I17" s="167">
        <x:v>1.6</x:v>
      </x:c>
      <x:c r="J17" s="168">
        <x:v>16.850000000000001</x:v>
      </x:c>
      <x:c r="K17" s="167">
        <x:v>14</x:v>
      </x:c>
      <x:c r="L17" s="167">
        <x:v>11.86</x:v>
      </x:c>
    </x:row>
    <x:row r="18" ht="43.5">
      <x:c r="A18" s="167" t="s">
        <x:v>236</x:v>
      </x:c>
      <x:c r="B18" s="167" t="s">
        <x:v>237</x:v>
      </x:c>
      <x:c r="C18" s="166" t="s">
        <x:v>238</x:v>
      </x:c>
      <x:c r="D18" s="168">
        <x:v>23.6</x:v>
      </x:c>
      <x:c r="E18" s="167">
        <x:v>22.64</x:v>
      </x:c>
      <x:c r="F18" s="167">
        <x:v>20.48</x:v>
      </x:c>
      <x:c r="G18" s="167">
        <x:v>1</x:v>
      </x:c>
      <x:c r="H18" s="167">
        <x:v>0.97</x:v>
      </x:c>
      <x:c r="I18" s="167">
        <x:v>0.94</x:v>
      </x:c>
      <x:c r="J18" s="168">
        <x:v>11.43</x:v>
      </x:c>
      <x:c r="K18" s="167">
        <x:v>11.05</x:v>
      </x:c>
      <x:c r="L18" s="167">
        <x:v>10.28</x:v>
      </x:c>
    </x:row>
    <x:row r="19" ht="43.5">
      <x:c r="A19" s="167" t="s">
        <x:v>239</x:v>
      </x:c>
      <x:c r="B19" s="167" t="s">
        <x:v>240</x:v>
      </x:c>
      <x:c r="C19" s="166" t="s">
        <x:v>241</x:v>
      </x:c>
      <x:c r="D19" s="168">
        <x:v>15.48</x:v>
      </x:c>
      <x:c r="E19" s="167">
        <x:v>14.65</x:v>
      </x:c>
      <x:c r="F19" s="167">
        <x:v>13.33</x:v>
      </x:c>
      <x:c r="G19" s="167">
        <x:v>0.95</x:v>
      </x:c>
      <x:c r="H19" s="167">
        <x:v>0.92</x:v>
      </x:c>
      <x:c r="I19" s="167">
        <x:v>0.89</x:v>
      </x:c>
      <x:c r="J19" s="168">
        <x:v>7.19</x:v>
      </x:c>
      <x:c r="K19" s="167">
        <x:v>6.93</x:v>
      </x:c>
      <x:c r="L19" s="167">
        <x:v>6.58</x:v>
      </x:c>
    </x:row>
    <x:row r="20" ht="43.5">
      <x:c r="A20" s="167" t="s">
        <x:v>242</x:v>
      </x:c>
      <x:c r="B20" s="167" t="s">
        <x:v>243</x:v>
      </x:c>
      <x:c r="C20" s="166" t="s">
        <x:v>244</x:v>
      </x:c>
      <x:c r="D20" s="168">
        <x:v>32.119999999999997</x:v>
      </x:c>
      <x:c r="E20" s="167">
        <x:v>19.11</x:v>
      </x:c>
      <x:c r="F20" s="167">
        <x:v>16.399999999999999</x:v>
      </x:c>
      <x:c r="G20" s="167">
        <x:v>0.87</x:v>
      </x:c>
      <x:c r="H20" s="167">
        <x:v>0.82</x:v>
      </x:c>
      <x:c r="I20" s="167">
        <x:v>0.78</x:v>
      </x:c>
      <x:c r="J20" s="168">
        <x:v>7.09</x:v>
      </x:c>
      <x:c r="K20" s="167">
        <x:v>9.11</x:v>
      </x:c>
      <x:c r="L20" s="167">
        <x:v>8.34</x:v>
      </x:c>
    </x:row>
    <x:row r="21">
      <x:c r="C21" s="166"/>
      <x:c r="D21" s="168"/>
      <x:c r="J21" s="168"/>
    </x:row>
    <x:row r="22">
      <x:c r="C22" s="166" t="s">
        <x:v>225</x:v>
      </x:c>
      <x:c r="D22" s="173" t="n">
        <x:f>MAX(D$16:D$20)</x:f>
        <x:v>45.04</x:v>
      </x:c>
      <x:c r="E22" s="174" t="n">
        <x:f t="shared" ref="E22:L22" si="4">MAX(E$16:E$20)</x:f>
        <x:v>25.43</x:v>
      </x:c>
      <x:c r="F22" s="174">
        <x:f t="shared" si="4"/>
        <x:v>20.48</x:v>
      </x:c>
      <x:c r="G22" s="174">
        <x:f t="shared" si="4"/>
        <x:v>1.92</x:v>
      </x:c>
      <x:c r="H22" s="174">
        <x:f t="shared" si="4"/>
        <x:v>1.65</x:v>
      </x:c>
      <x:c r="I22" s="174">
        <x:f t="shared" si="4"/>
        <x:v>1.6</x:v>
      </x:c>
      <x:c r="J22" s="173">
        <x:f t="shared" si="4"/>
        <x:v>16.850000000000001</x:v>
      </x:c>
      <x:c r="K22" s="174">
        <x:f t="shared" si="4"/>
        <x:v>14</x:v>
      </x:c>
      <x:c r="L22" s="174">
        <x:f t="shared" si="4"/>
        <x:v>11.86</x:v>
      </x:c>
    </x:row>
    <x:row r="23">
      <x:c r="C23" s="166" t="s">
        <x:v>226</x:v>
      </x:c>
      <x:c r="D23" s="175" t="n">
        <x:f>AVERAGE(D$16:D$20)</x:f>
        <x:v>24.944</x:v>
      </x:c>
      <x:c r="E23" s="174" t="n">
        <x:f t="shared" ref="E23:L23" si="5">AVERAGE(E$16:E$20)</x:f>
        <x:v>18.080000000000002</x:v>
      </x:c>
      <x:c r="F23" s="174">
        <x:f t="shared" si="5"/>
        <x:v>15.475999999999999</x:v>
      </x:c>
      <x:c r="G23" s="174">
        <x:f t="shared" si="5"/>
        <x:v>1.016</x:v>
      </x:c>
      <x:c r="H23" s="174">
        <x:f t="shared" si="5"/>
        <x:v>0.93800000000000006</x:v>
      </x:c>
      <x:c r="I23" s="174">
        <x:f t="shared" si="5"/>
        <x:v>0.90400000000000014</x:v>
      </x:c>
      <x:c r="J23" s="175">
        <x:f t="shared" si="5"/>
        <x:v>9.4039999999999999</x:v>
      </x:c>
      <x:c r="K23" s="174">
        <x:f t="shared" si="5"/>
        <x:v>9.0960000000000001</x:v>
      </x:c>
      <x:c r="L23" s="174">
        <x:f t="shared" si="5"/>
        <x:v>8.26</x:v>
      </x:c>
    </x:row>
    <x:row r="24">
      <x:c r="C24" s="167" t="s">
        <x:v>227</x:v>
      </x:c>
      <x:c r="D24" s="173" t="n">
        <x:f>MEDIAN(D$16:D$20)</x:f>
        <x:v>23.6</x:v>
      </x:c>
      <x:c r="E24" s="174" t="n">
        <x:f t="shared" ref="E24:L24" si="6">MEDIAN(E$16:E$20)</x:f>
        <x:v>19.11</x:v>
      </x:c>
      <x:c r="F24" s="174">
        <x:f t="shared" si="6"/>
        <x:v>16.399999999999999</x:v>
      </x:c>
      <x:c r="G24" s="174">
        <x:f t="shared" si="6"/>
        <x:v>0.95</x:v>
      </x:c>
      <x:c r="H24" s="174">
        <x:f t="shared" si="6"/>
        <x:v>0.92</x:v>
      </x:c>
      <x:c r="I24" s="174">
        <x:f t="shared" si="6"/>
        <x:v>0.89</x:v>
      </x:c>
      <x:c r="J24" s="173">
        <x:f t="shared" si="6"/>
        <x:v>7.19</x:v>
      </x:c>
      <x:c r="K24" s="174">
        <x:f t="shared" si="6"/>
        <x:v>9.11</x:v>
      </x:c>
      <x:c r="L24" s="174">
        <x:f t="shared" si="6"/>
        <x:v>8.34</x:v>
      </x:c>
    </x:row>
    <x:row r="25">
      <x:c r="C25" s="167" t="s">
        <x:v>228</x:v>
      </x:c>
      <x:c r="D25" s="173" t="n">
        <x:f>MIN(D$16:D$20)</x:f>
        <x:v>8.48</x:v>
      </x:c>
      <x:c r="E25" s="174" t="n">
        <x:f t="shared" ref="E25:L25" si="7">MIN(E$16:E$20)</x:f>
        <x:v>8.57</x:v>
      </x:c>
      <x:c r="F25" s="174">
        <x:f t="shared" si="7"/>
        <x:v>8.17</x:v>
      </x:c>
      <x:c r="G25" s="174">
        <x:f t="shared" si="7"/>
        <x:v>0.34</x:v>
      </x:c>
      <x:c r="H25" s="174">
        <x:f t="shared" si="7"/>
        <x:v>0.33</x:v>
      </x:c>
      <x:c r="I25" s="174">
        <x:f t="shared" si="7"/>
        <x:v>0.31</x:v>
      </x:c>
      <x:c r="J25" s="173">
        <x:f t="shared" si="7"/>
        <x:v>4.46</x:v>
      </x:c>
      <x:c r="K25" s="174">
        <x:f t="shared" si="7"/>
        <x:v>4.3899999999999997</x:v>
      </x:c>
      <x:c r="L25" s="174">
        <x:f t="shared" si="7"/>
        <x:v>4.24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.949999809265137"/>
  <x:cols>
    <x:col min="1" max="1" width="4.5" customWidth="1"/>
    <x:col min="2" max="2" width="21.875" customWidth="1"/>
    <x:col min="3" max="3" width="14.75" customWidth="1"/>
    <x:col min="4" max="4" width="12.375" customWidth="1"/>
    <x:col min="5" max="5" width="11.625" customWidth="1"/>
  </x:cols>
  <x:sheetData>
    <x:row r="1">
      <x:c r="B1" s="140" t="s">
        <x:v>245</x:v>
      </x:c>
    </x:row>
    <x:row r="3">
      <x:c r="C3" s="79" t="s">
        <x:v>209</x:v>
      </x:c>
      <x:c r="D3" s="79" t="s">
        <x:v>229</x:v>
      </x:c>
      <x:c r="E3" s="11" t="s">
        <x:v>246</x:v>
      </x:c>
    </x:row>
    <x:row r="4">
      <x:c r="B4" t="s">
        <x:v>247</x:v>
      </x:c>
      <x:c r="C4" s="155" t="e">
        <x:f>AVERAGE([1]Sheet1!$E$5:$E$7)</x:f>
      </x:c>
      <x:c r="D4" s="155" t="e">
        <x:f>AVERAGE([1]Sheet1!$E$16:$E$20)</x:f>
      </x:c>
      <x:c r="E4" t="e">
        <x:f>[1]Sheet1!$E$3</x:f>
      </x:c>
    </x:row>
    <x:row r="5">
      <x:c r="B5" t="s">
        <x:v>248</x:v>
      </x:c>
      <x:c r="C5" s="155" t="e">
        <x:f>AVERAGE([1]Sheet1!$F$5:$F$7)</x:f>
      </x:c>
      <x:c r="D5" s="155" t="e">
        <x:f>AVERAGE([1]Sheet1!$F$16:$F$20)</x:f>
      </x:c>
      <x:c r="E5" t="e">
        <x:f>[1]Sheet1!$F$3</x:f>
      </x:c>
    </x:row>
    <x:row r="6">
      <x:c r="C6" s="155"/>
      <x:c r="D6" s="155"/>
    </x:row>
    <x:row r="7">
      <x:c r="B7" t="s">
        <x:v>249</x:v>
      </x:c>
      <x:c r="C7" s="155" t="e">
        <x:f>AVERAGE([1]Sheet1!$K$5:$K$7)</x:f>
      </x:c>
      <x:c r="D7" s="155" t="e">
        <x:f>AVERAGE([1]Sheet1!$K$16:$K$20)</x:f>
      </x:c>
    </x:row>
    <x:row r="8">
      <x:c r="B8" t="s">
        <x:v>250</x:v>
      </x:c>
      <x:c r="C8" s="155" t="e">
        <x:f>AVERAGE([1]Sheet1!$L$5:$L$7)</x:f>
      </x:c>
      <x:c r="D8" s="155" t="e">
        <x:f>AVERAGE([1]Sheet1!$L$16:$L$20)</x:f>
      </x:c>
    </x:row>
    <x:row r="9">
      <x:c r="C9" s="155"/>
      <x:c r="D9" s="155"/>
    </x:row>
    <x:row r="10">
      <x:c r="B10" t="s">
        <x:v>251</x:v>
      </x:c>
      <x:c r="C10" s="155" t="n">
        <x:f>AVERAGE(Comps!H3,Comps!H5:H6)</x:f>
        <x:v>0.45999999999999996</x:v>
      </x:c>
      <x:c r="D10" s="155" t="n">
        <x:f>AVERAGE(Comps!H16, Comps!H18:H20)</x:f>
        <x:v>0.76</x:v>
      </x:c>
      <x:c r="E10">
        <x:v>0.33</x:v>
      </x:c>
    </x:row>
    <x:row r="11">
      <x:c r="B11" t="s">
        <x:v>252</x:v>
      </x:c>
      <x:c r="C11" t="n">
        <x:f>AVERAGE(Comps!I3,Comps!I5:I6)</x:f>
        <x:v>0.42</x:v>
      </x:c>
      <x:c r="D11" t="n">
        <x:f>AVERAGE(Comps!I16,Comps!I18:I20)</x:f>
        <x:v>0.73</x:v>
      </x:c>
      <x:c r="E11" t="n">
        <x:f>Comps!I3</x:f>
        <x:v>0.28</x:v>
      </x:c>
    </x:row>
    <x:row r="13">
      <x:c r="B13" s="140" t="s">
        <x:v>253</x:v>
      </x:c>
    </x:row>
    <x:row r="14">
      <x:c r="B14" t="s">
        <x:v>254</x:v>
      </x:c>
      <x:c r="C14" s="178">
        <x:v>70</x:v>
      </x:c>
    </x:row>
    <x:row r="15">
      <x:c r="B15" s="156" t="s">
        <x:v>255</x:v>
      </x:c>
      <x:c r="C15" s="159">
        <x:v>0.05</x:v>
      </x:c>
    </x:row>
    <x:row r="16">
      <x:c r="B16" t="s">
        <x:v>256</x:v>
      </x:c>
      <x:c r="C16" s="157" t="n">
        <x:f>C14*(1+C15)</x:f>
        <x:v>73.5</x:v>
      </x:c>
    </x:row>
    <x:row r="17">
      <x:c r="B17" t="s">
        <x:v>257</x:v>
      </x:c>
      <x:c r="C17" s="157" t="n">
        <x:f>C16*(1+C15)</x:f>
        <x:v>77.175</x:v>
      </x:c>
    </x:row>
    <x:row r="18">
      <x:c r="C18" s="157"/>
    </x:row>
    <x:row r="19">
      <x:c r="B19" t="s">
        <x:v>258</x:v>
      </x:c>
      <x:c r="C19" s="178">
        <x:v>147</x:v>
      </x:c>
    </x:row>
    <x:row r="20">
      <x:c r="B20" s="156" t="s">
        <x:v>255</x:v>
      </x:c>
      <x:c r="C20" s="159" t="n">
        <x:f>C15</x:f>
        <x:v>0.05</x:v>
      </x:c>
    </x:row>
    <x:row r="21">
      <x:c r="B21" s="179" t="s">
        <x:v>259</x:v>
      </x:c>
      <x:c r="C21" s="180" t="n">
        <x:f>C19*(1+C20)</x:f>
        <x:v>154.35</x:v>
      </x:c>
    </x:row>
    <x:row r="22">
      <x:c r="B22" t="s">
        <x:v>260</x:v>
      </x:c>
      <x:c r="C22" s="157" t="n">
        <x:f>C21*(1+C20)</x:f>
        <x:v>162.0675</x:v>
      </x:c>
    </x:row>
    <x:row r="24">
      <x:c r="B24" t="s">
        <x:v>261</x:v>
      </x:c>
      <x:c r="C24" s="148">
        <x:v>6050.9</x:v>
      </x:c>
    </x:row>
    <x:row r="25">
      <x:c r="B25" t="s">
        <x:v>262</x:v>
      </x:c>
      <x:c r="C25" s="145" t="n">
        <x:f>C24*(1+C15)</x:f>
        <x:v>6353.445</x:v>
      </x:c>
    </x:row>
    <x:row r="26">
      <x:c r="B26" t="s">
        <x:v>263</x:v>
      </x:c>
      <x:c r="C26" s="145" t="n">
        <x:f>C25*(1+C15)</x:f>
        <x:v>6671.11725</x:v>
      </x:c>
    </x:row>
    <x:row r="28">
      <x:c r="B28" s="11" t="s">
        <x:v>264</x:v>
      </x:c>
    </x:row>
    <x:row r="29">
      <x:c r="C29" s="79" t="s">
        <x:v>209</x:v>
      </x:c>
      <x:c r="D29" s="79" t="s">
        <x:v>229</x:v>
      </x:c>
      <x:c r="E29" s="79" t="s">
        <x:v>246</x:v>
      </x:c>
    </x:row>
    <x:row r="30">
      <x:c r="B30" t="s">
        <x:v>265</x:v>
      </x:c>
      <x:c r="C30" s="143" t="e">
        <x:f>C16*C4</x:f>
      </x:c>
      <x:c r="D30" s="143" t="e">
        <x:f>C16*D4</x:f>
      </x:c>
      <x:c r="E30" s="143" t="e">
        <x:f>E4*C16</x:f>
      </x:c>
    </x:row>
    <x:row r="31">
      <x:c r="B31" t="s">
        <x:v>266</x:v>
      </x:c>
      <x:c r="C31" s="143" t="e">
        <x:f>C17*C5</x:f>
      </x:c>
      <x:c r="D31" s="143" t="e">
        <x:f>C17*D5</x:f>
      </x:c>
      <x:c r="E31" s="143" t="e">
        <x:f>E5*C17</x:f>
      </x:c>
    </x:row>
    <x:row r="33">
      <x:c r="B33" s="140" t="s">
        <x:v>267</x:v>
      </x:c>
    </x:row>
    <x:row r="34">
      <x:c r="B34" t="s">
        <x:v>268</x:v>
      </x:c>
      <x:c r="C34" s="143" t="e">
        <x:f>C21*C7</x:f>
      </x:c>
      <x:c r="D34" s="143" t="e">
        <x:f>C21*D7</x:f>
      </x:c>
    </x:row>
    <x:row r="35">
      <x:c r="B35" t="s">
        <x:v>269</x:v>
      </x:c>
      <x:c r="C35" s="143" t="e">
        <x:f>C22*C8</x:f>
      </x:c>
      <x:c r="D35" s="143" t="e">
        <x:f>C22*D8</x:f>
      </x:c>
    </x:row>
    <x:row r="37">
      <x:c r="B37" s="182" t="s">
        <x:v>270</x:v>
      </x:c>
      <x:c r="C37" s="182">
        <x:v>136</x:v>
      </x:c>
    </x:row>
    <x:row r="39">
      <x:c r="B39" t="s">
        <x:v>271</x:v>
      </x:c>
      <x:c r="C39" s="158" t="e">
        <x:f>C34+C37</x:f>
      </x:c>
      <x:c r="D39" s="158" t="e">
        <x:f>D34+C37</x:f>
      </x:c>
    </x:row>
    <x:row r="40">
      <x:c r="C40" s="158" t="e">
        <x:f>C35+C37</x:f>
      </x:c>
      <x:c r="D40" s="158" t="e">
        <x:f>D35+C37</x:f>
      </x:c>
    </x:row>
    <x:row r="43">
      <x:c r="B43" t="s">
        <x:v>272</x:v>
      </x:c>
      <x:c r="C43" s="158" t="n">
        <x:f>C25*C10</x:f>
        <x:v>2922.5846999999994</x:v>
      </x:c>
      <x:c r="D43" s="158" t="n">
        <x:f>C25*D10</x:f>
        <x:v>4828.6182</x:v>
      </x:c>
      <x:c r="E43" s="158" t="n">
        <x:f>C25*E10</x:f>
        <x:v>2096.63685</x:v>
      </x:c>
    </x:row>
    <x:row r="44">
      <x:c r="B44" t="s">
        <x:v>273</x:v>
      </x:c>
      <x:c r="C44" s="158" t="n">
        <x:f>C11*C26</x:f>
        <x:v>2801.869245</x:v>
      </x:c>
      <x:c r="D44" s="158" t="n">
        <x:f>C26*D11</x:f>
        <x:v>4869.9155925000005</x:v>
      </x:c>
      <x:c r="E44" s="158" t="n">
        <x:f>C26*E11</x:f>
        <x:v>1867.9128300000002</x:v>
      </x:c>
    </x:row>
    <x:row r="46">
      <x:c r="B46" t="s">
        <x:v>271</x:v>
      </x:c>
      <x:c r="C46" s="158" t="n">
        <x:f>C43+$C$37</x:f>
        <x:v>3058.5846999999994</x:v>
      </x:c>
      <x:c r="D46" s="158" t="n">
        <x:f t="shared" ref="D46:E46" si="0">D43+$C$37</x:f>
        <x:v>4964.6182</x:v>
      </x:c>
      <x:c r="E46" s="158">
        <x:f t="shared" si="0"/>
        <x:v>2232.6368499999999</x:v>
      </x:c>
    </x:row>
    <x:row r="47">
      <x:c r="C47" s="158" t="n">
        <x:f>C44+$C$37</x:f>
        <x:v>2937.869245</x:v>
      </x:c>
      <x:c r="D47" s="158" t="n">
        <x:f t="shared" ref="D47:E47" si="1">D44+$C$37</x:f>
        <x:v>5005.9155925000005</x:v>
      </x:c>
      <x:c r="E47" s="158">
        <x:f t="shared" si="1"/>
        <x:v>2003.9128300000002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5" hidden="0" customWidth="1"/>
    <x:col min="3" max="3" width="15" hidden="0" customWidth="1"/>
    <x:col min="4" max="4" width="44" hidden="0" customWidth="1"/>
    <x:col min="5" max="5" width="4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  <x:col min="20" max="20" width="6" hidden="0" customWidth="1"/>
    <x:col min="21" max="21" width="6" hidden="0" customWidth="1"/>
    <x:col min="22" max="22" width="6" hidden="0" customWidth="1"/>
  </x:cols>
  <x:sheetData>
    <x:row r="1" ht="28" customHeight="1">
      <x:c r="A1" s="549" t="str">
        <x:v>Equity Valuation Football Field</x:v>
      </x:c>
      <x:c r="B1" s="549"/>
      <x:c r="C1" s="549"/>
      <x:c r="D1" s="549"/>
      <x:c r="E1" s="601"/>
      <x:c r="F1" s="601"/>
      <x:c r="G1" s="601"/>
      <x:c r="H1" s="601"/>
      <x:c r="I1" s="601"/>
      <x:c r="J1" s="601"/>
      <x:c r="K1" s="601"/>
      <x:c r="L1" s="601"/>
      <x:c r="M1" s="601"/>
      <x:c r="N1" s="601"/>
      <x:c r="O1" s="601"/>
      <x:c r="P1" s="601"/>
      <x:c r="Q1" s="601"/>
      <x:c r="R1" s="601"/>
      <x:c r="S1" s="601"/>
      <x:c r="T1" s="601"/>
      <x:c r="U1" s="601"/>
      <x:c r="V1" s="601"/>
    </x:row>
    <x:row r="2">
      <x:c r="A2" s="602" t="str">
        <x:v>US$bn unless otherwise stated; multiples range compared with Jennifer's DCF output</x:v>
      </x:c>
      <x:c r="B2" s="602"/>
      <x:c r="C2" s="602"/>
      <x:c r="D2" s="602"/>
      <x:c r="E2" s="601"/>
      <x:c r="F2" s="601"/>
      <x:c r="G2" s="601"/>
      <x:c r="H2" s="601"/>
      <x:c r="I2" s="601"/>
      <x:c r="J2" s="601"/>
      <x:c r="K2" s="601"/>
      <x:c r="L2" s="601"/>
      <x:c r="M2" s="601"/>
      <x:c r="N2" s="601"/>
      <x:c r="O2" s="601"/>
      <x:c r="P2" s="601"/>
      <x:c r="Q2" s="601"/>
      <x:c r="R2" s="601"/>
      <x:c r="S2" s="601"/>
      <x:c r="T2" s="601"/>
      <x:c r="U2" s="601"/>
      <x:c r="V2" s="601"/>
    </x:row>
    <x:row r="3">
      <x:c r="A3" s="601"/>
      <x:c r="B3" s="601"/>
      <x:c r="C3" s="601"/>
      <x:c r="D3" s="601"/>
      <x:c r="E3" s="601"/>
      <x:c r="F3" s="601"/>
      <x:c r="G3" s="601"/>
      <x:c r="H3" s="601"/>
      <x:c r="I3" s="601"/>
      <x:c r="J3" s="601"/>
      <x:c r="K3" s="601"/>
      <x:c r="L3" s="601"/>
      <x:c r="M3" s="601"/>
      <x:c r="N3" s="601"/>
      <x:c r="O3" s="601"/>
      <x:c r="P3" s="601"/>
      <x:c r="Q3" s="601"/>
      <x:c r="R3" s="601"/>
      <x:c r="S3" s="601"/>
      <x:c r="T3" s="601"/>
      <x:c r="U3" s="601"/>
      <x:c r="V3" s="601"/>
    </x:row>
    <x:row r="4" ht="22" customHeight="1">
      <x:c r="A4" s="603" t="str">
        <x:v>Valuation Method</x:v>
      </x:c>
      <x:c r="B4" s="603" t="str">
        <x:v>Low / Point</x:v>
      </x:c>
      <x:c r="C4" s="603" t="str">
        <x:v>High</x:v>
      </x:c>
      <x:c r="D4" s="603" t="str">
        <x:v>Source / Formula</x:v>
      </x:c>
      <x:c r="E4" s="601"/>
      <x:c r="F4" s="601"/>
      <x:c r="G4" s="601"/>
      <x:c r="H4" s="601"/>
      <x:c r="I4" s="601"/>
      <x:c r="J4" s="601"/>
      <x:c r="K4" s="601"/>
      <x:c r="L4" s="601"/>
      <x:c r="M4" s="601"/>
      <x:c r="N4" s="601"/>
      <x:c r="O4" s="601"/>
      <x:c r="P4" s="601"/>
      <x:c r="Q4" s="601"/>
      <x:c r="R4" s="601"/>
      <x:c r="S4" s="601"/>
      <x:c r="T4" s="601"/>
      <x:c r="U4" s="601"/>
      <x:c r="V4" s="601"/>
    </x:row>
    <x:row r="5" ht="22" customHeight="1">
      <x:c r="A5" s="527" t="str">
        <x:v>DCF (Jennifer Excel)</x:v>
      </x:c>
      <x:c r="B5" s="553" t="n">
        <x:f>$B$15</x:f>
        <x:v>1.6892300351212575</x:v>
      </x:c>
      <x:c r="C5" s="553" t="n">
        <x:f>$B$15</x:f>
        <x:v>1.6892300351212575</x:v>
      </x:c>
      <x:c r="D5" s="527" t="str">
        <x:v>Links to DCF!B105 / 1,000,000</x:v>
      </x:c>
      <x:c r="E5" s="601"/>
      <x:c r="F5" s="601"/>
      <x:c r="G5" s="601"/>
      <x:c r="H5" s="601"/>
      <x:c r="I5" s="601"/>
      <x:c r="J5" s="601"/>
      <x:c r="K5" s="601"/>
      <x:c r="L5" s="601"/>
      <x:c r="M5" s="601"/>
      <x:c r="N5" s="601"/>
      <x:c r="O5" s="601"/>
      <x:c r="P5" s="601"/>
      <x:c r="Q5" s="601"/>
      <x:c r="R5" s="601"/>
      <x:c r="S5" s="601"/>
      <x:c r="T5" s="601"/>
      <x:c r="U5" s="601"/>
      <x:c r="V5" s="601"/>
    </x:row>
    <x:row r="6" ht="22" customHeight="1">
      <x:c r="A6" s="529" t="str">
        <x:v>P/E @ 50x FY2025 Net Profit</x:v>
      </x:c>
      <x:c r="B6" s="554" t="n">
        <x:f>$B$12*$B$13/1000</x:f>
        <x:v>3.5</x:v>
      </x:c>
      <x:c r="C6" s="554" t="n">
        <x:f>$B$12*$B$13/1000</x:f>
        <x:v>3.5</x:v>
      </x:c>
      <x:c r="D6" s="529" t="str">
        <x:v>50.0x × FY2025 net profit of US$70m</x:v>
      </x:c>
      <x:c r="E6" s="601"/>
      <x:c r="F6" s="601"/>
      <x:c r="G6" s="601"/>
      <x:c r="H6" s="601"/>
      <x:c r="I6" s="601"/>
      <x:c r="J6" s="601"/>
      <x:c r="K6" s="601"/>
      <x:c r="L6" s="601"/>
      <x:c r="M6" s="601"/>
      <x:c r="N6" s="601"/>
      <x:c r="O6" s="601"/>
      <x:c r="P6" s="601"/>
      <x:c r="Q6" s="601"/>
      <x:c r="R6" s="601"/>
      <x:c r="S6" s="601"/>
      <x:c r="T6" s="601"/>
      <x:c r="U6" s="601"/>
      <x:c r="V6" s="601"/>
    </x:row>
    <x:row r="7" ht="22" customHeight="1">
      <x:c r="A7" s="529" t="str">
        <x:v>P/S implied equity value</x:v>
      </x:c>
      <x:c r="B7" s="554" t="n">
        <x:f>$B$14</x:f>
        <x:v>7.2</x:v>
      </x:c>
      <x:c r="C7" s="554" t="n">
        <x:f>$B$14</x:f>
        <x:v>7.2</x:v>
      </x:c>
      <x:c r="D7" s="529" t="str">
        <x:v>User-provided P/S-implied equity value</x:v>
      </x:c>
      <x:c r="E7" s="601"/>
      <x:c r="F7" s="601"/>
      <x:c r="G7" s="601"/>
      <x:c r="H7" s="601"/>
      <x:c r="I7" s="601"/>
      <x:c r="J7" s="601"/>
      <x:c r="K7" s="601"/>
      <x:c r="L7" s="601"/>
      <x:c r="M7" s="601"/>
      <x:c r="N7" s="601"/>
      <x:c r="O7" s="601"/>
      <x:c r="P7" s="601"/>
      <x:c r="Q7" s="601"/>
      <x:c r="R7" s="601"/>
      <x:c r="S7" s="601"/>
      <x:c r="T7" s="601"/>
      <x:c r="U7" s="601"/>
      <x:c r="V7" s="601"/>
    </x:row>
    <x:row r="8" ht="22" customHeight="1">
      <x:c r="A8" s="555" t="str">
        <x:v>Client Football Field Range</x:v>
      </x:c>
      <x:c r="B8" s="556" t="n">
        <x:f>$B$6</x:f>
        <x:v>3.5</x:v>
      </x:c>
      <x:c r="C8" s="556" t="n">
        <x:f>$B$7</x:f>
        <x:v>7.2</x:v>
      </x:c>
      <x:c r="D8" s="555" t="str">
        <x:v>Low = P/E; High = P/S</x:v>
      </x:c>
      <x:c r="E8" s="601"/>
      <x:c r="F8" s="601"/>
      <x:c r="G8" s="601"/>
      <x:c r="H8" s="601"/>
      <x:c r="I8" s="601"/>
      <x:c r="J8" s="601"/>
      <x:c r="K8" s="601"/>
      <x:c r="L8" s="601"/>
      <x:c r="M8" s="601"/>
      <x:c r="N8" s="601"/>
      <x:c r="O8" s="601"/>
      <x:c r="P8" s="601"/>
      <x:c r="Q8" s="601"/>
      <x:c r="R8" s="601"/>
      <x:c r="S8" s="601"/>
      <x:c r="T8" s="601"/>
      <x:c r="U8" s="601"/>
      <x:c r="V8" s="601"/>
    </x:row>
    <x:row r="9">
      <x:c r="A9" s="601"/>
      <x:c r="B9" s="601"/>
      <x:c r="C9" s="601"/>
      <x:c r="D9" s="601"/>
      <x:c r="E9" s="601"/>
      <x:c r="F9" s="601"/>
      <x:c r="G9" s="601"/>
      <x:c r="H9" s="601"/>
      <x:c r="I9" s="601"/>
      <x:c r="J9" s="601"/>
      <x:c r="K9" s="601"/>
      <x:c r="L9" s="601"/>
      <x:c r="M9" s="601"/>
      <x:c r="N9" s="601"/>
      <x:c r="O9" s="601"/>
      <x:c r="P9" s="601"/>
      <x:c r="Q9" s="601"/>
      <x:c r="R9" s="601"/>
      <x:c r="S9" s="601"/>
      <x:c r="T9" s="601"/>
      <x:c r="U9" s="601"/>
      <x:c r="V9" s="601"/>
    </x:row>
    <x:row r="10">
      <x:c r="A10" s="601"/>
      <x:c r="B10" s="601"/>
      <x:c r="C10" s="601"/>
      <x:c r="D10" s="601"/>
      <x:c r="E10" s="601"/>
      <x:c r="F10" s="601"/>
      <x:c r="G10" s="601"/>
      <x:c r="H10" s="601"/>
      <x:c r="I10" s="601"/>
      <x:c r="J10" s="601"/>
      <x:c r="K10" s="601"/>
      <x:c r="L10" s="601"/>
      <x:c r="M10" s="601"/>
      <x:c r="N10" s="601"/>
      <x:c r="O10" s="601"/>
      <x:c r="P10" s="601"/>
      <x:c r="Q10" s="601"/>
      <x:c r="R10" s="601"/>
      <x:c r="S10" s="601"/>
      <x:c r="T10" s="601"/>
      <x:c r="U10" s="601"/>
      <x:c r="V10" s="601"/>
    </x:row>
    <x:row r="11">
      <x:c r="A11" s="549" t="str">
        <x:v>Inputs / Bridge</x:v>
      </x:c>
      <x:c r="B11" s="549"/>
      <x:c r="C11" s="549"/>
      <x:c r="D11" s="549"/>
      <x:c r="E11" s="601"/>
      <x:c r="F11" s="601"/>
      <x:c r="G11" s="601"/>
      <x:c r="H11" s="601"/>
      <x:c r="I11" s="601"/>
      <x:c r="J11" s="601"/>
      <x:c r="K11" s="601"/>
      <x:c r="L11" s="601"/>
      <x:c r="M11" s="601"/>
      <x:c r="N11" s="601"/>
      <x:c r="O11" s="601"/>
      <x:c r="P11" s="601"/>
      <x:c r="Q11" s="601"/>
      <x:c r="R11" s="601"/>
      <x:c r="S11" s="601"/>
      <x:c r="T11" s="601"/>
      <x:c r="U11" s="601"/>
      <x:c r="V11" s="601"/>
    </x:row>
    <x:row r="12" ht="22" customHeight="1">
      <x:c r="A12" s="527" t="str">
        <x:v>FY2025 Net Profit (US$m)</x:v>
      </x:c>
      <x:c r="B12" s="558" t="n">
        <x:v>70</x:v>
      </x:c>
      <x:c r="C12" s="601"/>
      <x:c r="D12" s="601"/>
      <x:c r="E12" s="601"/>
      <x:c r="F12" s="601"/>
      <x:c r="G12" s="601"/>
      <x:c r="H12" s="601"/>
      <x:c r="I12" s="601"/>
      <x:c r="J12" s="601"/>
      <x:c r="K12" s="601"/>
      <x:c r="L12" s="601"/>
      <x:c r="M12" s="601"/>
      <x:c r="N12" s="601"/>
      <x:c r="O12" s="601"/>
      <x:c r="P12" s="601"/>
      <x:c r="Q12" s="601"/>
      <x:c r="R12" s="601"/>
      <x:c r="S12" s="601"/>
      <x:c r="T12" s="601"/>
      <x:c r="U12" s="601"/>
      <x:c r="V12" s="601"/>
    </x:row>
    <x:row r="13" ht="22" customHeight="1">
      <x:c r="A13" s="529" t="str">
        <x:v>P/E Multiple (x)</x:v>
      </x:c>
      <x:c r="B13" s="559" t="n">
        <x:v>50</x:v>
      </x:c>
      <x:c r="C13" s="601"/>
      <x:c r="D13" s="601"/>
      <x:c r="E13" s="601"/>
      <x:c r="F13" s="601"/>
      <x:c r="G13" s="601"/>
      <x:c r="H13" s="601"/>
      <x:c r="I13" s="601"/>
      <x:c r="J13" s="601"/>
      <x:c r="K13" s="601"/>
      <x:c r="L13" s="601"/>
      <x:c r="M13" s="601"/>
      <x:c r="N13" s="601"/>
      <x:c r="O13" s="601"/>
      <x:c r="P13" s="601"/>
      <x:c r="Q13" s="601"/>
      <x:c r="R13" s="601"/>
      <x:c r="S13" s="601"/>
      <x:c r="T13" s="601"/>
      <x:c r="U13" s="601"/>
      <x:c r="V13" s="601"/>
    </x:row>
    <x:row r="14" ht="22" customHeight="1">
      <x:c r="A14" s="529" t="str">
        <x:v>P/S Equity Value (US$bn)</x:v>
      </x:c>
      <x:c r="B14" s="560" t="n">
        <x:v>7.2</x:v>
      </x:c>
      <x:c r="C14" s="601"/>
      <x:c r="D14" s="601"/>
      <x:c r="E14" s="601"/>
      <x:c r="F14" s="601"/>
      <x:c r="G14" s="601"/>
      <x:c r="H14" s="601"/>
      <x:c r="I14" s="601"/>
      <x:c r="J14" s="601"/>
      <x:c r="K14" s="601"/>
      <x:c r="L14" s="601"/>
      <x:c r="M14" s="601"/>
      <x:c r="N14" s="601"/>
      <x:c r="O14" s="601"/>
      <x:c r="P14" s="601"/>
      <x:c r="Q14" s="601"/>
      <x:c r="R14" s="601"/>
      <x:c r="S14" s="601"/>
      <x:c r="T14" s="601"/>
      <x:c r="U14" s="601"/>
      <x:c r="V14" s="601"/>
    </x:row>
    <x:row r="15" ht="22" customHeight="1">
      <x:c r="A15" s="529" t="str">
        <x:v>DCF Equity Value (US$bn)</x:v>
      </x:c>
      <x:c r="B15" s="561" t="n">
        <x:f>'DCF'!B105/1000000</x:f>
        <x:v>1.6892300351212575</x:v>
      </x:c>
      <x:c r="C15" s="601"/>
      <x:c r="D15" s="601"/>
      <x:c r="E15" s="601"/>
      <x:c r="F15" s="601"/>
      <x:c r="G15" s="601"/>
      <x:c r="H15" s="601"/>
      <x:c r="I15" s="601"/>
      <x:c r="J15" s="601"/>
      <x:c r="K15" s="601"/>
      <x:c r="L15" s="601"/>
      <x:c r="M15" s="601"/>
      <x:c r="N15" s="601"/>
      <x:c r="O15" s="601"/>
      <x:c r="P15" s="601"/>
      <x:c r="Q15" s="601"/>
      <x:c r="R15" s="601"/>
      <x:c r="S15" s="601"/>
      <x:c r="T15" s="601"/>
      <x:c r="U15" s="601"/>
      <x:c r="V15" s="601"/>
    </x:row>
    <x:row r="16" ht="22" customHeight="1">
      <x:c r="A16" s="531" t="str">
        <x:v>DCF Discount to Client Range Midpoint</x:v>
      </x:c>
      <x:c r="B16" s="562" t="n">
        <x:f>$B$15/(($B$6+$B$7)/2)-1</x:f>
        <x:v>-0.6842560682016341</x:v>
      </x:c>
      <x:c r="C16" s="601"/>
      <x:c r="D16" s="601"/>
      <x:c r="E16" s="601"/>
      <x:c r="F16" s="601"/>
      <x:c r="G16" s="601"/>
      <x:c r="H16" s="601"/>
      <x:c r="I16" s="601"/>
      <x:c r="J16" s="601"/>
      <x:c r="K16" s="601"/>
      <x:c r="L16" s="601"/>
      <x:c r="M16" s="601"/>
      <x:c r="N16" s="601"/>
      <x:c r="O16" s="601"/>
      <x:c r="P16" s="601"/>
      <x:c r="Q16" s="601"/>
      <x:c r="R16" s="601"/>
      <x:c r="S16" s="601"/>
      <x:c r="T16" s="601"/>
      <x:c r="U16" s="601"/>
      <x:c r="V16" s="601"/>
    </x:row>
    <x:row r="17">
      <x:c r="A17" s="601"/>
      <x:c r="B17" s="601"/>
      <x:c r="C17" s="601"/>
      <x:c r="D17" s="601"/>
      <x:c r="E17" s="601"/>
      <x:c r="F17" s="601"/>
      <x:c r="G17" s="601"/>
      <x:c r="H17" s="601"/>
      <x:c r="I17" s="601"/>
      <x:c r="J17" s="601"/>
      <x:c r="K17" s="601"/>
      <x:c r="L17" s="601"/>
      <x:c r="M17" s="601"/>
      <x:c r="N17" s="601"/>
      <x:c r="O17" s="601"/>
      <x:c r="P17" s="601"/>
      <x:c r="Q17" s="601"/>
      <x:c r="R17" s="601"/>
      <x:c r="S17" s="601"/>
      <x:c r="T17" s="601"/>
      <x:c r="U17" s="601"/>
      <x:c r="V17" s="601"/>
    </x:row>
    <x:row r="18">
      <x:c r="A18" s="601"/>
      <x:c r="B18" s="601"/>
      <x:c r="C18" s="601"/>
      <x:c r="D18" s="601"/>
      <x:c r="E18" s="601"/>
      <x:c r="F18" s="601"/>
      <x:c r="G18" s="601"/>
      <x:c r="H18" s="601"/>
      <x:c r="I18" s="601"/>
      <x:c r="J18" s="601"/>
      <x:c r="K18" s="601"/>
      <x:c r="L18" s="601"/>
      <x:c r="M18" s="601"/>
      <x:c r="N18" s="601"/>
      <x:c r="O18" s="601"/>
      <x:c r="P18" s="601"/>
      <x:c r="Q18" s="601"/>
      <x:c r="R18" s="601"/>
      <x:c r="S18" s="601"/>
      <x:c r="T18" s="601"/>
      <x:c r="U18" s="601"/>
      <x:c r="V18" s="601"/>
    </x:row>
    <x:row r="19">
      <x:c r="A19" s="549" t="str">
        <x:v>Formula-driven football field grid (US$bn)</x:v>
      </x:c>
      <x:c r="B19" s="549"/>
      <x:c r="C19" s="549"/>
      <x:c r="D19" s="549"/>
      <x:c r="E19" s="549"/>
      <x:c r="F19" s="549"/>
      <x:c r="G19" s="549"/>
      <x:c r="H19" s="549"/>
      <x:c r="I19" s="549"/>
      <x:c r="J19" s="549"/>
      <x:c r="K19" s="549"/>
      <x:c r="L19" s="549"/>
      <x:c r="M19" s="549"/>
      <x:c r="N19" s="549"/>
      <x:c r="O19" s="549"/>
      <x:c r="P19" s="549"/>
      <x:c r="Q19" s="549"/>
      <x:c r="R19" s="549"/>
      <x:c r="S19" s="549"/>
      <x:c r="T19" s="549"/>
      <x:c r="U19" s="549"/>
      <x:c r="V19" s="549"/>
    </x:row>
    <x:row r="20">
      <x:c r="A20" s="601"/>
      <x:c r="B20" s="601"/>
      <x:c r="C20" s="601"/>
      <x:c r="D20" s="601"/>
      <x:c r="E20" s="601"/>
      <x:c r="F20" s="604" t="n">
        <x:v>0</x:v>
      </x:c>
      <x:c r="G20" s="604" t="n">
        <x:v>0.5</x:v>
      </x:c>
      <x:c r="H20" s="604" t="n">
        <x:v>1</x:v>
      </x:c>
      <x:c r="I20" s="604" t="n">
        <x:v>1.5</x:v>
      </x:c>
      <x:c r="J20" s="604" t="n">
        <x:v>2</x:v>
      </x:c>
      <x:c r="K20" s="604" t="n">
        <x:v>2.5</x:v>
      </x:c>
      <x:c r="L20" s="604" t="n">
        <x:v>3</x:v>
      </x:c>
      <x:c r="M20" s="604" t="n">
        <x:v>3.5</x:v>
      </x:c>
      <x:c r="N20" s="604" t="n">
        <x:v>4</x:v>
      </x:c>
      <x:c r="O20" s="604" t="n">
        <x:v>4.5</x:v>
      </x:c>
      <x:c r="P20" s="604" t="n">
        <x:v>5</x:v>
      </x:c>
      <x:c r="Q20" s="604" t="n">
        <x:v>5.5</x:v>
      </x:c>
      <x:c r="R20" s="604" t="n">
        <x:v>6</x:v>
      </x:c>
      <x:c r="S20" s="604" t="n">
        <x:v>6.5</x:v>
      </x:c>
      <x:c r="T20" s="604" t="n">
        <x:v>7</x:v>
      </x:c>
      <x:c r="U20" s="604" t="n">
        <x:v>7.5</x:v>
      </x:c>
      <x:c r="V20" s="604" t="n">
        <x:v>8</x:v>
      </x:c>
    </x:row>
    <x:row r="21" ht="20" customHeight="1">
      <x:c r="A21" s="527" t="str">
        <x:v>DCF (Jennifer Excel)</x:v>
      </x:c>
      <x:c r="B21" s="553" t="n">
        <x:f>$B$15</x:f>
        <x:v>1.6892300351212575</x:v>
      </x:c>
      <x:c r="C21" s="553" t="n">
        <x:f>$B$15</x:f>
        <x:v>1.6892300351212575</x:v>
      </x:c>
      <x:c r="D21" s="527" t="str">
        <x:v>Point marker</x:v>
      </x:c>
      <x:c r="E21" s="601"/>
      <x:c r="F21" s="605" t="str"/>
      <x:c r="G21" s="606" t="str"/>
      <x:c r="H21" s="606" t="str"/>
      <x:c r="I21" s="606" t="str"/>
      <x:c r="J21" s="606" t="str"/>
      <x:c r="K21" s="606" t="str"/>
      <x:c r="L21" s="606" t="str"/>
      <x:c r="M21" s="606" t="str"/>
      <x:c r="N21" s="606" t="str"/>
      <x:c r="O21" s="606" t="str"/>
      <x:c r="P21" s="606" t="str"/>
      <x:c r="Q21" s="606" t="str"/>
      <x:c r="R21" s="606" t="str"/>
      <x:c r="S21" s="606" t="str"/>
      <x:c r="T21" s="606" t="str"/>
      <x:c r="U21" s="606" t="str"/>
      <x:c r="V21" s="607" t="str"/>
    </x:row>
    <x:row r="22" ht="20" customHeight="1">
      <x:c r="A22" s="529" t="str">
        <x:v>P/E @ 50x FY2025 Net Profit</x:v>
      </x:c>
      <x:c r="B22" s="554" t="n">
        <x:f>$B$12*$B$13/1000</x:f>
        <x:v>3.5</x:v>
      </x:c>
      <x:c r="C22" s="554" t="n">
        <x:f>$B$12*$B$13/1000</x:f>
        <x:v>3.5</x:v>
      </x:c>
      <x:c r="D22" s="529" t="str">
        <x:v>Point marker</x:v>
      </x:c>
      <x:c r="E22" s="601"/>
      <x:c r="F22" s="608" t="str"/>
      <x:c r="G22" s="609" t="str"/>
      <x:c r="H22" s="609" t="str"/>
      <x:c r="I22" s="609" t="str"/>
      <x:c r="J22" s="609" t="str"/>
      <x:c r="K22" s="609" t="str"/>
      <x:c r="L22" s="609" t="str"/>
      <x:c r="M22" s="609" t="str"/>
      <x:c r="N22" s="609" t="str"/>
      <x:c r="O22" s="609" t="str"/>
      <x:c r="P22" s="609" t="str"/>
      <x:c r="Q22" s="609" t="str"/>
      <x:c r="R22" s="609" t="str"/>
      <x:c r="S22" s="609" t="str"/>
      <x:c r="T22" s="609" t="str"/>
      <x:c r="U22" s="609" t="str"/>
      <x:c r="V22" s="610" t="str"/>
    </x:row>
    <x:row r="23" ht="20" customHeight="1">
      <x:c r="A23" s="529" t="str">
        <x:v>P/S implied equity value</x:v>
      </x:c>
      <x:c r="B23" s="554" t="n">
        <x:f>$B$14</x:f>
        <x:v>7.2</x:v>
      </x:c>
      <x:c r="C23" s="554" t="n">
        <x:f>$B$14</x:f>
        <x:v>7.2</x:v>
      </x:c>
      <x:c r="D23" s="529" t="str">
        <x:v>Point marker</x:v>
      </x:c>
      <x:c r="E23" s="601"/>
      <x:c r="F23" s="608" t="str"/>
      <x:c r="G23" s="609" t="str"/>
      <x:c r="H23" s="609" t="str"/>
      <x:c r="I23" s="609" t="str"/>
      <x:c r="J23" s="609" t="str"/>
      <x:c r="K23" s="609" t="str"/>
      <x:c r="L23" s="609" t="str"/>
      <x:c r="M23" s="609" t="str"/>
      <x:c r="N23" s="609" t="str"/>
      <x:c r="O23" s="609" t="str"/>
      <x:c r="P23" s="609" t="str"/>
      <x:c r="Q23" s="609" t="str"/>
      <x:c r="R23" s="609" t="str"/>
      <x:c r="S23" s="609" t="str"/>
      <x:c r="T23" s="609" t="str"/>
      <x:c r="U23" s="609" t="str"/>
      <x:c r="V23" s="610" t="str"/>
    </x:row>
    <x:row r="24" ht="20" customHeight="1">
      <x:c r="A24" s="531" t="str">
        <x:v>Client Football Field Range</x:v>
      </x:c>
      <x:c r="B24" s="570" t="n">
        <x:f>$B$6</x:f>
        <x:v>3.5</x:v>
      </x:c>
      <x:c r="C24" s="570" t="n">
        <x:f>$B$7</x:f>
        <x:v>7.2</x:v>
      </x:c>
      <x:c r="D24" s="531" t="str">
        <x:v>Range bar</x:v>
      </x:c>
      <x:c r="E24" s="601"/>
      <x:c r="F24" s="611" t="str"/>
      <x:c r="G24" s="612" t="str"/>
      <x:c r="H24" s="612" t="str"/>
      <x:c r="I24" s="612" t="str"/>
      <x:c r="J24" s="612" t="str"/>
      <x:c r="K24" s="612" t="str"/>
      <x:c r="L24" s="612" t="str"/>
      <x:c r="M24" s="612" t="str"/>
      <x:c r="N24" s="612" t="str"/>
      <x:c r="O24" s="612" t="str"/>
      <x:c r="P24" s="612" t="str"/>
      <x:c r="Q24" s="612" t="str"/>
      <x:c r="R24" s="612" t="str"/>
      <x:c r="S24" s="612" t="str"/>
      <x:c r="T24" s="612" t="str"/>
      <x:c r="U24" s="612" t="str"/>
      <x:c r="V24" s="613" t="str"/>
    </x:row>
    <x:row r="25">
      <x:c r="A25" s="601"/>
      <x:c r="B25" s="601"/>
      <x:c r="C25" s="601"/>
      <x:c r="D25" s="601"/>
      <x:c r="E25" s="601"/>
      <x:c r="F25" s="601"/>
      <x:c r="G25" s="601"/>
      <x:c r="H25" s="601"/>
      <x:c r="I25" s="601"/>
      <x:c r="J25" s="601"/>
      <x:c r="K25" s="601"/>
      <x:c r="L25" s="601"/>
      <x:c r="M25" s="601"/>
      <x:c r="N25" s="601"/>
      <x:c r="O25" s="601"/>
      <x:c r="P25" s="601"/>
      <x:c r="Q25" s="601"/>
      <x:c r="R25" s="601"/>
      <x:c r="S25" s="601"/>
      <x:c r="T25" s="601"/>
      <x:c r="U25" s="601"/>
      <x:c r="V25" s="601"/>
    </x:row>
    <x:row r="26">
      <x:c r="A26" s="601"/>
      <x:c r="B26" s="601"/>
      <x:c r="C26" s="601"/>
      <x:c r="D26" s="601"/>
      <x:c r="E26" s="601"/>
      <x:c r="F26" s="601"/>
      <x:c r="G26" s="601"/>
      <x:c r="H26" s="601"/>
      <x:c r="I26" s="601"/>
      <x:c r="J26" s="601"/>
      <x:c r="K26" s="601"/>
      <x:c r="L26" s="601"/>
      <x:c r="M26" s="601"/>
      <x:c r="N26" s="601"/>
      <x:c r="O26" s="601"/>
      <x:c r="P26" s="601"/>
      <x:c r="Q26" s="601"/>
      <x:c r="R26" s="601"/>
      <x:c r="S26" s="601"/>
      <x:c r="T26" s="601"/>
      <x:c r="U26" s="601"/>
      <x:c r="V26" s="601"/>
    </x:row>
    <x:row r="27" ht="30" customHeight="1">
      <x:c r="A27" s="549" t="str">
        <x:v>Key read-through</x:v>
      </x:c>
      <x:c r="B27" s="549"/>
      <x:c r="C27" s="549"/>
      <x:c r="D27" s="549"/>
      <x:c r="E27" s="601"/>
      <x:c r="F27" s="854" t="str">
        <x:v>Interpretation: DCF sits left of the client-requested football field; the $3.5bn–$7.2bn range is driven by multiples, not DCF cash-flow support.</x:v>
      </x:c>
      <x:c r="G27" s="854"/>
      <x:c r="H27" s="854"/>
      <x:c r="I27" s="854"/>
      <x:c r="J27" s="854"/>
      <x:c r="K27" s="854"/>
      <x:c r="L27" s="602"/>
      <x:c r="M27" s="602"/>
      <x:c r="N27" s="602"/>
      <x:c r="O27" s="602"/>
      <x:c r="P27" s="602"/>
      <x:c r="Q27" s="602"/>
      <x:c r="R27" s="602"/>
      <x:c r="S27" s="602"/>
      <x:c r="T27" s="602"/>
      <x:c r="U27" s="602"/>
      <x:c r="V27" s="602"/>
    </x:row>
    <x:row r="28" ht="30" customHeight="1">
      <x:c r="A28" s="823" t="str">
        <x:v>DCF output</x:v>
      </x:c>
      <x:c r="B28" s="824" t="str">
        <x:v>US$1.7bn vs client range of US$3.5bn–US$7.2bn</x:v>
      </x:c>
      <x:c r="C28" s="527" t="str"/>
      <x:c r="D28" s="527" t="str"/>
      <x:c r="E28" s="601"/>
      <x:c r="F28" s="846"/>
      <x:c r="G28" s="841"/>
      <x:c r="H28" s="833"/>
      <x:c r="I28" s="849"/>
      <x:c r="J28" s="841"/>
      <x:c r="K28" s="834"/>
      <x:c r="L28" s="601"/>
      <x:c r="M28" s="601"/>
      <x:c r="N28" s="601"/>
      <x:c r="O28" s="601"/>
      <x:c r="P28" s="601"/>
      <x:c r="Q28" s="601"/>
      <x:c r="R28" s="601"/>
      <x:c r="S28" s="601"/>
      <x:c r="T28" s="601"/>
      <x:c r="U28" s="601"/>
      <x:c r="V28" s="601"/>
    </x:row>
    <x:row r="29" ht="30" customHeight="1">
      <x:c r="A29" s="825" t="str">
        <x:v>Gap to P/E low end</x:v>
      </x:c>
      <x:c r="B29" s="826" t="str">
        <x:v>51.7% lower than US$3.5bn</x:v>
      </x:c>
      <x:c r="C29" s="529" t="str"/>
      <x:c r="D29" s="529" t="str"/>
      <x:c r="E29" s="601"/>
      <x:c r="F29" s="847"/>
      <x:c r="G29" s="844"/>
      <x:c r="H29" s="836"/>
      <x:c r="I29" s="850"/>
      <x:c r="J29" s="844"/>
      <x:c r="K29" s="837"/>
      <x:c r="L29" s="601"/>
      <x:c r="M29" s="601"/>
      <x:c r="N29" s="601"/>
      <x:c r="O29" s="601"/>
      <x:c r="P29" s="601"/>
      <x:c r="Q29" s="601"/>
      <x:c r="R29" s="601"/>
      <x:c r="S29" s="601"/>
      <x:c r="T29" s="601"/>
      <x:c r="U29" s="601"/>
      <x:c r="V29" s="601"/>
    </x:row>
    <x:row r="30" ht="30" customHeight="1">
      <x:c r="A30" s="825" t="str">
        <x:v>Gap to P/S high end</x:v>
      </x:c>
      <x:c r="B30" s="826" t="str">
        <x:v>76.5% lower than US$7.2bn</x:v>
      </x:c>
      <x:c r="C30" s="529" t="str"/>
      <x:c r="D30" s="529" t="str"/>
      <x:c r="E30" s="601"/>
      <x:c r="F30" s="848"/>
      <x:c r="G30" s="845"/>
      <x:c r="H30" s="839"/>
      <x:c r="I30" s="851"/>
      <x:c r="J30" s="843"/>
      <x:c r="K30" s="840"/>
      <x:c r="L30" s="601"/>
      <x:c r="M30" s="601"/>
      <x:c r="N30" s="601"/>
      <x:c r="O30" s="601"/>
      <x:c r="P30" s="601"/>
      <x:c r="Q30" s="601"/>
      <x:c r="R30" s="601"/>
      <x:c r="S30" s="601"/>
      <x:c r="T30" s="601"/>
      <x:c r="U30" s="601"/>
      <x:c r="V30" s="601"/>
    </x:row>
    <x:row r="31" ht="30" customHeight="1">
      <x:c r="A31" s="827" t="str">
        <x:v>Framing</x:v>
      </x:c>
      <x:c r="B31" s="828" t="str">
        <x:v>Use DCF as downside / intrinsic-value anchor; multiples range reflects client-requested market framing</x:v>
      </x:c>
      <x:c r="C31" s="531" t="str"/>
      <x:c r="D31" s="531" t="str"/>
      <x:c r="E31" s="601"/>
      <x:c r="F31" s="601"/>
      <x:c r="G31" s="601"/>
      <x:c r="H31" s="601"/>
      <x:c r="I31" s="601"/>
      <x:c r="J31" s="601"/>
      <x:c r="K31" s="601"/>
      <x:c r="L31" s="601"/>
      <x:c r="M31" s="601"/>
      <x:c r="N31" s="601"/>
      <x:c r="O31" s="601"/>
      <x:c r="P31" s="601"/>
      <x:c r="Q31" s="601"/>
      <x:c r="R31" s="601"/>
      <x:c r="S31" s="601"/>
      <x:c r="T31" s="601"/>
      <x:c r="U31" s="601"/>
      <x:c r="V31" s="601"/>
    </x:row>
    <x:row r="32">
      <x:c r="A32" s="601"/>
      <x:c r="B32" s="601"/>
      <x:c r="C32" s="601"/>
      <x:c r="D32" s="601"/>
      <x:c r="E32" s="601"/>
      <x:c r="F32" s="601"/>
      <x:c r="G32" s="601"/>
      <x:c r="H32" s="601"/>
      <x:c r="I32" s="601"/>
      <x:c r="J32" s="601"/>
      <x:c r="K32" s="601"/>
      <x:c r="L32" s="601"/>
      <x:c r="M32" s="601"/>
      <x:c r="N32" s="601"/>
      <x:c r="O32" s="601"/>
      <x:c r="P32" s="601"/>
      <x:c r="Q32" s="601"/>
      <x:c r="R32" s="601"/>
      <x:c r="S32" s="601"/>
      <x:c r="T32" s="601"/>
      <x:c r="U32" s="601"/>
      <x:c r="V32" s="601"/>
    </x:row>
    <x:row r="33">
      <x:c r="A33" s="614" t="str">
        <x:v>Presentation-ready visual below</x:v>
      </x:c>
      <x:c r="B33" s="614"/>
      <x:c r="C33" s="614"/>
      <x:c r="D33" s="614"/>
      <x:c r="E33" s="601"/>
      <x:c r="F33" s="601"/>
      <x:c r="G33" s="601"/>
      <x:c r="H33" s="601"/>
      <x:c r="I33" s="601"/>
      <x:c r="J33" s="601"/>
      <x:c r="K33" s="601"/>
      <x:c r="L33" s="601"/>
      <x:c r="M33" s="601"/>
      <x:c r="N33" s="601"/>
      <x:c r="O33" s="601"/>
      <x:c r="P33" s="601"/>
      <x:c r="Q33" s="601"/>
      <x:c r="R33" s="601"/>
      <x:c r="S33" s="601"/>
      <x:c r="T33" s="601"/>
      <x:c r="U33" s="601"/>
      <x:c r="V33" s="601"/>
    </x:row>
    <x:row r="34">
      <x:c r="A34" s="601"/>
      <x:c r="B34" s="601"/>
      <x:c r="C34" s="601"/>
      <x:c r="D34" s="601"/>
      <x:c r="E34" s="601"/>
      <x:c r="F34" s="601"/>
      <x:c r="G34" s="601"/>
      <x:c r="H34" s="601"/>
      <x:c r="I34" s="601"/>
      <x:c r="J34" s="601"/>
      <x:c r="K34" s="601"/>
      <x:c r="L34" s="601"/>
      <x:c r="M34" s="601"/>
      <x:c r="N34" s="601"/>
      <x:c r="O34" s="601"/>
      <x:c r="P34" s="601"/>
      <x:c r="Q34" s="601"/>
      <x:c r="R34" s="601"/>
      <x:c r="S34" s="601"/>
      <x:c r="T34" s="601"/>
      <x:c r="U34" s="601"/>
      <x:c r="V34" s="601"/>
    </x:row>
    <x:row r="35">
      <x:c r="A35" s="601"/>
      <x:c r="B35" s="601"/>
      <x:c r="C35" s="601"/>
      <x:c r="D35" s="601"/>
      <x:c r="E35" s="601"/>
      <x:c r="F35" s="601"/>
      <x:c r="G35" s="601"/>
      <x:c r="H35" s="601"/>
      <x:c r="I35" s="601"/>
      <x:c r="J35" s="601"/>
      <x:c r="K35" s="601"/>
      <x:c r="L35" s="601"/>
      <x:c r="M35" s="601"/>
      <x:c r="N35" s="601"/>
      <x:c r="O35" s="601"/>
      <x:c r="P35" s="601"/>
      <x:c r="Q35" s="601"/>
      <x:c r="R35" s="601"/>
      <x:c r="S35" s="601"/>
      <x:c r="T35" s="601"/>
      <x:c r="U35" s="601"/>
      <x:c r="V35" s="601"/>
    </x:row>
    <x:row r="36">
      <x:c r="A36" s="601"/>
      <x:c r="B36" s="601"/>
      <x:c r="C36" s="601"/>
      <x:c r="D36" s="601"/>
      <x:c r="E36" s="601"/>
      <x:c r="F36" s="601"/>
      <x:c r="G36" s="601"/>
      <x:c r="H36" s="601"/>
      <x:c r="I36" s="601"/>
      <x:c r="J36" s="601"/>
      <x:c r="K36" s="601"/>
      <x:c r="L36" s="601"/>
      <x:c r="M36" s="601"/>
      <x:c r="N36" s="601"/>
      <x:c r="O36" s="601"/>
      <x:c r="P36" s="601"/>
      <x:c r="Q36" s="601"/>
      <x:c r="R36" s="601"/>
      <x:c r="S36" s="601"/>
      <x:c r="T36" s="601"/>
      <x:c r="U36" s="601"/>
      <x:c r="V36" s="601"/>
    </x:row>
    <x:row r="37">
      <x:c r="A37" s="601"/>
      <x:c r="B37" s="601"/>
      <x:c r="C37" s="601"/>
      <x:c r="D37" s="601"/>
      <x:c r="E37" s="601"/>
      <x:c r="F37" s="601"/>
      <x:c r="G37" s="601"/>
      <x:c r="H37" s="601"/>
      <x:c r="I37" s="601"/>
      <x:c r="J37" s="601"/>
      <x:c r="K37" s="601"/>
      <x:c r="L37" s="601"/>
      <x:c r="M37" s="601"/>
      <x:c r="N37" s="601"/>
      <x:c r="O37" s="601"/>
      <x:c r="P37" s="601"/>
      <x:c r="Q37" s="601"/>
      <x:c r="R37" s="601"/>
      <x:c r="S37" s="601"/>
      <x:c r="T37" s="601"/>
      <x:c r="U37" s="601"/>
      <x:c r="V37" s="601"/>
    </x:row>
    <x:row r="38">
      <x:c r="A38" s="601"/>
      <x:c r="B38" s="601"/>
      <x:c r="C38" s="601"/>
      <x:c r="D38" s="601"/>
      <x:c r="E38" s="601"/>
      <x:c r="F38" s="601"/>
      <x:c r="G38" s="601"/>
      <x:c r="H38" s="601"/>
      <x:c r="I38" s="601"/>
      <x:c r="J38" s="601"/>
      <x:c r="K38" s="601"/>
      <x:c r="L38" s="601"/>
      <x:c r="M38" s="601"/>
      <x:c r="N38" s="601"/>
      <x:c r="O38" s="601"/>
      <x:c r="P38" s="601"/>
      <x:c r="Q38" s="601"/>
      <x:c r="R38" s="601"/>
      <x:c r="S38" s="601"/>
      <x:c r="T38" s="601"/>
      <x:c r="U38" s="601"/>
      <x:c r="V38" s="601"/>
    </x:row>
    <x:row r="39">
      <x:c r="A39" s="601"/>
      <x:c r="B39" s="601"/>
      <x:c r="C39" s="601"/>
      <x:c r="D39" s="601"/>
      <x:c r="E39" s="601"/>
      <x:c r="F39" s="601"/>
      <x:c r="G39" s="601"/>
      <x:c r="H39" s="601"/>
      <x:c r="I39" s="601"/>
      <x:c r="J39" s="601"/>
      <x:c r="K39" s="601"/>
      <x:c r="L39" s="601"/>
      <x:c r="M39" s="601"/>
      <x:c r="N39" s="601"/>
      <x:c r="O39" s="601"/>
      <x:c r="P39" s="601"/>
      <x:c r="Q39" s="601"/>
      <x:c r="R39" s="601"/>
      <x:c r="S39" s="601"/>
      <x:c r="T39" s="601"/>
      <x:c r="U39" s="601"/>
      <x:c r="V39" s="601"/>
    </x:row>
    <x:row r="40">
      <x:c r="A40" s="601"/>
      <x:c r="B40" s="601"/>
      <x:c r="C40" s="601"/>
      <x:c r="D40" s="601"/>
      <x:c r="E40" s="601"/>
      <x:c r="F40" s="601"/>
      <x:c r="G40" s="601"/>
      <x:c r="H40" s="601"/>
      <x:c r="I40" s="601"/>
      <x:c r="J40" s="601"/>
      <x:c r="K40" s="601"/>
      <x:c r="L40" s="601"/>
      <x:c r="M40" s="601"/>
      <x:c r="N40" s="601"/>
      <x:c r="O40" s="601"/>
      <x:c r="P40" s="601"/>
      <x:c r="Q40" s="601"/>
      <x:c r="R40" s="601"/>
      <x:c r="S40" s="601"/>
      <x:c r="T40" s="601"/>
      <x:c r="U40" s="601"/>
      <x:c r="V40" s="601"/>
    </x:row>
    <x:row r="41">
      <x:c r="A41" s="601"/>
      <x:c r="B41" s="601"/>
      <x:c r="C41" s="601"/>
      <x:c r="D41" s="601"/>
      <x:c r="E41" s="601"/>
      <x:c r="F41" s="601"/>
      <x:c r="G41" s="601"/>
      <x:c r="H41" s="601"/>
      <x:c r="I41" s="601"/>
      <x:c r="J41" s="601"/>
      <x:c r="K41" s="601"/>
      <x:c r="L41" s="601"/>
      <x:c r="M41" s="601"/>
      <x:c r="N41" s="601"/>
      <x:c r="O41" s="601"/>
      <x:c r="P41" s="601"/>
      <x:c r="Q41" s="601"/>
      <x:c r="R41" s="601"/>
      <x:c r="S41" s="601"/>
      <x:c r="T41" s="601"/>
      <x:c r="U41" s="601"/>
      <x:c r="V41" s="601"/>
    </x:row>
    <x:row r="42">
      <x:c r="A42" s="601"/>
      <x:c r="B42" s="601"/>
      <x:c r="C42" s="601"/>
      <x:c r="D42" s="601"/>
      <x:c r="E42" s="601"/>
      <x:c r="F42" s="601"/>
      <x:c r="G42" s="601"/>
      <x:c r="H42" s="601"/>
      <x:c r="I42" s="601"/>
      <x:c r="J42" s="601"/>
      <x:c r="K42" s="601"/>
      <x:c r="L42" s="601"/>
      <x:c r="M42" s="601"/>
      <x:c r="N42" s="601"/>
      <x:c r="O42" s="601"/>
      <x:c r="P42" s="601"/>
      <x:c r="Q42" s="601"/>
      <x:c r="R42" s="601"/>
      <x:c r="S42" s="601"/>
      <x:c r="T42" s="601"/>
      <x:c r="U42" s="601"/>
      <x:c r="V42" s="601"/>
    </x:row>
    <x:row r="43">
      <x:c r="A43" s="601"/>
      <x:c r="B43" s="601"/>
      <x:c r="C43" s="601"/>
      <x:c r="D43" s="601"/>
      <x:c r="E43" s="601"/>
      <x:c r="F43" s="601"/>
      <x:c r="G43" s="601"/>
      <x:c r="H43" s="601"/>
      <x:c r="I43" s="601"/>
      <x:c r="J43" s="601"/>
      <x:c r="K43" s="601"/>
      <x:c r="L43" s="601"/>
      <x:c r="M43" s="601"/>
      <x:c r="N43" s="601"/>
      <x:c r="O43" s="601"/>
      <x:c r="P43" s="601"/>
      <x:c r="Q43" s="601"/>
      <x:c r="R43" s="601"/>
      <x:c r="S43" s="601"/>
      <x:c r="T43" s="601"/>
      <x:c r="U43" s="601"/>
      <x:c r="V43" s="601"/>
    </x:row>
    <x:row r="44">
      <x:c r="A44" s="601"/>
      <x:c r="B44" s="601"/>
      <x:c r="C44" s="601"/>
      <x:c r="D44" s="601"/>
      <x:c r="E44" s="601"/>
      <x:c r="F44" s="601"/>
      <x:c r="G44" s="601"/>
      <x:c r="H44" s="601"/>
      <x:c r="I44" s="601"/>
      <x:c r="J44" s="601"/>
      <x:c r="K44" s="601"/>
      <x:c r="L44" s="601"/>
      <x:c r="M44" s="601"/>
      <x:c r="N44" s="601"/>
      <x:c r="O44" s="601"/>
      <x:c r="P44" s="601"/>
      <x:c r="Q44" s="601"/>
      <x:c r="R44" s="601"/>
      <x:c r="S44" s="601"/>
      <x:c r="T44" s="601"/>
      <x:c r="U44" s="601"/>
      <x:c r="V44" s="601"/>
    </x:row>
    <x:row r="45">
      <x:c r="A45" s="601"/>
      <x:c r="B45" s="601"/>
      <x:c r="C45" s="601"/>
      <x:c r="D45" s="601"/>
      <x:c r="E45" s="601"/>
      <x:c r="F45" s="601"/>
      <x:c r="G45" s="601"/>
      <x:c r="H45" s="601"/>
      <x:c r="I45" s="601"/>
      <x:c r="J45" s="601"/>
      <x:c r="K45" s="601"/>
      <x:c r="L45" s="601"/>
      <x:c r="M45" s="601"/>
      <x:c r="N45" s="601"/>
      <x:c r="O45" s="601"/>
      <x:c r="P45" s="601"/>
      <x:c r="Q45" s="601"/>
      <x:c r="R45" s="601"/>
      <x:c r="S45" s="601"/>
      <x:c r="T45" s="601"/>
      <x:c r="U45" s="601"/>
      <x:c r="V45" s="601"/>
    </x:row>
    <x:row r="46">
      <x:c r="A46" s="601"/>
      <x:c r="B46" s="601"/>
      <x:c r="C46" s="601"/>
      <x:c r="D46" s="601"/>
      <x:c r="E46" s="601"/>
      <x:c r="F46" s="601"/>
      <x:c r="G46" s="601"/>
      <x:c r="H46" s="601"/>
      <x:c r="I46" s="601"/>
      <x:c r="J46" s="601"/>
      <x:c r="K46" s="601"/>
      <x:c r="L46" s="601"/>
      <x:c r="M46" s="601"/>
      <x:c r="N46" s="601"/>
      <x:c r="O46" s="601"/>
      <x:c r="P46" s="601"/>
      <x:c r="Q46" s="601"/>
      <x:c r="R46" s="601"/>
      <x:c r="S46" s="601"/>
      <x:c r="T46" s="601"/>
      <x:c r="U46" s="601"/>
      <x:c r="V46" s="601"/>
    </x:row>
    <x:row r="47">
      <x:c r="A47" s="601"/>
      <x:c r="B47" s="601"/>
      <x:c r="C47" s="601"/>
      <x:c r="D47" s="601"/>
      <x:c r="E47" s="601"/>
      <x:c r="F47" s="601"/>
      <x:c r="G47" s="601"/>
      <x:c r="H47" s="601"/>
      <x:c r="I47" s="601"/>
      <x:c r="J47" s="601"/>
      <x:c r="K47" s="601"/>
      <x:c r="L47" s="601"/>
      <x:c r="M47" s="601"/>
      <x:c r="N47" s="601"/>
      <x:c r="O47" s="601"/>
      <x:c r="P47" s="601"/>
      <x:c r="Q47" s="601"/>
      <x:c r="R47" s="601"/>
      <x:c r="S47" s="601"/>
      <x:c r="T47" s="601"/>
      <x:c r="U47" s="601"/>
      <x:c r="V47" s="601"/>
    </x:row>
    <x:row r="48">
      <x:c r="A48" s="601"/>
      <x:c r="B48" s="601"/>
      <x:c r="C48" s="601"/>
      <x:c r="D48" s="601"/>
      <x:c r="E48" s="601"/>
      <x:c r="F48" s="601"/>
      <x:c r="G48" s="601"/>
      <x:c r="H48" s="601"/>
      <x:c r="I48" s="601"/>
      <x:c r="J48" s="601"/>
      <x:c r="K48" s="601"/>
      <x:c r="L48" s="601"/>
      <x:c r="M48" s="601"/>
      <x:c r="N48" s="601"/>
      <x:c r="O48" s="601"/>
      <x:c r="P48" s="601"/>
      <x:c r="Q48" s="601"/>
      <x:c r="R48" s="601"/>
      <x:c r="S48" s="601"/>
      <x:c r="T48" s="601"/>
      <x:c r="U48" s="601"/>
      <x:c r="V48" s="601"/>
    </x:row>
    <x:row r="49">
      <x:c r="A49" s="601"/>
      <x:c r="B49" s="601"/>
      <x:c r="C49" s="601"/>
      <x:c r="D49" s="601"/>
      <x:c r="E49" s="601"/>
      <x:c r="F49" s="601"/>
      <x:c r="G49" s="601"/>
      <x:c r="H49" s="601"/>
      <x:c r="I49" s="601"/>
      <x:c r="J49" s="601"/>
      <x:c r="K49" s="601"/>
      <x:c r="L49" s="601"/>
      <x:c r="M49" s="601"/>
      <x:c r="N49" s="601"/>
      <x:c r="O49" s="601"/>
      <x:c r="P49" s="601"/>
      <x:c r="Q49" s="601"/>
      <x:c r="R49" s="601"/>
      <x:c r="S49" s="601"/>
      <x:c r="T49" s="601"/>
      <x:c r="U49" s="601"/>
      <x:c r="V49" s="601"/>
    </x:row>
    <x:row r="50">
      <x:c r="A50" s="601"/>
      <x:c r="B50" s="601"/>
      <x:c r="C50" s="601"/>
      <x:c r="D50" s="601"/>
      <x:c r="E50" s="601"/>
      <x:c r="F50" s="601"/>
      <x:c r="G50" s="601"/>
      <x:c r="H50" s="601"/>
      <x:c r="I50" s="601"/>
      <x:c r="J50" s="601"/>
      <x:c r="K50" s="601"/>
      <x:c r="L50" s="601"/>
      <x:c r="M50" s="601"/>
      <x:c r="N50" s="601"/>
      <x:c r="O50" s="601"/>
      <x:c r="P50" s="601"/>
      <x:c r="Q50" s="601"/>
      <x:c r="R50" s="601"/>
      <x:c r="S50" s="601"/>
      <x:c r="T50" s="601"/>
      <x:c r="U50" s="601"/>
      <x:c r="V50" s="601"/>
    </x:row>
    <x:row r="51">
      <x:c r="A51" s="601"/>
      <x:c r="B51" s="601"/>
      <x:c r="C51" s="601"/>
      <x:c r="D51" s="601"/>
      <x:c r="E51" s="601"/>
      <x:c r="F51" s="601"/>
      <x:c r="G51" s="601"/>
      <x:c r="H51" s="601"/>
      <x:c r="I51" s="601"/>
      <x:c r="J51" s="601"/>
      <x:c r="K51" s="601"/>
      <x:c r="L51" s="601"/>
      <x:c r="M51" s="601"/>
      <x:c r="N51" s="601"/>
      <x:c r="O51" s="601"/>
      <x:c r="P51" s="601"/>
      <x:c r="Q51" s="601"/>
      <x:c r="R51" s="601"/>
      <x:c r="S51" s="601"/>
      <x:c r="T51" s="601"/>
      <x:c r="U51" s="601"/>
      <x:c r="V51" s="601"/>
    </x:row>
    <x:row r="52">
      <x:c r="A52" s="601"/>
      <x:c r="B52" s="601"/>
      <x:c r="C52" s="601"/>
      <x:c r="D52" s="601"/>
      <x:c r="E52" s="601"/>
      <x:c r="F52" s="601"/>
      <x:c r="G52" s="601"/>
      <x:c r="H52" s="601"/>
      <x:c r="I52" s="601"/>
      <x:c r="J52" s="601"/>
      <x:c r="K52" s="601"/>
      <x:c r="L52" s="601"/>
      <x:c r="M52" s="601"/>
      <x:c r="N52" s="601"/>
      <x:c r="O52" s="601"/>
      <x:c r="P52" s="601"/>
      <x:c r="Q52" s="601"/>
      <x:c r="R52" s="601"/>
      <x:c r="S52" s="601"/>
      <x:c r="T52" s="601"/>
      <x:c r="U52" s="601"/>
      <x:c r="V52" s="601"/>
    </x:row>
    <x:row r="53">
      <x:c r="A53" s="601"/>
      <x:c r="B53" s="601"/>
      <x:c r="C53" s="601"/>
      <x:c r="D53" s="601"/>
      <x:c r="E53" s="601"/>
      <x:c r="F53" s="601"/>
      <x:c r="G53" s="601"/>
      <x:c r="H53" s="601"/>
      <x:c r="I53" s="601"/>
      <x:c r="J53" s="601"/>
      <x:c r="K53" s="601"/>
      <x:c r="L53" s="601"/>
      <x:c r="M53" s="601"/>
      <x:c r="N53" s="601"/>
      <x:c r="O53" s="601"/>
      <x:c r="P53" s="601"/>
      <x:c r="Q53" s="601"/>
      <x:c r="R53" s="601"/>
      <x:c r="S53" s="601"/>
      <x:c r="T53" s="601"/>
      <x:c r="U53" s="601"/>
      <x:c r="V53" s="601"/>
    </x:row>
    <x:row r="54">
      <x:c r="A54" s="601"/>
      <x:c r="B54" s="601"/>
      <x:c r="C54" s="601"/>
      <x:c r="D54" s="601"/>
      <x:c r="E54" s="601"/>
      <x:c r="F54" s="601"/>
      <x:c r="G54" s="601"/>
      <x:c r="H54" s="601"/>
      <x:c r="I54" s="601"/>
      <x:c r="J54" s="601"/>
      <x:c r="K54" s="601"/>
      <x:c r="L54" s="601"/>
      <x:c r="M54" s="601"/>
      <x:c r="N54" s="601"/>
      <x:c r="O54" s="601"/>
      <x:c r="P54" s="601"/>
      <x:c r="Q54" s="601"/>
      <x:c r="R54" s="601"/>
      <x:c r="S54" s="601"/>
      <x:c r="T54" s="601"/>
      <x:c r="U54" s="601"/>
      <x:c r="V54" s="601"/>
    </x:row>
    <x:row r="55">
      <x:c r="A55" s="601"/>
      <x:c r="B55" s="601"/>
      <x:c r="C55" s="601"/>
      <x:c r="D55" s="601"/>
      <x:c r="E55" s="601"/>
      <x:c r="F55" s="601"/>
      <x:c r="G55" s="601"/>
      <x:c r="H55" s="601"/>
      <x:c r="I55" s="601"/>
      <x:c r="J55" s="601"/>
      <x:c r="K55" s="601"/>
      <x:c r="L55" s="601"/>
      <x:c r="M55" s="601"/>
      <x:c r="N55" s="601"/>
      <x:c r="O55" s="601"/>
      <x:c r="P55" s="601"/>
      <x:c r="Q55" s="601"/>
      <x:c r="R55" s="601"/>
      <x:c r="S55" s="601"/>
      <x:c r="T55" s="601"/>
      <x:c r="U55" s="601"/>
      <x:c r="V55" s="601"/>
    </x:row>
    <x:row r="56">
      <x:c r="A56" s="601"/>
      <x:c r="B56" s="601"/>
      <x:c r="C56" s="601"/>
      <x:c r="D56" s="601"/>
      <x:c r="E56" s="601"/>
      <x:c r="F56" s="601"/>
      <x:c r="G56" s="601"/>
      <x:c r="H56" s="601"/>
      <x:c r="I56" s="601"/>
      <x:c r="J56" s="601"/>
      <x:c r="K56" s="601"/>
      <x:c r="L56" s="601"/>
      <x:c r="M56" s="601"/>
      <x:c r="N56" s="601"/>
      <x:c r="O56" s="601"/>
      <x:c r="P56" s="601"/>
      <x:c r="Q56" s="601"/>
      <x:c r="R56" s="601"/>
      <x:c r="S56" s="601"/>
      <x:c r="T56" s="601"/>
      <x:c r="U56" s="601"/>
      <x:c r="V56" s="601"/>
    </x:row>
    <x:row r="57">
      <x:c r="A57" s="601"/>
      <x:c r="B57" s="601"/>
      <x:c r="C57" s="601"/>
      <x:c r="D57" s="601"/>
      <x:c r="E57" s="601"/>
      <x:c r="F57" s="601"/>
      <x:c r="G57" s="601"/>
      <x:c r="H57" s="601"/>
      <x:c r="I57" s="601"/>
      <x:c r="J57" s="601"/>
      <x:c r="K57" s="601"/>
      <x:c r="L57" s="601"/>
      <x:c r="M57" s="601"/>
      <x:c r="N57" s="601"/>
      <x:c r="O57" s="601"/>
      <x:c r="P57" s="601"/>
      <x:c r="Q57" s="601"/>
      <x:c r="R57" s="601"/>
      <x:c r="S57" s="601"/>
      <x:c r="T57" s="601"/>
      <x:c r="U57" s="601"/>
      <x:c r="V57" s="601"/>
    </x:row>
    <x:row r="58">
      <x:c r="A58" s="601"/>
      <x:c r="B58" s="601"/>
      <x:c r="C58" s="601"/>
      <x:c r="D58" s="601"/>
      <x:c r="E58" s="601"/>
      <x:c r="F58" s="601"/>
      <x:c r="G58" s="601"/>
      <x:c r="H58" s="601"/>
      <x:c r="I58" s="601"/>
      <x:c r="J58" s="601"/>
      <x:c r="K58" s="601"/>
      <x:c r="L58" s="601"/>
      <x:c r="M58" s="601"/>
      <x:c r="N58" s="601"/>
      <x:c r="O58" s="601"/>
      <x:c r="P58" s="601"/>
      <x:c r="Q58" s="601"/>
      <x:c r="R58" s="601"/>
      <x:c r="S58" s="601"/>
      <x:c r="T58" s="601"/>
      <x:c r="U58" s="601"/>
      <x:c r="V58" s="601"/>
    </x:row>
    <x:row r="59">
      <x:c r="A59" s="601"/>
      <x:c r="B59" s="601"/>
      <x:c r="C59" s="601"/>
      <x:c r="D59" s="601"/>
      <x:c r="E59" s="601"/>
      <x:c r="F59" s="601"/>
      <x:c r="G59" s="601"/>
      <x:c r="H59" s="601"/>
      <x:c r="I59" s="601"/>
      <x:c r="J59" s="601"/>
      <x:c r="K59" s="601"/>
      <x:c r="L59" s="601"/>
      <x:c r="M59" s="601"/>
      <x:c r="N59" s="601"/>
      <x:c r="O59" s="601"/>
      <x:c r="P59" s="601"/>
      <x:c r="Q59" s="601"/>
      <x:c r="R59" s="601"/>
      <x:c r="S59" s="601"/>
      <x:c r="T59" s="601"/>
      <x:c r="U59" s="601"/>
      <x:c r="V59" s="601"/>
    </x:row>
    <x:row r="60">
      <x:c r="A60" s="601"/>
      <x:c r="B60" s="601"/>
      <x:c r="C60" s="601"/>
      <x:c r="D60" s="601"/>
      <x:c r="E60" s="601"/>
      <x:c r="F60" s="601"/>
      <x:c r="G60" s="601"/>
      <x:c r="H60" s="601"/>
      <x:c r="I60" s="601"/>
      <x:c r="J60" s="601"/>
      <x:c r="K60" s="601"/>
      <x:c r="L60" s="601"/>
      <x:c r="M60" s="601"/>
      <x:c r="N60" s="601"/>
      <x:c r="O60" s="601"/>
      <x:c r="P60" s="601"/>
      <x:c r="Q60" s="601"/>
      <x:c r="R60" s="601"/>
      <x:c r="S60" s="601"/>
      <x:c r="T60" s="601"/>
      <x:c r="U60" s="601"/>
      <x:c r="V60" s="601"/>
    </x:row>
  </x:sheetData>
  <x:mergeCells>
    <x:mergeCell ref="A1:D1"/>
    <x:mergeCell ref="A2:D2"/>
    <x:mergeCell ref="A11:D11"/>
    <x:mergeCell ref="A19:V19"/>
    <x:mergeCell ref="A27:D27"/>
    <x:mergeCell ref="A33:D33"/>
    <x:mergeCell ref="B28:D28"/>
    <x:mergeCell ref="B29:D29"/>
    <x:mergeCell ref="B30:D30"/>
    <x:mergeCell ref="B31:D31"/>
    <x:mergeCell ref="F27:V27"/>
  </x:mergeCells>
  <x:conditionalFormatting sqref="F21:V24">
    <x:cfRule type="expression" dxfId="0" priority="1">
      <x:formula>AND($B21=$C21,ABS(F$20-$B21)&lt;=0.25)</x:formula>
    </x:cfRule>
    <x:cfRule type="expression" dxfId="1" priority="2">
      <x:formula>AND($B21&lt;&gt;$C21,F$20&gt;=$B21,F$20&lt;=$C21)</x:formula>
    </x:cfRule>
  </x:conditionalFormatting>
  <x:pageMargins left="0.7" right="0.7" top="0.75" bottom="0.75" header="0.3" footer="0.3"/>
  <x:drawing xmlns:r="http://schemas.openxmlformats.org/officeDocument/2006/relationships" r:id="R616ae868eaf74423"/>
</x:worksheet>
</file>