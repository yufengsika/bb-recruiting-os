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03g1bnkfps09\DBS ACL-ECM\Public\Jayson\"/>
    </mc:Choice>
  </mc:AlternateContent>
  <xr:revisionPtr revIDLastSave="0" documentId="13_ncr:1_{5C463F0A-61FB-43DB-A390-472F6034540A}" xr6:coauthVersionLast="47" xr6:coauthVersionMax="47" xr10:uidLastSave="{00000000-0000-0000-0000-000000000000}"/>
  <bookViews>
    <workbookView xWindow="-120" yWindow="-120" windowWidth="29040" windowHeight="15720" firstSheet="1" activeTab="1" xr2:uid="{2CF048AC-625A-4088-98F4-4B9F8068B575}"/>
    <workbookView xWindow="-120" yWindow="-120" windowWidth="29040" windowHeight="15720" activeTab="3" xr2:uid="{E12C53D5-8F4E-4223-8128-24BEBC288648}"/>
    <workbookView xWindow="28680" yWindow="-120" windowWidth="29040" windowHeight="15720" activeTab="1" xr2:uid="{84777A86-BF83-4E24-B567-F0C04E2FC8B1}"/>
  </bookViews>
  <sheets>
    <sheet name="Sheet1" sheetId="1" r:id="rId1"/>
    <sheet name="Sheet 2" sheetId="2" r:id="rId2"/>
    <sheet name="Sheet3" sheetId="3" r:id="rId3"/>
    <sheet name="Sheet2" sheetId="4" r:id="rId4"/>
  </sheet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Q13" i="1" l="1" a="1"/>
  <c r="CQ13" i="1" l="1"/>
  <c r="AI13" i="1" a="1"/>
  <c r="AI13" i="1" l="1"/>
  <c r="AE13" i="1" a="1"/>
  <c r="AE13" i="1"/>
  <c r="CW13" i="1" a="1"/>
  <c r="CW13" i="1"/>
  <c r="CX13" i="1" a="1"/>
  <c r="CX13" i="1"/>
  <c r="AH13" i="1" a="1"/>
  <c r="AH13" i="1"/>
  <c r="AO13" i="1" a="1"/>
  <c r="AO13" i="1"/>
  <c r="CT13" i="1"/>
  <c r="D13" i="1"/>
  <c r="CU13" i="1"/>
  <c r="AT13" i="1"/>
  <c r="A13" i="1"/>
  <c r="G13" i="1"/>
  <c r="AM13" i="1"/>
  <c r="V13" i="1"/>
  <c r="R13" i="1"/>
  <c r="N13" i="1"/>
  <c r="U13" i="1"/>
  <c r="W13" i="1"/>
  <c r="S13" i="1"/>
  <c r="O13" i="1"/>
  <c r="Z13" i="1"/>
  <c r="T13" i="1"/>
  <c r="CS13" i="1"/>
  <c r="CZ13" i="1"/>
  <c r="P13" i="1"/>
  <c r="B13" i="1"/>
  <c r="CR13" i="1"/>
  <c r="Q13" i="1"/>
  <c r="CV13" i="1"/>
  <c r="CO13" i="1" a="1"/>
  <c r="CO13" i="1"/>
  <c r="BF13" i="1" a="1"/>
  <c r="BF13" i="1"/>
  <c r="BB13" i="1" a="1"/>
  <c r="BB13" i="1"/>
  <c r="CG13" i="1" a="1"/>
  <c r="CG13" i="1"/>
  <c r="BT13" i="1" a="1"/>
  <c r="BT13" i="1"/>
  <c r="BE13" i="1" a="1"/>
  <c r="BE13" i="1"/>
  <c r="BA13" i="1" a="1"/>
  <c r="BA13" i="1"/>
  <c r="BU13" i="1" a="1"/>
  <c r="BU13" i="1"/>
  <c r="BM13" i="1" a="1"/>
  <c r="BM13" i="1"/>
  <c r="BY13" i="1" a="1"/>
  <c r="BY13" i="1"/>
  <c r="CC13" i="1" a="1"/>
  <c r="CC13" i="1"/>
  <c r="CB13" i="1" a="1"/>
  <c r="CB13" i="1"/>
  <c r="L13" i="1"/>
  <c r="X13" i="1" a="1"/>
  <c r="X13" i="1"/>
  <c r="AA13" i="1"/>
  <c r="AB13" i="1"/>
  <c r="AC13" i="1"/>
  <c r="H13" i="1"/>
  <c r="E13" i="1"/>
  <c r="J13" i="1"/>
  <c r="CF13" i="1" a="1"/>
  <c r="CF13" i="1"/>
  <c r="BL13" i="1" a="1"/>
  <c r="BL13" i="1"/>
  <c r="AZ13" i="1" a="1"/>
  <c r="AZ13" i="1"/>
  <c r="AF13" i="1" a="1"/>
  <c r="AF13" i="1"/>
  <c r="AL13" i="1" a="1"/>
  <c r="AL13" i="1"/>
  <c r="CY13" i="1" a="1"/>
  <c r="CY13" i="1"/>
  <c r="AK13" i="1" a="1"/>
  <c r="AK13" i="1"/>
  <c r="AN13" i="1" a="1"/>
  <c r="AN13" i="1"/>
  <c r="BZ13" i="1" a="1"/>
  <c r="BZ13" i="1"/>
  <c r="CM13" i="1" a="1"/>
  <c r="CM13" i="1"/>
  <c r="BX13" i="1" a="1"/>
  <c r="BX13" i="1"/>
  <c r="BD13" i="1" a="1"/>
  <c r="BD13" i="1"/>
  <c r="BP13" i="1" a="1"/>
  <c r="BP13" i="1"/>
  <c r="BJ13" i="1" a="1"/>
  <c r="BJ13" i="1"/>
  <c r="BW13" i="1" a="1"/>
  <c r="BW13" i="1"/>
  <c r="BG13" i="1" a="1"/>
  <c r="BG13" i="1"/>
  <c r="CE13" i="1" a="1"/>
  <c r="CE13" i="1"/>
  <c r="BH13" i="1" a="1"/>
  <c r="BH13" i="1"/>
  <c r="CA13" i="1" a="1"/>
  <c r="CA13" i="1"/>
  <c r="BV13" i="1" a="1"/>
  <c r="BV13" i="1"/>
  <c r="CD13" i="1" a="1"/>
  <c r="CD13" i="1"/>
  <c r="BR13" i="1" a="1"/>
  <c r="BR13" i="1"/>
  <c r="BO13" i="1" a="1"/>
  <c r="BO13" i="1"/>
  <c r="CL13" i="1" a="1"/>
  <c r="CL13" i="1"/>
  <c r="BK13" i="1" a="1"/>
  <c r="BK13" i="1"/>
  <c r="BQ13" i="1" a="1"/>
  <c r="BQ13" i="1"/>
  <c r="BI13" i="1" a="1"/>
  <c r="BI13" i="1"/>
  <c r="BN13" i="1" a="1"/>
  <c r="BN13" i="1"/>
  <c r="BS13" i="1" a="1"/>
  <c r="BS13" i="1"/>
  <c r="BC13" i="1" a="1"/>
  <c r="BC13" i="1"/>
  <c r="CN13" i="1" a="1"/>
  <c r="CN13" i="1"/>
  <c r="CP13" i="1" a="1"/>
  <c r="CP13" i="1"/>
  <c r="F13" i="1"/>
  <c r="I13" i="1"/>
  <c r="M13" i="1"/>
  <c r="Y13" i="1" a="1"/>
  <c r="Y13" i="1"/>
  <c r="K13" i="1"/>
  <c r="AS13" i="1"/>
  <c r="AV13" i="1"/>
  <c r="AP13" i="1"/>
  <c r="AU13" i="1"/>
  <c r="AR13" i="1"/>
  <c r="AL12" i="1" a="1"/>
  <c r="CJ13" i="1" l="1"/>
  <c r="AJ13" i="1"/>
  <c r="CK13" i="1"/>
  <c r="CH13" i="1"/>
  <c r="AD13" i="1"/>
  <c r="CI13" i="1"/>
  <c r="AQ13" i="1"/>
  <c r="AG13" i="1"/>
  <c r="AL12" i="1"/>
  <c r="CW12" i="1" a="1"/>
  <c r="AX13" i="1" l="1"/>
  <c r="AY13" i="1"/>
  <c r="AW13" i="1"/>
  <c r="CW12" i="1"/>
  <c r="AO12" i="1" a="1"/>
  <c r="AO12" i="1"/>
  <c r="AF12" i="1" a="1"/>
  <c r="AF12" i="1"/>
  <c r="AH12" i="1" a="1"/>
  <c r="AH12" i="1"/>
  <c r="CY12" i="1" a="1"/>
  <c r="CY12" i="1"/>
  <c r="AE12" i="1" a="1"/>
  <c r="AE12" i="1"/>
  <c r="AI12" i="1" a="1"/>
  <c r="AI12" i="1"/>
  <c r="CX12" i="1" a="1"/>
  <c r="CX12" i="1"/>
  <c r="AN12" i="1" a="1"/>
  <c r="AN12" i="1"/>
  <c r="AK12" i="1" a="1"/>
  <c r="AK12" i="1"/>
  <c r="AM12" i="1"/>
  <c r="R12" i="1"/>
  <c r="AT12" i="1"/>
  <c r="Q12" i="1"/>
  <c r="O12" i="1"/>
  <c r="A12" i="1"/>
  <c r="W12" i="1"/>
  <c r="V12" i="1"/>
  <c r="CU12" i="1"/>
  <c r="U12" i="1"/>
  <c r="Z12" i="1"/>
  <c r="G12" i="1"/>
  <c r="CZ12" i="1"/>
  <c r="CT12" i="1"/>
  <c r="CV12" i="1"/>
  <c r="S12" i="1"/>
  <c r="P12" i="1"/>
  <c r="D12" i="1"/>
  <c r="T12" i="1"/>
  <c r="B12" i="1"/>
  <c r="CR12" i="1"/>
  <c r="N12" i="1"/>
  <c r="CS12" i="1"/>
  <c r="BW12" i="1" a="1"/>
  <c r="BW12" i="1"/>
  <c r="CP12" i="1" a="1"/>
  <c r="CP12" i="1"/>
  <c r="BP12" i="1" a="1"/>
  <c r="BP12" i="1"/>
  <c r="CA12" i="1" a="1"/>
  <c r="CA12" i="1"/>
  <c r="BE12" i="1" a="1"/>
  <c r="BE12" i="1"/>
  <c r="BN12" i="1" a="1"/>
  <c r="BN12" i="1"/>
  <c r="CB12" i="1" a="1"/>
  <c r="CB12" i="1"/>
  <c r="CF12" i="1" a="1"/>
  <c r="CF12" i="1"/>
  <c r="AZ12" i="1" a="1"/>
  <c r="AZ12" i="1"/>
  <c r="CQ12" i="1" a="1"/>
  <c r="CQ12" i="1"/>
  <c r="BB12" i="1" a="1"/>
  <c r="BB12" i="1"/>
  <c r="BA12" i="1" a="1"/>
  <c r="BA12" i="1"/>
  <c r="BI12" i="1" a="1"/>
  <c r="BI12" i="1"/>
  <c r="BY12" i="1" a="1"/>
  <c r="BY12" i="1"/>
  <c r="CE12" i="1" a="1"/>
  <c r="CE12" i="1"/>
  <c r="CD12" i="1" a="1"/>
  <c r="CD12" i="1"/>
  <c r="BK12" i="1" a="1"/>
  <c r="BK12" i="1"/>
  <c r="CL12" i="1" a="1"/>
  <c r="CL12" i="1"/>
  <c r="CG12" i="1" a="1"/>
  <c r="CG12" i="1"/>
  <c r="BS12" i="1" a="1"/>
  <c r="BS12" i="1"/>
  <c r="BQ12" i="1" a="1"/>
  <c r="BQ12" i="1"/>
  <c r="BJ12" i="1" a="1"/>
  <c r="BJ12" i="1"/>
  <c r="BD12" i="1" a="1"/>
  <c r="BD12" i="1"/>
  <c r="BC12" i="1" a="1"/>
  <c r="BC12" i="1"/>
  <c r="BU12" i="1" a="1"/>
  <c r="BU12" i="1"/>
  <c r="BT12" i="1" a="1"/>
  <c r="BT12" i="1"/>
  <c r="BF12" i="1" a="1"/>
  <c r="BF12" i="1"/>
  <c r="CC12" i="1" a="1"/>
  <c r="CC12" i="1"/>
  <c r="BV12" i="1" a="1"/>
  <c r="BV12" i="1"/>
  <c r="BH12" i="1" a="1"/>
  <c r="BH12" i="1"/>
  <c r="BG12" i="1" a="1"/>
  <c r="BG12" i="1"/>
  <c r="BL12" i="1" a="1"/>
  <c r="BL12" i="1"/>
  <c r="BM12" i="1" a="1"/>
  <c r="BM12" i="1"/>
  <c r="BO12" i="1" a="1"/>
  <c r="BO12" i="1"/>
  <c r="BR12" i="1" a="1"/>
  <c r="BR12" i="1"/>
  <c r="BZ12" i="1" a="1"/>
  <c r="BZ12" i="1"/>
  <c r="BX12" i="1" a="1"/>
  <c r="BX12" i="1"/>
  <c r="K12" i="1"/>
  <c r="Y12" i="1" a="1"/>
  <c r="Y12" i="1"/>
  <c r="F12" i="1"/>
  <c r="I12" i="1"/>
  <c r="M12" i="1"/>
  <c r="AA12" i="1"/>
  <c r="H12" i="1"/>
  <c r="J12" i="1"/>
  <c r="AB12" i="1"/>
  <c r="AC12" i="1"/>
  <c r="X12" i="1" a="1"/>
  <c r="X12" i="1"/>
  <c r="L12" i="1"/>
  <c r="E12" i="1"/>
  <c r="CM12" i="1" a="1"/>
  <c r="CM12" i="1"/>
  <c r="CO12" i="1" a="1"/>
  <c r="CO12" i="1"/>
  <c r="AP12" i="1"/>
  <c r="AS12" i="1"/>
  <c r="AV12" i="1"/>
  <c r="CN12" i="1" a="1"/>
  <c r="CN12" i="1"/>
  <c r="AR12" i="1"/>
  <c r="AU12" i="1"/>
  <c r="AJ12" i="1" l="1"/>
  <c r="CH12" i="1"/>
  <c r="CK12" i="1"/>
  <c r="AD12" i="1"/>
  <c r="CJ12" i="1"/>
  <c r="AG12" i="1"/>
  <c r="CI12" i="1"/>
  <c r="AQ12" i="1"/>
  <c r="CN14" i="1" a="1"/>
  <c r="AY12" i="1" l="1"/>
  <c r="AX12" i="1"/>
  <c r="AW12" i="1"/>
  <c r="CN14" i="1"/>
  <c r="CN11" i="1" a="1"/>
  <c r="CN11" i="1"/>
  <c r="CN15" i="1" a="1"/>
  <c r="CN15" i="1"/>
  <c r="CN8" i="1" a="1"/>
  <c r="CN8" i="1"/>
  <c r="CN7" i="1" a="1"/>
  <c r="CN7" i="1"/>
  <c r="CN9" i="1" a="1"/>
  <c r="CN9" i="1"/>
  <c r="CN10" i="1" a="1"/>
  <c r="CN10" i="1"/>
  <c r="O11" i="1"/>
  <c r="AM15" i="1"/>
  <c r="N9" i="1"/>
  <c r="AM7" i="1"/>
  <c r="CR14" i="1"/>
  <c r="Q8" i="1"/>
  <c r="Z8" i="1"/>
  <c r="R14" i="1"/>
  <c r="D7" i="1"/>
  <c r="P8" i="1"/>
  <c r="AM14" i="1"/>
  <c r="AM11" i="1"/>
  <c r="W11" i="1"/>
  <c r="S15" i="1"/>
  <c r="AM8" i="1"/>
  <c r="CR10" i="1"/>
  <c r="Q15" i="1"/>
  <c r="T9" i="1"/>
  <c r="G11" i="1"/>
  <c r="N10" i="1"/>
  <c r="O15" i="1"/>
  <c r="D11" i="1"/>
  <c r="V11" i="1"/>
  <c r="A14" i="1"/>
  <c r="G10" i="1"/>
  <c r="U14" i="1"/>
  <c r="CS10" i="1"/>
  <c r="B7" i="1"/>
  <c r="R10" i="1"/>
  <c r="S8" i="1"/>
  <c r="T15" i="1"/>
  <c r="Q11" i="1"/>
  <c r="A10" i="1"/>
  <c r="CV10" i="1"/>
  <c r="R8" i="1"/>
  <c r="V7" i="1"/>
  <c r="CS7" i="1"/>
  <c r="O7" i="1"/>
  <c r="CT7" i="1"/>
  <c r="Q9" i="1"/>
  <c r="V14" i="1"/>
  <c r="W9" i="1"/>
  <c r="CU11" i="1"/>
  <c r="S7" i="1"/>
  <c r="AT7" i="1"/>
  <c r="W10" i="1"/>
  <c r="CR8" i="1"/>
  <c r="T10" i="1"/>
  <c r="U7" i="1"/>
  <c r="Z10" i="1"/>
  <c r="A8" i="1"/>
  <c r="T7" i="1"/>
  <c r="CT8" i="1"/>
  <c r="CU14" i="1"/>
  <c r="W15" i="1"/>
  <c r="O9" i="1"/>
  <c r="CZ7" i="1"/>
  <c r="CT9" i="1"/>
  <c r="R11" i="1"/>
  <c r="B10" i="1"/>
  <c r="A15" i="1"/>
  <c r="B14" i="1"/>
  <c r="S14" i="1"/>
  <c r="B11" i="1"/>
  <c r="CU7" i="1"/>
  <c r="V8" i="1"/>
  <c r="D10" i="1"/>
  <c r="U10" i="1"/>
  <c r="D15" i="1"/>
  <c r="A9" i="1"/>
  <c r="O10" i="1"/>
  <c r="G14" i="1"/>
  <c r="V10" i="1"/>
  <c r="Z15" i="1"/>
  <c r="G7" i="1"/>
  <c r="CU8" i="1"/>
  <c r="D9" i="1"/>
  <c r="CU15" i="1"/>
  <c r="CV15" i="1"/>
  <c r="CV9" i="1"/>
  <c r="V9" i="1"/>
  <c r="Z11" i="1"/>
  <c r="G8" i="1"/>
  <c r="CZ15" i="1"/>
  <c r="CS8" i="1"/>
  <c r="T11" i="1"/>
  <c r="G15" i="1"/>
  <c r="CU9" i="1"/>
  <c r="S11" i="1"/>
  <c r="CZ8" i="1"/>
  <c r="S9" i="1"/>
  <c r="W7" i="1"/>
  <c r="CR11" i="1"/>
  <c r="P7" i="1"/>
  <c r="B8" i="1"/>
  <c r="CV11" i="1"/>
  <c r="U9" i="1"/>
  <c r="R15" i="1"/>
  <c r="AM9" i="1"/>
  <c r="CV8" i="1"/>
  <c r="P15" i="1"/>
  <c r="AT11" i="1"/>
  <c r="CT11" i="1"/>
  <c r="Q10" i="1"/>
  <c r="AT9" i="1"/>
  <c r="CT10" i="1"/>
  <c r="Z14" i="1"/>
  <c r="B15" i="1"/>
  <c r="AM10" i="1"/>
  <c r="O8" i="1"/>
  <c r="R7" i="1"/>
  <c r="A7" i="1"/>
  <c r="CV14" i="1"/>
  <c r="T14" i="1"/>
  <c r="S10" i="1"/>
  <c r="N11" i="1"/>
  <c r="AT10" i="1"/>
  <c r="CS15" i="1"/>
  <c r="CS9" i="1"/>
  <c r="CR9" i="1"/>
  <c r="O14" i="1"/>
  <c r="P11" i="1"/>
  <c r="CZ10" i="1"/>
  <c r="N7" i="1"/>
  <c r="P14" i="1"/>
  <c r="R9" i="1"/>
  <c r="Z9" i="1"/>
  <c r="Z7" i="1"/>
  <c r="D14" i="1"/>
  <c r="CZ11" i="1"/>
  <c r="Q7" i="1"/>
  <c r="G9" i="1"/>
  <c r="P10" i="1"/>
  <c r="Q14" i="1"/>
  <c r="AT8" i="1"/>
  <c r="CT14" i="1"/>
  <c r="CV7" i="1"/>
  <c r="D8" i="1"/>
  <c r="CU10" i="1"/>
  <c r="N8" i="1"/>
  <c r="CS11" i="1"/>
  <c r="B9" i="1"/>
  <c r="CZ14" i="1"/>
  <c r="U11" i="1"/>
  <c r="W14" i="1"/>
  <c r="T8" i="1"/>
  <c r="V15" i="1"/>
  <c r="N14" i="1"/>
  <c r="P9" i="1"/>
  <c r="A11" i="1"/>
  <c r="N15" i="1"/>
  <c r="CR7" i="1"/>
  <c r="AT14" i="1"/>
  <c r="CR15" i="1"/>
  <c r="AT15" i="1"/>
  <c r="CS14" i="1"/>
  <c r="U8" i="1"/>
  <c r="W8" i="1"/>
  <c r="U15" i="1"/>
  <c r="CZ9" i="1"/>
  <c r="CT15" i="1"/>
  <c r="I14" i="1"/>
  <c r="I10" i="1"/>
  <c r="M7" i="1"/>
  <c r="I15" i="1"/>
  <c r="K11" i="1"/>
  <c r="K8" i="1"/>
  <c r="K9" i="1"/>
  <c r="M14" i="1"/>
  <c r="F8" i="1"/>
  <c r="F15" i="1"/>
  <c r="K10" i="1"/>
  <c r="F10" i="1"/>
  <c r="F11" i="1"/>
  <c r="Y10" i="1" a="1"/>
  <c r="Y10" i="1"/>
  <c r="M15" i="1"/>
  <c r="I9" i="1"/>
  <c r="Y9" i="1" a="1"/>
  <c r="Y9" i="1"/>
  <c r="I7" i="1"/>
  <c r="Y8" i="1" a="1"/>
  <c r="Y8" i="1"/>
  <c r="F14" i="1"/>
  <c r="M10" i="1"/>
  <c r="I8" i="1"/>
  <c r="M9" i="1"/>
  <c r="F7" i="1"/>
  <c r="K14" i="1"/>
  <c r="Y15" i="1" a="1"/>
  <c r="Y15" i="1"/>
  <c r="K15" i="1"/>
  <c r="F9" i="1"/>
  <c r="I11" i="1"/>
  <c r="Y14" i="1" a="1"/>
  <c r="Y14" i="1"/>
  <c r="Y7" i="1" a="1"/>
  <c r="Y7" i="1"/>
  <c r="K7" i="1"/>
  <c r="Y11" i="1" a="1"/>
  <c r="Y11" i="1"/>
  <c r="M11" i="1"/>
  <c r="M8" i="1"/>
  <c r="L10" i="1"/>
  <c r="E9" i="1"/>
  <c r="AA15" i="1"/>
  <c r="L8" i="1"/>
  <c r="AC7" i="1"/>
  <c r="H11" i="1"/>
  <c r="H10" i="1"/>
  <c r="AB15" i="1"/>
  <c r="X15" i="1" a="1"/>
  <c r="X15" i="1"/>
  <c r="L7" i="1"/>
  <c r="AC11" i="1"/>
  <c r="L11" i="1"/>
  <c r="AA11" i="1"/>
  <c r="J15" i="1"/>
  <c r="J11" i="1"/>
  <c r="AC10" i="1"/>
  <c r="AB14" i="1"/>
  <c r="AB11" i="1"/>
  <c r="H7" i="1"/>
  <c r="AA8" i="1"/>
  <c r="AB10" i="1"/>
  <c r="X7" i="1" a="1"/>
  <c r="X7" i="1"/>
  <c r="AC15" i="1"/>
  <c r="L9" i="1"/>
  <c r="X14" i="1" a="1"/>
  <c r="X14" i="1"/>
  <c r="E10" i="1"/>
  <c r="AA7" i="1"/>
  <c r="AC9" i="1"/>
  <c r="E15" i="1"/>
  <c r="H8" i="1"/>
  <c r="J7" i="1"/>
  <c r="X11" i="1" a="1"/>
  <c r="X11" i="1"/>
  <c r="J10" i="1"/>
  <c r="AA14" i="1"/>
  <c r="AA9" i="1"/>
  <c r="H14" i="1"/>
  <c r="E8" i="1"/>
  <c r="AB8" i="1"/>
  <c r="J14" i="1"/>
  <c r="X8" i="1" a="1"/>
  <c r="X8" i="1"/>
  <c r="E14" i="1"/>
  <c r="AB7" i="1"/>
  <c r="X9" i="1" a="1"/>
  <c r="X9" i="1"/>
  <c r="AC8" i="1"/>
  <c r="AA10" i="1"/>
  <c r="AC14" i="1"/>
  <c r="H15" i="1"/>
  <c r="E7" i="1"/>
  <c r="H9" i="1"/>
  <c r="L15" i="1"/>
  <c r="E11" i="1"/>
  <c r="L14" i="1"/>
  <c r="J8" i="1"/>
  <c r="J9" i="1"/>
  <c r="X10" i="1" a="1"/>
  <c r="X10" i="1"/>
  <c r="AB9" i="1"/>
  <c r="CP9" i="1" a="1"/>
  <c r="CP9" i="1"/>
  <c r="CP15" i="1" a="1"/>
  <c r="CP15" i="1"/>
  <c r="CP10" i="1" a="1"/>
  <c r="CP10" i="1"/>
  <c r="CP11" i="1" a="1"/>
  <c r="CP11" i="1"/>
  <c r="CP14" i="1" a="1"/>
  <c r="CP14" i="1"/>
  <c r="CP7" i="1" a="1"/>
  <c r="CP7" i="1"/>
  <c r="CP8" i="1" a="1"/>
  <c r="CP8" i="1"/>
  <c r="CO10" i="1" a="1"/>
  <c r="CO10" i="1"/>
  <c r="CO7" i="1" a="1"/>
  <c r="CO7" i="1"/>
  <c r="CO14" i="1" a="1"/>
  <c r="CO14" i="1"/>
  <c r="CO11" i="1" a="1"/>
  <c r="CO11" i="1"/>
  <c r="CO9" i="1" a="1"/>
  <c r="CO9" i="1"/>
  <c r="CO15" i="1" a="1"/>
  <c r="CO15" i="1"/>
  <c r="CO8" i="1" a="1"/>
  <c r="CO8" i="1"/>
  <c r="CM15" i="1" a="1"/>
  <c r="CM15" i="1"/>
  <c r="CM10" i="1" a="1"/>
  <c r="CM10" i="1"/>
  <c r="CM14" i="1" a="1"/>
  <c r="CM14" i="1"/>
  <c r="CM8" i="1" a="1"/>
  <c r="CM8" i="1"/>
  <c r="CM9" i="1" a="1"/>
  <c r="CM9" i="1"/>
  <c r="CM11" i="1" a="1"/>
  <c r="CM11" i="1"/>
  <c r="CM7" i="1" a="1"/>
  <c r="CM7" i="1"/>
  <c r="CQ11" i="1" a="1"/>
  <c r="CQ11" i="1"/>
  <c r="CQ14" i="1" a="1"/>
  <c r="CQ14" i="1"/>
  <c r="CQ10" i="1" a="1"/>
  <c r="CQ10" i="1"/>
  <c r="CQ7" i="1" a="1"/>
  <c r="CQ7" i="1"/>
  <c r="CQ9" i="1" a="1"/>
  <c r="CQ9" i="1"/>
  <c r="CQ15" i="1" a="1"/>
  <c r="CQ15" i="1"/>
  <c r="CQ8" i="1" a="1"/>
  <c r="CQ8" i="1"/>
  <c r="AS8" i="1"/>
  <c r="AP14" i="1"/>
  <c r="AP15" i="1"/>
  <c r="AP10" i="1"/>
  <c r="AP7" i="1"/>
  <c r="AV8" i="1"/>
  <c r="AP8" i="1"/>
  <c r="AP9" i="1"/>
  <c r="AV14" i="1"/>
  <c r="AS15" i="1"/>
  <c r="AV15" i="1"/>
  <c r="AS9" i="1"/>
  <c r="AS11" i="1"/>
  <c r="AV9" i="1"/>
  <c r="AS7" i="1"/>
  <c r="AV11" i="1"/>
  <c r="AV10" i="1"/>
  <c r="AS14" i="1"/>
  <c r="AV7" i="1"/>
  <c r="AP11" i="1"/>
  <c r="AS10" i="1"/>
  <c r="CL14" i="1" a="1"/>
  <c r="CL14" i="1"/>
  <c r="CL9" i="1" a="1"/>
  <c r="CL9" i="1"/>
  <c r="CL7" i="1" a="1"/>
  <c r="CL7" i="1"/>
  <c r="CL11" i="1" a="1"/>
  <c r="CL11" i="1"/>
  <c r="CL8" i="1" a="1"/>
  <c r="CL8" i="1"/>
  <c r="CL15" i="1" a="1"/>
  <c r="CL15" i="1"/>
  <c r="CL10" i="1" a="1"/>
  <c r="CL10" i="1"/>
  <c r="AU15" i="1"/>
  <c r="AR14" i="1"/>
  <c r="AU14" i="1"/>
  <c r="AU8" i="1"/>
  <c r="AR7" i="1"/>
  <c r="AR10" i="1"/>
  <c r="AU7" i="1"/>
  <c r="AR9" i="1"/>
  <c r="AU11" i="1"/>
  <c r="AU10" i="1"/>
  <c r="AR8" i="1"/>
  <c r="AU9" i="1"/>
  <c r="AR11" i="1"/>
  <c r="AR15" i="1"/>
  <c r="AO8" i="1" a="1"/>
  <c r="AO8" i="1"/>
  <c r="AL8" i="1" a="1"/>
  <c r="AL8" i="1"/>
  <c r="AK8" i="1" a="1"/>
  <c r="AK8" i="1"/>
  <c r="AH8" i="1" a="1"/>
  <c r="AH8" i="1"/>
  <c r="CY8" i="1" a="1"/>
  <c r="CY8" i="1"/>
  <c r="BX15" i="1" a="1"/>
  <c r="BX15" i="1"/>
  <c r="BT15" i="1" a="1"/>
  <c r="BT15" i="1"/>
  <c r="BA15" i="1" a="1"/>
  <c r="BA15" i="1"/>
  <c r="BQ15" i="1" a="1"/>
  <c r="BQ15" i="1"/>
  <c r="BJ9" i="1" a="1"/>
  <c r="BJ9" i="1"/>
  <c r="BD15" i="1" a="1"/>
  <c r="BD15" i="1"/>
  <c r="BQ9" i="1" a="1"/>
  <c r="BQ9" i="1"/>
  <c r="BY9" i="1" a="1"/>
  <c r="BY9" i="1"/>
  <c r="BL15" i="1" a="1"/>
  <c r="BL15" i="1"/>
  <c r="BB9" i="1" a="1"/>
  <c r="BB9" i="1"/>
  <c r="BJ15" i="1" a="1"/>
  <c r="BJ15" i="1"/>
  <c r="BH9" i="1" a="1"/>
  <c r="BH9" i="1"/>
  <c r="CF15" i="1" a="1"/>
  <c r="CF15" i="1"/>
  <c r="CE15" i="1" a="1"/>
  <c r="CE15" i="1"/>
  <c r="E22" i="1" a="1"/>
  <c r="E22" i="1"/>
  <c r="E19" i="1" a="1"/>
  <c r="E19" i="1"/>
  <c r="E20" i="1" a="1"/>
  <c r="E20" i="1"/>
  <c r="E17" i="1" a="1"/>
  <c r="E17" i="1"/>
  <c r="E18" i="1" a="1"/>
  <c r="E18" i="1"/>
  <c r="E21" i="1" a="1"/>
  <c r="E21" i="1"/>
  <c r="BF8" i="1" a="1"/>
  <c r="BF8" i="1"/>
  <c r="CD8" i="1" a="1"/>
  <c r="CD8" i="1"/>
  <c r="CG8" i="1" a="1"/>
  <c r="CG8" i="1"/>
  <c r="BD8" i="1" a="1"/>
  <c r="BD8" i="1"/>
  <c r="BI8" i="1" a="1"/>
  <c r="BI8" i="1"/>
  <c r="AE7" i="1" a="1"/>
  <c r="AE7" i="1"/>
  <c r="AL15" i="1" a="1"/>
  <c r="AL15" i="1"/>
  <c r="AO7" i="1" a="1"/>
  <c r="AO7" i="1"/>
  <c r="CW15" i="1" a="1"/>
  <c r="CW15" i="1"/>
  <c r="AF15" i="1" a="1"/>
  <c r="AF15" i="1"/>
  <c r="BC8" i="1" a="1"/>
  <c r="BC8" i="1"/>
  <c r="CA8" i="1" a="1"/>
  <c r="CA8" i="1"/>
  <c r="BX8" i="1" a="1"/>
  <c r="BX8" i="1"/>
  <c r="BL8" i="1" a="1"/>
  <c r="BL8" i="1"/>
  <c r="CX10" i="1" a="1"/>
  <c r="CX10" i="1"/>
  <c r="AO10" i="1" a="1"/>
  <c r="AO10" i="1"/>
  <c r="CW10" i="1" a="1"/>
  <c r="CW10" i="1"/>
  <c r="AF7" i="1" a="1"/>
  <c r="AF7" i="1"/>
  <c r="AH7" i="1" a="1"/>
  <c r="AH7" i="1"/>
  <c r="AE9" i="1" a="1"/>
  <c r="AE9" i="1"/>
  <c r="AK9" i="1" a="1"/>
  <c r="AK9" i="1"/>
  <c r="CC8" i="1" a="1"/>
  <c r="CC8" i="1"/>
  <c r="BW8" i="1" a="1"/>
  <c r="BW8" i="1"/>
  <c r="BH8" i="1" a="1"/>
  <c r="BH8" i="1"/>
  <c r="CE10" i="1" a="1"/>
  <c r="CE10" i="1"/>
  <c r="BL10" i="1" a="1"/>
  <c r="BL10" i="1"/>
  <c r="BT10" i="1" a="1"/>
  <c r="BT10" i="1"/>
  <c r="BV8" i="1" a="1"/>
  <c r="BV8" i="1"/>
  <c r="BG10" i="1" a="1"/>
  <c r="BG10" i="1"/>
  <c r="BD10" i="1" a="1"/>
  <c r="BD10" i="1"/>
  <c r="BB8" i="1" a="1"/>
  <c r="BB8" i="1"/>
  <c r="BK10" i="1" a="1"/>
  <c r="BK10" i="1"/>
  <c r="CG10" i="1" a="1"/>
  <c r="CG10" i="1"/>
  <c r="AZ10" i="1" a="1"/>
  <c r="AZ10" i="1"/>
  <c r="BZ8" i="1" a="1"/>
  <c r="BZ8" i="1"/>
  <c r="BF10" i="1" a="1"/>
  <c r="BF10" i="1"/>
  <c r="BH10" i="1" a="1"/>
  <c r="BH10" i="1"/>
  <c r="BP10" i="1" a="1"/>
  <c r="BP10" i="1"/>
  <c r="CA10" i="1" a="1"/>
  <c r="CA10" i="1"/>
  <c r="BO8" i="1" a="1"/>
  <c r="BO8" i="1"/>
  <c r="BR10" i="1" a="1"/>
  <c r="BR10" i="1"/>
  <c r="BU8" i="1" a="1"/>
  <c r="BU8" i="1"/>
  <c r="BV10" i="1" a="1"/>
  <c r="BV10" i="1"/>
  <c r="AL10" i="1" a="1"/>
  <c r="AL10" i="1"/>
  <c r="BK8" i="1" a="1"/>
  <c r="BK8" i="1"/>
  <c r="AI10" i="1" a="1"/>
  <c r="AI10" i="1"/>
  <c r="CB9" i="1" a="1"/>
  <c r="CB9" i="1"/>
  <c r="BO9" i="1" a="1"/>
  <c r="BO9" i="1"/>
  <c r="CC9" i="1" a="1"/>
  <c r="CC9" i="1"/>
  <c r="BU10" i="1" a="1"/>
  <c r="BU10" i="1"/>
  <c r="BN9" i="1" a="1"/>
  <c r="BN9" i="1"/>
  <c r="CY10" i="1" a="1"/>
  <c r="CY10" i="1"/>
  <c r="AN8" i="1" a="1"/>
  <c r="AN8" i="1"/>
  <c r="BX10" i="1" a="1"/>
  <c r="BX10" i="1"/>
  <c r="BN10" i="1" a="1"/>
  <c r="BN10" i="1"/>
  <c r="BT9" i="1" a="1"/>
  <c r="BT9" i="1"/>
  <c r="BA10" i="1" a="1"/>
  <c r="BA10" i="1"/>
  <c r="CA9" i="1" a="1"/>
  <c r="CA9" i="1"/>
  <c r="BO10" i="1" a="1"/>
  <c r="BO10" i="1"/>
  <c r="CA7" i="1" a="1"/>
  <c r="CA7" i="1"/>
  <c r="BZ10" i="1" a="1"/>
  <c r="BZ10" i="1"/>
  <c r="BM7" i="1" a="1"/>
  <c r="BM7" i="1"/>
  <c r="CF10" i="1" a="1"/>
  <c r="CF10" i="1"/>
  <c r="BQ7" i="1" a="1"/>
  <c r="BQ7" i="1"/>
  <c r="BA7" i="1" a="1"/>
  <c r="BA7" i="1"/>
  <c r="BS7" i="1" a="1"/>
  <c r="BS7" i="1"/>
  <c r="BE7" i="1" a="1"/>
  <c r="BE7" i="1"/>
  <c r="CX7" i="1" a="1"/>
  <c r="CX7" i="1"/>
  <c r="BB7" i="1" a="1"/>
  <c r="BB7" i="1"/>
  <c r="BG8" i="1" a="1"/>
  <c r="BG8" i="1"/>
  <c r="BP9" i="1" a="1"/>
  <c r="BP9" i="1"/>
  <c r="BX7" i="1" a="1"/>
  <c r="BX7" i="1"/>
  <c r="BS10" i="1" a="1"/>
  <c r="BS10" i="1"/>
  <c r="BK7" i="1" a="1"/>
  <c r="BK7" i="1"/>
  <c r="CF8" i="1" a="1"/>
  <c r="CF8" i="1"/>
  <c r="BJ10" i="1" a="1"/>
  <c r="BJ10" i="1"/>
  <c r="CD7" i="1" a="1"/>
  <c r="CD7" i="1"/>
  <c r="CB10" i="1" a="1"/>
  <c r="CB10" i="1"/>
  <c r="BW10" i="1" a="1"/>
  <c r="BW10" i="1"/>
  <c r="AE15" i="1" a="1"/>
  <c r="AE15" i="1"/>
  <c r="AK15" i="1" a="1"/>
  <c r="AK15" i="1"/>
  <c r="AL14" i="1" a="1"/>
  <c r="AL14" i="1"/>
  <c r="CC7" i="1" a="1"/>
  <c r="CC7" i="1"/>
  <c r="AN11" i="1" a="1"/>
  <c r="AN11" i="1"/>
  <c r="CG7" i="1" a="1"/>
  <c r="CG7" i="1"/>
  <c r="BY7" i="1" a="1"/>
  <c r="BY7" i="1"/>
  <c r="AH14" i="1" a="1"/>
  <c r="AH14" i="1"/>
  <c r="AK11" i="1" a="1"/>
  <c r="AK11" i="1"/>
  <c r="BR7" i="1" a="1"/>
  <c r="BR7" i="1"/>
  <c r="BT7" i="1" a="1"/>
  <c r="BT7" i="1"/>
  <c r="AO14" i="1" a="1"/>
  <c r="AO14" i="1"/>
  <c r="CY11" i="1" a="1"/>
  <c r="CY11" i="1"/>
  <c r="CW14" i="1" a="1"/>
  <c r="CW14" i="1"/>
  <c r="AH11" i="1" a="1"/>
  <c r="AH11" i="1"/>
  <c r="AN14" i="1" a="1"/>
  <c r="AN14" i="1"/>
  <c r="AK14" i="1" a="1"/>
  <c r="AK14" i="1"/>
  <c r="BL9" i="1" a="1"/>
  <c r="BL9" i="1"/>
  <c r="AF14" i="1" a="1"/>
  <c r="AF14" i="1"/>
  <c r="BX9" i="1" a="1"/>
  <c r="BX9" i="1"/>
  <c r="BG9" i="1" a="1"/>
  <c r="BG9" i="1"/>
  <c r="BR8" i="1" a="1"/>
  <c r="BR8" i="1"/>
  <c r="BF9" i="1" a="1"/>
  <c r="BF9" i="1"/>
  <c r="BC15" i="1" a="1"/>
  <c r="BC15" i="1"/>
  <c r="BS8" i="1" a="1"/>
  <c r="BS8" i="1"/>
  <c r="BR15" i="1" a="1"/>
  <c r="BR15" i="1"/>
  <c r="CD15" i="1" a="1"/>
  <c r="CD15" i="1"/>
  <c r="BY8" i="1" a="1"/>
  <c r="BY8" i="1"/>
  <c r="CW11" i="1" a="1"/>
  <c r="CW11" i="1"/>
  <c r="BF15" i="1" a="1"/>
  <c r="BF15" i="1"/>
  <c r="BM8" i="1" a="1"/>
  <c r="BM8" i="1"/>
  <c r="AL11" i="1" a="1"/>
  <c r="AL11" i="1"/>
  <c r="CG15" i="1" a="1"/>
  <c r="CG15" i="1"/>
  <c r="AF11" i="1" a="1"/>
  <c r="AF11" i="1"/>
  <c r="BS15" i="1" a="1"/>
  <c r="BS15" i="1"/>
  <c r="BN7" i="1" a="1"/>
  <c r="BN7" i="1"/>
  <c r="CX8" i="1" a="1"/>
  <c r="CX8" i="1"/>
  <c r="AH15" i="1" a="1"/>
  <c r="AH15" i="1"/>
  <c r="BU15" i="1" a="1"/>
  <c r="BU15" i="1"/>
  <c r="BG7" i="1" a="1"/>
  <c r="BG7" i="1"/>
  <c r="BE15" i="1" a="1"/>
  <c r="BE15" i="1"/>
  <c r="AO15" i="1" a="1"/>
  <c r="AO15" i="1"/>
  <c r="CB15" i="1" a="1"/>
  <c r="CB15" i="1"/>
  <c r="AZ7" i="1" a="1"/>
  <c r="AZ7" i="1"/>
  <c r="AI8" i="1" a="1"/>
  <c r="AI8" i="1"/>
  <c r="BG15" i="1" a="1"/>
  <c r="BG15" i="1"/>
  <c r="CX11" i="1" a="1"/>
  <c r="CX11" i="1"/>
  <c r="BH7" i="1" a="1"/>
  <c r="BH7" i="1"/>
  <c r="AE11" i="1" a="1"/>
  <c r="AE11" i="1"/>
  <c r="BV7" i="1" a="1"/>
  <c r="BV7" i="1"/>
  <c r="AO11" i="1" a="1"/>
  <c r="AO11" i="1"/>
  <c r="AI15" i="1" a="1"/>
  <c r="AI15" i="1"/>
  <c r="CX15" i="1" a="1"/>
  <c r="CX15" i="1"/>
  <c r="AN15" i="1" a="1"/>
  <c r="AN15" i="1"/>
  <c r="AI11" i="1" a="1"/>
  <c r="AI11" i="1"/>
  <c r="BN11" i="1" a="1"/>
  <c r="BN11" i="1"/>
  <c r="AH10" i="1" a="1"/>
  <c r="AH10" i="1"/>
  <c r="BK11" i="1" a="1"/>
  <c r="BK11" i="1"/>
  <c r="AE10" i="1" a="1"/>
  <c r="AE10" i="1"/>
  <c r="BV11" i="1" a="1"/>
  <c r="BV11" i="1"/>
  <c r="CY9" i="1" a="1"/>
  <c r="CY9" i="1"/>
  <c r="AN9" i="1" a="1"/>
  <c r="AN9" i="1"/>
  <c r="AE8" i="1" a="1"/>
  <c r="AE8" i="1"/>
  <c r="AI9" i="1" a="1"/>
  <c r="AI9" i="1"/>
  <c r="BU11" i="1" a="1"/>
  <c r="BU11" i="1"/>
  <c r="CW9" i="1" a="1"/>
  <c r="CW9" i="1"/>
  <c r="AE14" i="1" a="1"/>
  <c r="AE14" i="1"/>
  <c r="AH9" i="1" a="1"/>
  <c r="AH9" i="1"/>
  <c r="AO9" i="1" a="1"/>
  <c r="AO9" i="1"/>
  <c r="AI14" i="1" a="1"/>
  <c r="AI14" i="1"/>
  <c r="CW8" i="1" a="1"/>
  <c r="CW8" i="1"/>
  <c r="BW11" i="1" a="1"/>
  <c r="BW11" i="1"/>
  <c r="CX14" i="1" a="1"/>
  <c r="CX14" i="1"/>
  <c r="CF7" i="1" a="1"/>
  <c r="CF7" i="1"/>
  <c r="BA11" i="1" a="1"/>
  <c r="BA11" i="1"/>
  <c r="AK7" i="1" a="1"/>
  <c r="AK7" i="1"/>
  <c r="BC7" i="1" a="1"/>
  <c r="BC7" i="1"/>
  <c r="BR11" i="1" a="1"/>
  <c r="BR11" i="1"/>
  <c r="CY15" i="1" a="1"/>
  <c r="CY15" i="1"/>
  <c r="CY7" i="1" a="1"/>
  <c r="CY7" i="1"/>
  <c r="BW7" i="1" a="1"/>
  <c r="BW7" i="1"/>
  <c r="BE11" i="1" a="1"/>
  <c r="BE11" i="1"/>
  <c r="CE7" i="1" a="1"/>
  <c r="CE7" i="1"/>
  <c r="BD7" i="1" a="1"/>
  <c r="BD7" i="1"/>
  <c r="BO7" i="1" a="1"/>
  <c r="BO7" i="1"/>
  <c r="BQ11" i="1" a="1"/>
  <c r="BQ11" i="1"/>
  <c r="BJ7" i="1" a="1"/>
  <c r="BJ7" i="1"/>
  <c r="BP7" i="1" a="1"/>
  <c r="BP7" i="1"/>
  <c r="AF9" i="1" a="1"/>
  <c r="AF9" i="1"/>
  <c r="BL7" i="1" a="1"/>
  <c r="BL7" i="1"/>
  <c r="BB11" i="1" a="1"/>
  <c r="BB11" i="1"/>
  <c r="BZ7" i="1" a="1"/>
  <c r="BZ7" i="1"/>
  <c r="BI7" i="1" a="1"/>
  <c r="BI7" i="1"/>
  <c r="AF8" i="1" a="1"/>
  <c r="AF8" i="1"/>
  <c r="AN7" i="1" a="1"/>
  <c r="AN7" i="1"/>
  <c r="BC14" i="1" a="1"/>
  <c r="BC14" i="1"/>
  <c r="AL7" i="1" a="1"/>
  <c r="AL7" i="1"/>
  <c r="BL14" i="1" a="1"/>
  <c r="BL14" i="1"/>
  <c r="CX9" i="1" a="1"/>
  <c r="CX9" i="1"/>
  <c r="BJ14" i="1" a="1"/>
  <c r="BJ14" i="1"/>
  <c r="BG14" i="1" a="1"/>
  <c r="BG14" i="1"/>
  <c r="CD10" i="1" a="1"/>
  <c r="CD10" i="1"/>
  <c r="CE14" i="1" a="1"/>
  <c r="CE14" i="1"/>
  <c r="BQ14" i="1" a="1"/>
  <c r="BQ14" i="1"/>
  <c r="BY14" i="1" a="1"/>
  <c r="BY14" i="1"/>
  <c r="AL9" i="1" a="1"/>
  <c r="AL9" i="1"/>
  <c r="BB10" i="1" a="1"/>
  <c r="BB10" i="1"/>
  <c r="CB14" i="1" a="1"/>
  <c r="CB14" i="1"/>
  <c r="BZ14" i="1" a="1"/>
  <c r="BZ14" i="1"/>
  <c r="BT14" i="1" a="1"/>
  <c r="BT14" i="1"/>
  <c r="AK10" i="1" a="1"/>
  <c r="AK10" i="1"/>
  <c r="BE14" i="1" a="1"/>
  <c r="BE14" i="1"/>
  <c r="BY10" i="1" a="1"/>
  <c r="BY10" i="1"/>
  <c r="CF14" i="1" a="1"/>
  <c r="CF14" i="1"/>
  <c r="BA14" i="1" a="1"/>
  <c r="BA14" i="1"/>
  <c r="BC9" i="1" a="1"/>
  <c r="BC9" i="1"/>
  <c r="BS14" i="1" a="1"/>
  <c r="BS14" i="1"/>
  <c r="CG14" i="1" a="1"/>
  <c r="CG14" i="1"/>
  <c r="BM9" i="1" a="1"/>
  <c r="BM9" i="1"/>
  <c r="BB15" i="1" a="1"/>
  <c r="BB15" i="1"/>
  <c r="BI14" i="1" a="1"/>
  <c r="BI14" i="1"/>
  <c r="AZ9" i="1" a="1"/>
  <c r="AZ9" i="1"/>
  <c r="AI7" i="1" a="1"/>
  <c r="AI7" i="1"/>
  <c r="BV14" i="1" a="1"/>
  <c r="BV14" i="1"/>
  <c r="BF14" i="1" a="1"/>
  <c r="BF14" i="1"/>
  <c r="BA9" i="1" a="1"/>
  <c r="BA9" i="1"/>
  <c r="BN14" i="1" a="1"/>
  <c r="BN14" i="1"/>
  <c r="CW7" i="1" a="1"/>
  <c r="CW7" i="1"/>
  <c r="BK9" i="1" a="1"/>
  <c r="BK9" i="1"/>
  <c r="BR14" i="1" a="1"/>
  <c r="BR14" i="1"/>
  <c r="AZ15" i="1" a="1"/>
  <c r="AZ15" i="1"/>
  <c r="AF10" i="1" a="1"/>
  <c r="AF10" i="1"/>
  <c r="BH14" i="1" a="1"/>
  <c r="BH14" i="1"/>
  <c r="BM14" i="1" a="1"/>
  <c r="BM14" i="1"/>
  <c r="BW14" i="1" a="1"/>
  <c r="BW14" i="1"/>
  <c r="BZ9" i="1" a="1"/>
  <c r="BZ9" i="1"/>
  <c r="CC14" i="1" a="1"/>
  <c r="CC14" i="1"/>
  <c r="BN15" i="1" a="1"/>
  <c r="BN15" i="1"/>
  <c r="CD14" i="1" a="1"/>
  <c r="CD14" i="1"/>
  <c r="CA14" i="1" a="1"/>
  <c r="CA14" i="1"/>
  <c r="BE8" i="1" a="1"/>
  <c r="BE8" i="1"/>
  <c r="BI9" i="1" a="1"/>
  <c r="BI9" i="1"/>
  <c r="BK14" i="1" a="1"/>
  <c r="BK14" i="1"/>
  <c r="AN10" i="1" a="1"/>
  <c r="AN10" i="1"/>
  <c r="BN8" i="1" a="1"/>
  <c r="BN8" i="1"/>
  <c r="CC10" i="1" a="1"/>
  <c r="CC10" i="1"/>
  <c r="BP14" i="1" a="1"/>
  <c r="BP14" i="1"/>
  <c r="BQ8" i="1" a="1"/>
  <c r="BQ8" i="1"/>
  <c r="CD9" i="1" a="1"/>
  <c r="CD9" i="1"/>
  <c r="BM10" i="1" a="1"/>
  <c r="BM10" i="1"/>
  <c r="BX14" i="1" a="1"/>
  <c r="BX14" i="1"/>
  <c r="BP8" i="1" a="1"/>
  <c r="BP8" i="1"/>
  <c r="CY14" i="1" a="1"/>
  <c r="CY14" i="1"/>
  <c r="BV9" i="1" a="1"/>
  <c r="BV9" i="1"/>
  <c r="BB14" i="1" a="1"/>
  <c r="BB14" i="1"/>
  <c r="CB8" i="1" a="1"/>
  <c r="CB8" i="1"/>
  <c r="BC10" i="1" a="1"/>
  <c r="BC10" i="1"/>
  <c r="BU14" i="1" a="1"/>
  <c r="BU14" i="1"/>
  <c r="BT8" i="1" a="1"/>
  <c r="BT8" i="1"/>
  <c r="BD9" i="1" a="1"/>
  <c r="BD9" i="1"/>
  <c r="CC11" i="1" a="1"/>
  <c r="CC11" i="1"/>
  <c r="BJ8" i="1" a="1"/>
  <c r="BJ8" i="1"/>
  <c r="BD14" i="1" a="1"/>
  <c r="BD14" i="1"/>
  <c r="BT11" i="1" a="1"/>
  <c r="BT11" i="1"/>
  <c r="BE10" i="1" a="1"/>
  <c r="BE10" i="1"/>
  <c r="BU9" i="1" a="1"/>
  <c r="BU9" i="1"/>
  <c r="BO14" i="1" a="1"/>
  <c r="BO14" i="1"/>
  <c r="CE11" i="1" a="1"/>
  <c r="CE11" i="1"/>
  <c r="BS11" i="1" a="1"/>
  <c r="BS11" i="1"/>
  <c r="CB11" i="1" a="1"/>
  <c r="CB11" i="1"/>
  <c r="AZ14" i="1" a="1"/>
  <c r="AZ14" i="1"/>
  <c r="AZ11" i="1" a="1"/>
  <c r="AZ11" i="1"/>
  <c r="BX11" i="1" a="1"/>
  <c r="BX11" i="1"/>
  <c r="CA11" i="1" a="1"/>
  <c r="CA11" i="1"/>
  <c r="CG11" i="1" a="1"/>
  <c r="CG11" i="1"/>
  <c r="BZ11" i="1" a="1"/>
  <c r="BZ11" i="1"/>
  <c r="BP11" i="1" a="1"/>
  <c r="BP11" i="1"/>
  <c r="CD11" i="1" a="1"/>
  <c r="CD11" i="1"/>
  <c r="BJ11" i="1" a="1"/>
  <c r="BJ11" i="1"/>
  <c r="BI11" i="1" a="1"/>
  <c r="BI11" i="1"/>
  <c r="CF11" i="1" a="1"/>
  <c r="CF11" i="1"/>
  <c r="BM11" i="1" a="1"/>
  <c r="BM11" i="1"/>
  <c r="BE9" i="1" a="1"/>
  <c r="BE9" i="1"/>
  <c r="CE9" i="1" a="1"/>
  <c r="CE9" i="1"/>
  <c r="CG9" i="1" a="1"/>
  <c r="CG9" i="1"/>
  <c r="BC11" i="1" a="1"/>
  <c r="BC11" i="1"/>
  <c r="BW15" i="1" a="1"/>
  <c r="BW15" i="1"/>
  <c r="BO11" i="1" a="1"/>
  <c r="BO11" i="1"/>
  <c r="BS9" i="1" a="1"/>
  <c r="BS9" i="1"/>
  <c r="BY15" i="1" a="1"/>
  <c r="BY15" i="1"/>
  <c r="CC15" i="1" a="1"/>
  <c r="CC15" i="1"/>
  <c r="BY11" i="1" a="1"/>
  <c r="BY11" i="1"/>
  <c r="BM15" i="1" a="1"/>
  <c r="BM15" i="1"/>
  <c r="CE8" i="1" a="1"/>
  <c r="CE8" i="1"/>
  <c r="BG11" i="1" a="1"/>
  <c r="BG11" i="1"/>
  <c r="BL11" i="1" a="1"/>
  <c r="BL11" i="1"/>
  <c r="AZ8" i="1" a="1"/>
  <c r="AZ8" i="1"/>
  <c r="BF11" i="1" a="1"/>
  <c r="BF11" i="1"/>
  <c r="BH11" i="1" a="1"/>
  <c r="BH11" i="1"/>
  <c r="BA8" i="1" a="1"/>
  <c r="BA8" i="1"/>
  <c r="BD11" i="1" a="1"/>
  <c r="BD11" i="1"/>
  <c r="BI10" i="1" a="1"/>
  <c r="BI10" i="1"/>
  <c r="BQ10" i="1" a="1"/>
  <c r="BQ10" i="1"/>
  <c r="BV15" i="1" a="1"/>
  <c r="BV15" i="1"/>
  <c r="BZ15" i="1" a="1"/>
  <c r="BZ15" i="1"/>
  <c r="BP15" i="1" a="1"/>
  <c r="BP15" i="1"/>
  <c r="BK15" i="1" a="1"/>
  <c r="BK15" i="1"/>
  <c r="CA15" i="1" a="1"/>
  <c r="CA15" i="1"/>
  <c r="BO15" i="1" a="1"/>
  <c r="BO15" i="1"/>
  <c r="BI15" i="1" a="1"/>
  <c r="BI15" i="1"/>
  <c r="BH15" i="1" a="1"/>
  <c r="BH15" i="1"/>
  <c r="BU7" i="1" a="1"/>
  <c r="BU7" i="1"/>
  <c r="CB7" i="1" a="1"/>
  <c r="CB7" i="1"/>
  <c r="BF7" i="1" a="1"/>
  <c r="BF7" i="1"/>
  <c r="BW9" i="1" a="1"/>
  <c r="BW9" i="1"/>
  <c r="CF9" i="1" a="1"/>
  <c r="CF9" i="1"/>
  <c r="BR9" i="1" a="1"/>
  <c r="BR9" i="1"/>
  <c r="H14" i="2"/>
  <c r="G14" i="2"/>
  <c r="F14" i="2"/>
  <c r="E14" i="2"/>
  <c r="H13" i="2"/>
  <c r="G13" i="2"/>
  <c r="F13" i="2"/>
  <c r="E13" i="2"/>
  <c r="C14" i="2"/>
  <c r="C13" i="2"/>
  <c r="D9" i="2" l="1"/>
  <c r="D8" i="2"/>
  <c r="D7" i="2"/>
  <c r="D6" i="2"/>
  <c r="CI14" i="1" l="1"/>
  <c r="CJ14" i="1"/>
  <c r="CK14" i="1"/>
  <c r="AJ14" i="1"/>
  <c r="AD14" i="1"/>
  <c r="CH14" i="1"/>
  <c r="AQ14" i="1"/>
  <c r="AG14" i="1"/>
  <c r="AY14" i="1" l="1"/>
  <c r="AX14" i="1"/>
  <c r="AW14" i="1"/>
  <c r="D5" i="2" l="1"/>
  <c r="D4" i="2"/>
  <c r="D14" i="2" s="1"/>
  <c r="D3" i="2"/>
  <c r="D13" i="2" s="1"/>
  <c r="CH15" i="1" l="1"/>
  <c r="AJ15" i="1"/>
  <c r="CK15" i="1"/>
  <c r="CJ15" i="1"/>
  <c r="AD15" i="1"/>
  <c r="AG15" i="1"/>
  <c r="CI15" i="1"/>
  <c r="AQ15" i="1"/>
  <c r="AY15" i="1" l="1"/>
  <c r="AX15" i="1"/>
  <c r="AW15" i="1"/>
  <c r="Z20" i="1"/>
  <c r="Y20" i="1"/>
  <c r="X20" i="1"/>
  <c r="W20" i="1"/>
  <c r="V20" i="1"/>
  <c r="U20" i="1"/>
  <c r="T20" i="1"/>
  <c r="S20" i="1"/>
  <c r="R20" i="1"/>
  <c r="Z19" i="1"/>
  <c r="Y19" i="1"/>
  <c r="X19" i="1"/>
  <c r="W19" i="1"/>
  <c r="V19" i="1"/>
  <c r="U19" i="1"/>
  <c r="T19" i="1"/>
  <c r="S19" i="1"/>
  <c r="R19" i="1"/>
  <c r="Z18" i="1"/>
  <c r="Y18" i="1"/>
  <c r="X18" i="1"/>
  <c r="W18" i="1"/>
  <c r="V18" i="1"/>
  <c r="U18" i="1"/>
  <c r="T18" i="1"/>
  <c r="S18" i="1"/>
  <c r="R18" i="1"/>
  <c r="Z17" i="1"/>
  <c r="Y17" i="1"/>
  <c r="X17" i="1"/>
  <c r="W17" i="1"/>
  <c r="V17" i="1"/>
  <c r="U17" i="1"/>
  <c r="T17" i="1"/>
  <c r="S17" i="1"/>
  <c r="R17" i="1"/>
  <c r="CK8" i="1" l="1"/>
  <c r="AJ8" i="1"/>
  <c r="AD7" i="1"/>
  <c r="AP18" i="1"/>
  <c r="AP19" i="1"/>
  <c r="AP20" i="1"/>
  <c r="AP17" i="1"/>
  <c r="AR19" i="1"/>
  <c r="AR20" i="1"/>
  <c r="AR17" i="1"/>
  <c r="AR18" i="1"/>
  <c r="N18" i="1"/>
  <c r="N19" i="1"/>
  <c r="N20" i="1"/>
  <c r="N17" i="1"/>
  <c r="CH7" i="1"/>
  <c r="AD8" i="1"/>
  <c r="AQ7" i="1"/>
  <c r="AV17" i="1"/>
  <c r="AV18" i="1"/>
  <c r="AV19" i="1"/>
  <c r="AV20" i="1"/>
  <c r="CI7" i="1"/>
  <c r="CR17" i="1"/>
  <c r="CR18" i="1"/>
  <c r="CR19" i="1"/>
  <c r="CR20" i="1"/>
  <c r="CJ7" i="1"/>
  <c r="CT18" i="1"/>
  <c r="CT19" i="1"/>
  <c r="CT20" i="1"/>
  <c r="CT17" i="1"/>
  <c r="CV19" i="1"/>
  <c r="CV20" i="1"/>
  <c r="CV17" i="1"/>
  <c r="CV18" i="1"/>
  <c r="AG10" i="1"/>
  <c r="AQ11" i="1"/>
  <c r="CS17" i="1"/>
  <c r="CS18" i="1"/>
  <c r="CS19" i="1"/>
  <c r="CS20" i="1"/>
  <c r="CH8" i="1"/>
  <c r="AJ9" i="1"/>
  <c r="AQ10" i="1"/>
  <c r="CH10" i="1"/>
  <c r="AD11" i="1"/>
  <c r="AG7" i="1"/>
  <c r="CU18" i="1"/>
  <c r="CU19" i="1"/>
  <c r="CU20" i="1"/>
  <c r="CU17" i="1"/>
  <c r="AX8" i="1"/>
  <c r="CI8" i="1"/>
  <c r="CH9" i="1"/>
  <c r="AD10" i="1"/>
  <c r="CI10" i="1"/>
  <c r="AQ9" i="1"/>
  <c r="CI9" i="1"/>
  <c r="CK10" i="1"/>
  <c r="O18" i="1"/>
  <c r="O19" i="1"/>
  <c r="O20" i="1"/>
  <c r="O17" i="1"/>
  <c r="CJ8" i="1"/>
  <c r="AD9" i="1"/>
  <c r="AW9" i="1"/>
  <c r="CJ9" i="1"/>
  <c r="AM17" i="1"/>
  <c r="AM18" i="1"/>
  <c r="AM19" i="1"/>
  <c r="AM20" i="1"/>
  <c r="P19" i="1"/>
  <c r="P20" i="1"/>
  <c r="P17" i="1"/>
  <c r="P18" i="1"/>
  <c r="AJ7" i="1"/>
  <c r="CK7" i="1"/>
  <c r="AY8" i="1"/>
  <c r="AJ10" i="1"/>
  <c r="AS20" i="1"/>
  <c r="AS17" i="1"/>
  <c r="AS18" i="1"/>
  <c r="AS19" i="1"/>
  <c r="AT20" i="1"/>
  <c r="AT17" i="1"/>
  <c r="AT18" i="1"/>
  <c r="AT19" i="1"/>
  <c r="AQ8" i="1"/>
  <c r="Q19" i="1"/>
  <c r="Q20" i="1"/>
  <c r="Q17" i="1"/>
  <c r="Q18" i="1"/>
  <c r="AU17" i="1"/>
  <c r="AU18" i="1"/>
  <c r="AU19" i="1"/>
  <c r="AU20" i="1"/>
  <c r="AG8" i="1"/>
  <c r="AY9" i="1"/>
  <c r="CK9" i="1"/>
  <c r="AY10" i="1"/>
  <c r="AJ11" i="1"/>
  <c r="CJ11" i="1"/>
  <c r="CK11" i="1"/>
  <c r="CJ10" i="1"/>
  <c r="AX11" i="1"/>
  <c r="CH11" i="1"/>
  <c r="CI11" i="1"/>
  <c r="AG9" i="1"/>
  <c r="AG11" i="1"/>
  <c r="AW11" i="1" l="1"/>
  <c r="AX7" i="1"/>
  <c r="AJ19" i="1"/>
  <c r="AJ20" i="1"/>
  <c r="AJ17" i="1"/>
  <c r="AJ18" i="1"/>
  <c r="CM18" i="1"/>
  <c r="CM19" i="1"/>
  <c r="CM20" i="1"/>
  <c r="CM17" i="1"/>
  <c r="AW8" i="1"/>
  <c r="CP20" i="1"/>
  <c r="CP17" i="1"/>
  <c r="CP18" i="1"/>
  <c r="CP19" i="1"/>
  <c r="AK20" i="1"/>
  <c r="AK17" i="1"/>
  <c r="AK18" i="1"/>
  <c r="AK19" i="1"/>
  <c r="AQ19" i="1"/>
  <c r="AQ20" i="1"/>
  <c r="AQ17" i="1"/>
  <c r="AQ18" i="1"/>
  <c r="AF17" i="1"/>
  <c r="AF18" i="1"/>
  <c r="AF19" i="1"/>
  <c r="AF20" i="1"/>
  <c r="CX20" i="1"/>
  <c r="CX17" i="1"/>
  <c r="CX18" i="1"/>
  <c r="CX19" i="1"/>
  <c r="AD20" i="1"/>
  <c r="AD17" i="1"/>
  <c r="AD18" i="1"/>
  <c r="AD19" i="1"/>
  <c r="AN17" i="1"/>
  <c r="AN18" i="1"/>
  <c r="AN19" i="1"/>
  <c r="AN20" i="1"/>
  <c r="CY20" i="1"/>
  <c r="CY17" i="1"/>
  <c r="CY18" i="1"/>
  <c r="CY19" i="1"/>
  <c r="AH18" i="1"/>
  <c r="AH19" i="1"/>
  <c r="AH20" i="1"/>
  <c r="AH17" i="1"/>
  <c r="CQ20" i="1"/>
  <c r="CQ17" i="1"/>
  <c r="CQ18" i="1"/>
  <c r="CQ19" i="1"/>
  <c r="CL18" i="1"/>
  <c r="CL19" i="1"/>
  <c r="CL20" i="1"/>
  <c r="CL17" i="1"/>
  <c r="AX10" i="1"/>
  <c r="AY11" i="1"/>
  <c r="AL20" i="1"/>
  <c r="AL17" i="1"/>
  <c r="AL18" i="1"/>
  <c r="AL19" i="1"/>
  <c r="AW10" i="1"/>
  <c r="CO19" i="1"/>
  <c r="CO20" i="1"/>
  <c r="CO17" i="1"/>
  <c r="CO18" i="1"/>
  <c r="CN19" i="1"/>
  <c r="CN20" i="1"/>
  <c r="CN17" i="1"/>
  <c r="CN18" i="1"/>
  <c r="AX9" i="1"/>
  <c r="AE17" i="1"/>
  <c r="AE18" i="1"/>
  <c r="AE19" i="1"/>
  <c r="AE20" i="1"/>
  <c r="AI19" i="1"/>
  <c r="AI20" i="1"/>
  <c r="AI17" i="1"/>
  <c r="AI18" i="1"/>
  <c r="CW19" i="1"/>
  <c r="CW20" i="1"/>
  <c r="CW17" i="1"/>
  <c r="CW18" i="1"/>
  <c r="AG18" i="1"/>
  <c r="AG19" i="1"/>
  <c r="AG20" i="1"/>
  <c r="AG17" i="1"/>
  <c r="AY7" i="1"/>
  <c r="AO18" i="1"/>
  <c r="AO19" i="1"/>
  <c r="AO20" i="1"/>
  <c r="AO17" i="1"/>
  <c r="AW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tc={F41902F7-55D2-4AEE-9A90-4A1C9A95CD7E}</author>
    <author>tc={C003E2EC-F24D-42B9-A14E-C4394F8E2CE9}</author>
  </authors>
  <commentList>
    <comment ref="CX4" authorId="0" shapeId="0" xr:uid="{F41902F7-55D2-4AEE-9A90-4A1C9A95CD7E}">
      <text>
        <t>[Threaded comment]
Your version of Excel allows you to read this threaded comment; however, any edits to it will get removed if the file is opened in a newer version of Excel. Learn more: https://go.microsoft.com/fwlink/?linkid=870924
Comment:
    another formula</t>
      </text>
    </comment>
    <comment ref="CY4" authorId="1" shapeId="0" xr:uid="{C003E2EC-F24D-42B9-A14E-C4394F8E2CE9}">
      <text>
        <t>[Threaded comment]
Your version of Excel allows you to read this threaded comment; however, any edits to it will get removed if the file is opened in a newer version of Excel. Learn more: https://go.microsoft.com/fwlink/?linkid=870924
Comment:
    another formula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tc={6A38511B-7CB0-4C51-B287-F44A08358856}</author>
    <author>tc={74278FF2-B988-4C12-AA47-4FE17057263F}</author>
  </authors>
  <commentList>
    <comment ref="CX4" authorId="0" shapeId="0" xr:uid="{6A38511B-7CB0-4C51-B287-F44A08358856}">
      <text>
        <t>[Threaded comment]
Your version of Excel allows you to read this threaded comment; however, any edits to it will get removed if the file is opened in a newer version of Excel. Learn more: https://go.microsoft.com/fwlink/?linkid=870924
Comment:
    another formula</t>
      </text>
    </comment>
    <comment ref="CY4" authorId="1" shapeId="0" xr:uid="{74278FF2-B988-4C12-AA47-4FE17057263F}">
      <text>
        <t>[Threaded comment]
Your version of Excel allows you to read this threaded comment; however, any edits to it will get removed if the file is opened in a newer version of Excel. Learn more: https://go.microsoft.com/fwlink/?linkid=870924
Comment:
    another formula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<sst xmlns="http://schemas.openxmlformats.org/spreadsheetml/2006/main" count="410" uniqueCount="164">
  <si>
    <t>Currency</t>
  </si>
  <si>
    <t>HKD</t>
  </si>
  <si>
    <t>USD</t>
  </si>
  <si>
    <t>CRNCY_ADJ_MKT_CAP</t>
  </si>
  <si>
    <t>Crncy Adj Mkt Cap</t>
  </si>
  <si>
    <t>Px Last</t>
  </si>
  <si>
    <t>Net Assets</t>
  </si>
  <si>
    <t>Sales Rev Turn</t>
  </si>
  <si>
    <t>Net Income</t>
  </si>
  <si>
    <t>Gross_Margin_Adjusted</t>
  </si>
  <si>
    <t>EBITDA_MARGIN_ADJUSTED</t>
  </si>
  <si>
    <t>Prof Margin</t>
  </si>
  <si>
    <t>Sales_Growth</t>
  </si>
  <si>
    <t>Net Inc Growth</t>
  </si>
  <si>
    <t>TOT_DEBT_TO_TOT_EQY</t>
  </si>
  <si>
    <t>TOT_DEBT_TO_COM_EQY</t>
  </si>
  <si>
    <t>NET_DEBT_TO_SHRHLDR_EQTY</t>
  </si>
  <si>
    <t>TOT_DEBT_TO_TOT_ASSET</t>
  </si>
  <si>
    <t>RETURN_ON_ASSET</t>
  </si>
  <si>
    <t>RETURN_COM_EQY</t>
  </si>
  <si>
    <t>Pe Ratio</t>
  </si>
  <si>
    <t>BEST_EV_TO_BEST_EBITDA</t>
  </si>
  <si>
    <t>Px To Book Ratio</t>
  </si>
  <si>
    <t>EQY_DVD_YLD_IND</t>
  </si>
  <si>
    <t>BEST_DIV_YLD</t>
  </si>
  <si>
    <t>CIE_DES</t>
  </si>
  <si>
    <t>Company Name</t>
  </si>
  <si>
    <t>公司名</t>
  </si>
  <si>
    <t>Stock Code</t>
  </si>
  <si>
    <t>Operating Data</t>
  </si>
  <si>
    <t xml:space="preserve">Valuation </t>
  </si>
  <si>
    <t>Forecast CAGR</t>
  </si>
  <si>
    <t>Key financials (USD'b)</t>
  </si>
  <si>
    <t>Volatility</t>
  </si>
  <si>
    <t>Listing date</t>
  </si>
  <si>
    <t>Market Capitalization (HKD 'm)</t>
  </si>
  <si>
    <t>Market Capitalization (USD 'm)</t>
  </si>
  <si>
    <t>Price (Traded Currency)</t>
  </si>
  <si>
    <t>Net Assets (HKD 'm)</t>
  </si>
  <si>
    <t>Net Assets (USD 'm)</t>
  </si>
  <si>
    <t>Revenue (HKD 'm)</t>
  </si>
  <si>
    <t>Revenue (USD 'm)</t>
  </si>
  <si>
    <t>Net Profit (HKD 'm)</t>
  </si>
  <si>
    <t>Net Profit (USD 'm)</t>
  </si>
  <si>
    <t>GP Margin (%)</t>
  </si>
  <si>
    <t>EBITDA Margin
(%)</t>
  </si>
  <si>
    <t>NP Margin (%)</t>
  </si>
  <si>
    <t>Revenue Growth (%)</t>
  </si>
  <si>
    <t>NP Growth (%)</t>
  </si>
  <si>
    <t>Debt to equity</t>
  </si>
  <si>
    <t>Debt to common equity</t>
  </si>
  <si>
    <t>Net debt To Shareholders Equity</t>
  </si>
  <si>
    <t>Total Debt to Total Assets</t>
  </si>
  <si>
    <t>ROA</t>
  </si>
  <si>
    <t>EV 
(HKD'm)</t>
  </si>
  <si>
    <t>EV 
(USD'm)</t>
  </si>
  <si>
    <t>ROE</t>
  </si>
  <si>
    <t>TTM Sales Profit (HKD 'm)</t>
  </si>
  <si>
    <t>TTM Net Profit (HKD 'm)</t>
  </si>
  <si>
    <t>TTM EBITDA (HKD 'm)</t>
  </si>
  <si>
    <t>PE Ratio (x)</t>
  </si>
  <si>
    <t>PS Ratio (x)</t>
  </si>
  <si>
    <t>EV/EBITDA (x)</t>
  </si>
  <si>
    <t>PB Ratio (x)</t>
  </si>
  <si>
    <t>ROE (%)</t>
  </si>
  <si>
    <t>Dividend Yield (x)</t>
  </si>
  <si>
    <t>Revenue</t>
  </si>
  <si>
    <t>EBITDA</t>
  </si>
  <si>
    <t>Net profit</t>
  </si>
  <si>
    <t>cash flow from operations (USD'b)</t>
  </si>
  <si>
    <t>Free cash flow (USD'b)</t>
  </si>
  <si>
    <t>Dividend</t>
  </si>
  <si>
    <t>Dividend yield</t>
  </si>
  <si>
    <t>5D Avg ADTV
(HKD'm)</t>
  </si>
  <si>
    <t>10D Avg ADTV
(HKD'm)</t>
  </si>
  <si>
    <t>20D Avg ADTV
(HKD'm)</t>
  </si>
  <si>
    <t>1M Avg ADTV
(HKD'm)</t>
  </si>
  <si>
    <t>3M Avg ADTV
(HKD'm)</t>
  </si>
  <si>
    <t>6M Avg ADTV
(HKD'm)</t>
  </si>
  <si>
    <t>1M Return</t>
  </si>
  <si>
    <t>3M Return</t>
  </si>
  <si>
    <t>6M Return</t>
  </si>
  <si>
    <t>1Y Return</t>
  </si>
  <si>
    <t>YTD Return</t>
  </si>
  <si>
    <t>30-day volatility
(%)</t>
  </si>
  <si>
    <t>90-day volatility
(%)</t>
  </si>
  <si>
    <t>180-day volatility
(%)</t>
  </si>
  <si>
    <t>TTM</t>
  </si>
  <si>
    <t>2026F</t>
  </si>
  <si>
    <t>2027F</t>
  </si>
  <si>
    <t>2026 vs 2024</t>
  </si>
  <si>
    <t>CY2022A</t>
  </si>
  <si>
    <t>CY2023A</t>
  </si>
  <si>
    <t>CY2024A</t>
  </si>
  <si>
    <t>CY2025F</t>
  </si>
  <si>
    <t>CY2026F</t>
  </si>
  <si>
    <t>CY2027F</t>
  </si>
  <si>
    <t>pdsl in Equity</t>
  </si>
  <si>
    <t>wmt us Equity</t>
  </si>
  <si>
    <t>aeo us Equity</t>
  </si>
  <si>
    <t>cost us Equity</t>
  </si>
  <si>
    <t>abf ln EQUITY</t>
  </si>
  <si>
    <t>cvs us EQUITY</t>
  </si>
  <si>
    <t>hmb ss EQUITY</t>
  </si>
  <si>
    <t>HK</t>
  </si>
  <si>
    <t>Max</t>
  </si>
  <si>
    <t>NY</t>
  </si>
  <si>
    <t>Median</t>
  </si>
  <si>
    <t>LN</t>
  </si>
  <si>
    <t>Mean</t>
  </si>
  <si>
    <t>INDIA</t>
  </si>
  <si>
    <t>Min</t>
  </si>
  <si>
    <t>STOCKHOLM</t>
  </si>
  <si>
    <t>NASDAQ</t>
  </si>
  <si>
    <t>PE (TTM) 
Original</t>
  </si>
  <si>
    <t>PE (TTM) 
(Normalised to HK)</t>
  </si>
  <si>
    <t>PE (2025A) 
Original</t>
  </si>
  <si>
    <t>PE (2025A) 
(Normalised to HK)</t>
  </si>
  <si>
    <t>PE (2026F) 
Original</t>
  </si>
  <si>
    <t>PE (2026F) 
(Normalised to HK)</t>
  </si>
  <si>
    <t>PDS Ltd</t>
  </si>
  <si>
    <t>沃尔玛股份有限公司</t>
  </si>
  <si>
    <t>美鹰傲飞AEO有限公司</t>
  </si>
  <si>
    <t>开市客公司</t>
  </si>
  <si>
    <t>英国联合食品公共有限公司</t>
  </si>
  <si>
    <t>CVS健康公司</t>
  </si>
  <si>
    <t>海恩斯莫里斯公司</t>
  </si>
  <si>
    <t>Manhattan Associates (MANH.nasdaq)</t>
  </si>
  <si>
    <t>CH Robinson (CHRW.nasdaq)</t>
  </si>
  <si>
    <t>median</t>
  </si>
  <si>
    <t>average</t>
  </si>
  <si>
    <t>(2) </t>
  </si>
  <si>
    <r>
      <t xml:space="preserve">If after expanding search scope of Comp using </t>
    </r>
    <r>
      <rPr>
        <b/>
        <sz val="11"/>
        <color theme="1"/>
        <rFont val="Aptos Narrow"/>
        <family val="2"/>
        <scheme val="minor"/>
      </rPr>
      <t xml:space="preserve">"AI-enabled B2B supply chain service providers" </t>
    </r>
    <r>
      <rPr>
        <sz val="11"/>
        <color theme="1"/>
        <rFont val="Aptos Narrow"/>
        <family val="2"/>
        <scheme val="minor"/>
      </rPr>
      <t>on 15 May 2026,</t>
    </r>
  </si>
  <si>
    <r>
      <t xml:space="preserve">(a) </t>
    </r>
    <r>
      <rPr>
        <b/>
        <sz val="11"/>
        <color theme="1"/>
        <rFont val="Aptos Narrow"/>
        <family val="2"/>
        <scheme val="minor"/>
      </rPr>
      <t xml:space="preserve">software </t>
    </r>
    <r>
      <rPr>
        <sz val="11"/>
        <color theme="1"/>
        <rFont val="Aptos Narrow"/>
        <family val="2"/>
        <scheme val="minor"/>
      </rPr>
      <t xml:space="preserve">centric e.g. Oracle/SAP --&gt; suggest we add </t>
    </r>
    <r>
      <rPr>
        <b/>
        <sz val="11"/>
        <color theme="1"/>
        <rFont val="Aptos Narrow"/>
        <family val="2"/>
        <scheme val="minor"/>
      </rPr>
      <t>Manhattan Associates</t>
    </r>
    <r>
      <rPr>
        <sz val="11"/>
        <color theme="1"/>
        <rFont val="Aptos Narrow"/>
        <family val="2"/>
        <scheme val="minor"/>
      </rPr>
      <t xml:space="preserve">, P/E TTM close to </t>
    </r>
    <r>
      <rPr>
        <b/>
        <sz val="11"/>
        <color theme="1"/>
        <rFont val="Aptos Narrow"/>
        <family val="2"/>
        <scheme val="minor"/>
      </rPr>
      <t>40</t>
    </r>
    <r>
      <rPr>
        <sz val="11"/>
        <color theme="1"/>
        <rFont val="Aptos Narrow"/>
        <family val="2"/>
        <scheme val="minor"/>
      </rPr>
      <t>) :</t>
    </r>
  </si>
  <si>
    <r>
      <t xml:space="preserve">(b) </t>
    </r>
    <r>
      <rPr>
        <b/>
        <sz val="11"/>
        <color theme="1"/>
        <rFont val="Aptos Narrow"/>
        <family val="2"/>
        <scheme val="minor"/>
      </rPr>
      <t xml:space="preserve">logistic </t>
    </r>
    <r>
      <rPr>
        <sz val="11"/>
        <color theme="1"/>
        <rFont val="Aptos Narrow"/>
        <family val="2"/>
        <scheme val="minor"/>
      </rPr>
      <t xml:space="preserve">centric e.g. UPS / Fedex --&gt; suggest you add </t>
    </r>
    <r>
      <rPr>
        <b/>
        <sz val="11"/>
        <color theme="1"/>
        <rFont val="Aptos Narrow"/>
        <family val="2"/>
        <scheme val="minor"/>
      </rPr>
      <t>CWRW.nasdaq</t>
    </r>
    <r>
      <rPr>
        <sz val="11"/>
        <color theme="1"/>
        <rFont val="Aptos Narrow"/>
        <family val="2"/>
        <scheme val="minor"/>
      </rPr>
      <t xml:space="preserve">, P/E TTM close to </t>
    </r>
    <r>
      <rPr>
        <b/>
        <sz val="11"/>
        <color theme="1"/>
        <rFont val="Aptos Narrow"/>
        <family val="2"/>
        <scheme val="minor"/>
      </rPr>
      <t>35</t>
    </r>
    <r>
      <rPr>
        <sz val="11"/>
        <color theme="1"/>
        <rFont val="Aptos Narrow"/>
        <family val="2"/>
        <scheme val="minor"/>
      </rPr>
      <t xml:space="preserve"> :</t>
    </r>
  </si>
  <si>
    <t>MANH US EQUITY</t>
  </si>
  <si>
    <t>CHRW US EQUITY</t>
  </si>
  <si>
    <t>10/21/2014</t>
  </si>
  <si>
    <t>#N/A</t>
  </si>
  <si>
    <t>#N/A N/A</t>
  </si>
  <si>
    <t>PDS Limited is a consumer-driven manufacturing and sourcing company. The Company designs, produces, and markets blazers, school wear, shirts, softs, and footwear products, as well as invests in sustainability, technology, and direct to consumer digital brands. PDS serves brand agencies and retailers worldwide.</t>
  </si>
  <si>
    <t>Walmart Inc</t>
  </si>
  <si>
    <t>#N/A Field Not Applicable</t>
  </si>
  <si>
    <t>Walmart Inc. operates discount stores, supercenters, and neighborhood markets. The Company offers merchandise such as apparel, house wares, small appliances, electronics, musical instruments, books, home improvement, shoes, jewelry, toddler, games, household essentials, pets, pharmaceutical products, party supplies, and automotive tools. Walmart serves customers worldwide.</t>
  </si>
  <si>
    <t>American Eagle Outfitters Inc</t>
  </si>
  <si>
    <t>American Eagle Outfitters, Inc. retails men's and women's casual apparel, footwear, outerwear, and accessories. The Company provides products include jeans, khakis, t-shirts, and other similar apparel. American Eagle serves customers in the United States.</t>
  </si>
  <si>
    <t>Costco Wholesale Corp</t>
  </si>
  <si>
    <t>12/5/1985</t>
  </si>
  <si>
    <t>Costco Wholesale Corporation is a membership warehouse club The Company sells all kinds of food, automotive supplies, toys, hardware, sporting goods, jewelry, electronics, apparel, health, and beauty aids, as well as other goods. Costco Wholesale serves customers worldwide.</t>
  </si>
  <si>
    <t>Associated British Foods PLC</t>
  </si>
  <si>
    <t>Associated British Foods PLC operates as a group company. The Company, through its subsidiaries, offers groceries, clothing, and household products, as well as produces sugar and baker's yeast ingredients including emulsifiers, enzymes, and lactose. Associated British Foods serves customers worldwide.</t>
  </si>
  <si>
    <t>Manhattan Associates Inc</t>
  </si>
  <si>
    <t>曼哈顿联合软件公司</t>
  </si>
  <si>
    <t>4/23/1998</t>
  </si>
  <si>
    <t>Manhattan Associates, Inc. provides information technology solutions for distribution centers. The solutions are designed to enable the efficient movement of goods through the supply chain. The Company offers solutions optimize the receipt, storage, and distribution of inventory, as well as manage equipment and personnel within a distribution center.</t>
  </si>
  <si>
    <t>CH Robinson Worldwide Inc</t>
  </si>
  <si>
    <t>罗宾逊全球物流有限公司</t>
  </si>
  <si>
    <t>10/15/1997</t>
  </si>
  <si>
    <t>C.H. Robinson Worldwide, Inc. operates as a logistics company. The Company freight, supply chain, and logistics services. C.H. Robinson Worldwide serves clients worldwide.</t>
  </si>
  <si>
    <t>CVS Health Corp</t>
  </si>
  <si>
    <t>10/1/1952</t>
  </si>
  <si>
    <t>CVS Health Corporation provides health care and retail pharmacy services. The Company offers prescription medications, beauty, personal care, cosmetics, and health care products, as well as pharmacy benefit management (PBM), disease management, and administrative services. CVS Health operates in the United States and Puerto Rico.</t>
  </si>
  <si>
    <t>H &amp; M Hennes &amp; Mauritz AB</t>
  </si>
  <si>
    <t>H &amp; M Hennes &amp; Mauritz AB designs and retails fashions for women, men, teens, and children. The Company sells a variety trendy, sporty, and classic garments in addition to accessories such as jewelery, bags, scarves, and cosmetics. H &amp; M Hennes &amp; Mauritz serves customers worldwide.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</si>
</sst>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_(* #,##0_);_(* \(#,##0\);_(* &quot;-&quot;??_);_(@_)"/>
    <numFmt numFmtId="167" formatCode="#,##0.0_);\(#,##0.0\)"/>
    <numFmt numFmtId="168" formatCode="_(* #,##0.0_);_(* \(#,##0.0\);_(* &quot;-&quot;??_);_(@_)"/>
  </numFmts>
  <fonts count="17" x14ac:knownFonts="1">
    <font>
      <sz val="11"/>
      <color theme="1"/>
      <name val="Aptos Narrow"/>
      <family val="2"/>
      <scheme val="minor"/>
    </font>
    <font>
      <sz val="11"/>
      <color theme="1"/>
      <name val="Aptos Narrow"/>
      <family val="2"/>
      <scheme val="minor"/>
    </font>
    <font>
      <b/>
      <sz val="10"/>
      <name val="Aptos Narrow"/>
      <family val="2"/>
      <scheme val="minor"/>
    </font>
    <font>
      <b/>
      <sz val="11"/>
      <name val="Aptos Narrow"/>
      <family val="2"/>
      <scheme val="minor"/>
    </font>
    <font>
      <sz val="10"/>
      <name val="Aptos Narrow"/>
      <family val="2"/>
      <scheme val="minor"/>
    </font>
    <font>
      <b/>
      <sz val="12"/>
      <color indexed="9"/>
      <name val="Aptos Narrow"/>
      <family val="2"/>
      <scheme val="minor"/>
    </font>
    <font>
      <b/>
      <sz val="10"/>
      <color indexed="9"/>
      <name val="Aptos Narrow"/>
      <family val="2"/>
      <scheme val="minor"/>
    </font>
    <font>
      <sz val="12"/>
      <name val="Aptos Narrow"/>
      <family val="2"/>
      <scheme val="minor"/>
    </font>
    <font>
      <b/>
      <sz val="12"/>
      <name val="Aptos Narrow"/>
      <family val="2"/>
      <scheme val="minor"/>
    </font>
    <font>
      <b/>
      <sz val="12"/>
      <color theme="0"/>
      <name val="Aptos Narrow"/>
      <family val="2"/>
      <scheme val="minor"/>
    </font>
    <font>
      <sz val="11"/>
      <name val="Aptos"/>
      <family val="2"/>
    </font>
    <font>
      <sz val="12"/>
      <color rgb="FF000000"/>
      <name val="Aptos Narrow"/>
      <family val="2"/>
      <scheme val="minor"/>
    </font>
    <font>
      <sz val="11"/>
      <color rgb="FFFF0000"/>
      <name val="Aptos Narrow"/>
      <family val="2"/>
      <scheme val="minor"/>
    </font>
    <font>
      <b/>
      <sz val="11"/>
      <color theme="1"/>
      <name val="Aptos Narrow"/>
      <family val="2"/>
      <scheme val="minor"/>
    </font>
    <font>
      <sz val="11"/>
      <color rgb="FF7030A0"/>
      <name val="Aptos Narrow"/>
      <family val="2"/>
      <scheme val="minor"/>
    </font>
    <font>
      <sz val="11"/>
      <color theme="7" tint="0.39997558519241921"/>
      <name val="Aptos Narrow"/>
      <family val="2"/>
      <scheme val="minor"/>
    </font>
    <font>
      <sz val="9"/>
      <color indexed="81"/>
      <name val="Tahoma"/>
      <charset val="1"/>
    </font>
  </fonts>
  <fills count="9">
    <fill>
      <patternFill patternType="none"/>
    </fill>
    <fill>
      <patternFill patternType="gray125"/>
    </fill>
    <fill>
      <patternFill patternType="solid">
        <fgColor rgb="FFFFFF00"/>
        <bgColor indexed="64"/>
      </patternFill>
    </fill>
    <fill>
      <patternFill patternType="solid">
        <fgColor indexed="16"/>
        <bgColor indexed="64"/>
      </patternFill>
    </fill>
    <fill>
      <patternFill patternType="solid">
        <fgColor indexed="22"/>
        <bgColor indexed="64"/>
      </patternFill>
    </fill>
    <fill>
      <patternFill patternType="solid">
        <fgColor rgb="FF800000"/>
        <bgColor indexed="64"/>
      </patternFill>
    </fill>
    <fill>
      <patternFill patternType="solid">
        <fgColor theme="1" tint="0.249977111117893"/>
        <bgColor indexed="64"/>
      </patternFill>
    </fill>
    <fill>
      <patternFill patternType="solid">
        <fgColor rgb="FFD9D9D9"/>
        <bgColor indexed="64"/>
      </patternFill>
    </fill>
    <fill>
      <patternFill patternType="solid">
        <fgColor theme="0" tint="-0.14999847407452621"/>
        <bgColor indexed="64"/>
      </patternFill>
    </fill>
  </fills>
  <borders count="27">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style="thick">
        <color theme="0"/>
      </right>
      <top style="thick">
        <color theme="0"/>
      </top>
      <bottom/>
      <diagonal/>
    </border>
    <border>
      <left style="thick">
        <color theme="0"/>
      </left>
      <right style="thick">
        <color theme="0"/>
      </right>
      <top/>
      <bottom/>
      <diagonal/>
    </border>
    <border>
      <left style="thick">
        <color theme="0"/>
      </left>
      <right style="thick">
        <color theme="0"/>
      </right>
      <top/>
      <bottom style="hair">
        <color indexed="64"/>
      </bottom>
      <diagonal/>
    </border>
    <border>
      <left style="thin">
        <color theme="0"/>
      </left>
      <right/>
      <top style="medium">
        <color theme="0"/>
      </top>
      <bottom style="hair">
        <color auto="1"/>
      </bottom>
      <diagonal/>
    </border>
    <border>
      <left/>
      <right/>
      <top style="medium">
        <color theme="0"/>
      </top>
      <bottom style="hair">
        <color auto="1"/>
      </bottom>
      <diagonal/>
    </border>
    <border>
      <left/>
      <right style="thin">
        <color theme="0"/>
      </right>
      <top style="medium">
        <color theme="0"/>
      </top>
      <bottom style="hair">
        <color auto="1"/>
      </bottom>
      <diagonal/>
    </border>
    <border>
      <left style="thick">
        <color theme="0"/>
      </left>
      <right/>
      <top style="thick">
        <color theme="0"/>
      </top>
      <bottom/>
      <diagonal/>
    </border>
    <border>
      <left/>
      <right/>
      <top style="hair">
        <color auto="1"/>
      </top>
      <bottom style="hair">
        <color auto="1"/>
      </bottom>
      <diagonal/>
    </border>
    <border>
      <left/>
      <right/>
      <top/>
      <bottom style="hair">
        <color auto="1"/>
      </bottom>
      <diagonal/>
    </border>
    <border>
      <left/>
      <right/>
      <top style="thin">
        <color rgb="FF000000"/>
      </top>
      <bottom/>
      <diagonal/>
    </border>
    <border>
      <left/>
      <right/>
      <top style="thin">
        <color indexed="64"/>
      </top>
      <bottom/>
      <diagonal/>
    </border>
    <border>
      <left/>
      <right/>
      <top/>
      <bottom style="thin">
        <color rgb="FF000000"/>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2">
    <xf numFmtId="0" fontId="0" fillId="0" borderId="0" xfId="0"/>
    <xf numFmtId="0" fontId="2" fillId="2" borderId="0" xfId="0" applyFont="1" applyFill="1" applyAlignment="1">
      <alignment vertical="center" wrapText="1"/>
    </xf>
    <xf numFmtId="0" fontId="2" fillId="0" borderId="0" xfId="0" applyFont="1" applyAlignment="1">
      <alignment vertical="center"/>
    </xf>
    <xf numFmtId="0" fontId="3" fillId="0" borderId="0" xfId="0" applyFont="1" applyAlignment="1">
      <alignment vertical="center"/>
    </xf>
    <xf numFmtId="43" fontId="2" fillId="0" borderId="0" xfId="1" applyFont="1" applyAlignment="1">
      <alignment vertical="center"/>
    </xf>
    <xf numFmtId="43" fontId="3" fillId="0" borderId="0" xfId="1" applyFont="1" applyAlignment="1">
      <alignment vertical="center"/>
    </xf>
    <xf numFmtId="164" fontId="3" fillId="0" borderId="0" xfId="2" applyNumberFormat="1" applyFont="1" applyAlignment="1">
      <alignment vertical="center"/>
    </xf>
    <xf numFmtId="9" fontId="3" fillId="0" borderId="0" xfId="2" applyFont="1" applyAlignment="1">
      <alignment vertical="center"/>
    </xf>
    <xf numFmtId="0" fontId="2" fillId="0" borderId="0" xfId="0" applyFont="1" applyAlignment="1">
      <alignment horizontal="left" vertical="center" wrapText="1"/>
    </xf>
    <xf numFmtId="0" fontId="4" fillId="0" borderId="0" xfId="0" applyFont="1" applyAlignment="1">
      <alignment vertical="center" wrapText="1"/>
    </xf>
    <xf numFmtId="43" fontId="4" fillId="0" borderId="0" xfId="1" applyFont="1" applyAlignment="1">
      <alignment vertical="center" wrapText="1"/>
    </xf>
    <xf numFmtId="9" fontId="4" fillId="0" borderId="0" xfId="2" applyFont="1" applyAlignment="1">
      <alignment vertical="center" wrapText="1"/>
    </xf>
    <xf numFmtId="0" fontId="4" fillId="0" borderId="0" xfId="0" applyFont="1" applyAlignment="1">
      <alignment horizontal="left" vertical="center" wrapText="1"/>
    </xf>
    <xf numFmtId="0" fontId="4" fillId="0" borderId="0" xfId="0" applyFont="1" applyAlignment="1">
      <alignment vertical="center"/>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3" borderId="0" xfId="0" applyFont="1" applyFill="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vertical="center"/>
    </xf>
    <xf numFmtId="0" fontId="5" fillId="3" borderId="7" xfId="0" applyFont="1" applyFill="1" applyBorder="1" applyAlignment="1">
      <alignment vertical="center" wrapText="1"/>
    </xf>
    <xf numFmtId="0" fontId="8" fillId="4" borderId="7" xfId="0" applyFont="1" applyFill="1" applyBorder="1" applyAlignment="1">
      <alignment horizontal="center" vertical="center" wrapText="1"/>
    </xf>
    <xf numFmtId="43" fontId="9" fillId="5" borderId="10" xfId="1" applyFont="1" applyFill="1" applyBorder="1" applyAlignment="1">
      <alignment horizontal="center" vertical="center" wrapText="1"/>
    </xf>
    <xf numFmtId="0" fontId="5" fillId="3" borderId="15" xfId="0" applyFont="1" applyFill="1" applyBorder="1" applyAlignment="1">
      <alignment vertical="center" wrapText="1"/>
    </xf>
    <xf numFmtId="43" fontId="8" fillId="4" borderId="7" xfId="1" applyFont="1" applyFill="1" applyBorder="1" applyAlignment="1">
      <alignment horizontal="center" vertical="center" wrapText="1"/>
    </xf>
    <xf numFmtId="0" fontId="2" fillId="4" borderId="15" xfId="0"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9" fillId="6" borderId="21" xfId="0" applyFont="1" applyFill="1" applyBorder="1" applyAlignment="1">
      <alignment vertical="center"/>
    </xf>
    <xf numFmtId="0" fontId="8" fillId="6" borderId="21" xfId="0" applyFont="1" applyFill="1" applyBorder="1" applyAlignment="1">
      <alignment vertical="center" wrapText="1"/>
    </xf>
    <xf numFmtId="0" fontId="8" fillId="6" borderId="0" xfId="0" applyFont="1" applyFill="1" applyAlignment="1">
      <alignment horizontal="center" vertical="center"/>
    </xf>
    <xf numFmtId="39" fontId="7" fillId="6" borderId="0" xfId="0" applyNumberFormat="1" applyFont="1" applyFill="1" applyAlignment="1">
      <alignment horizontal="center" vertical="center"/>
    </xf>
    <xf numFmtId="165" fontId="7" fillId="6" borderId="0" xfId="0" applyNumberFormat="1" applyFont="1" applyFill="1" applyAlignment="1">
      <alignment horizontal="center" vertical="center"/>
    </xf>
    <xf numFmtId="43" fontId="7" fillId="6" borderId="0" xfId="1" applyFont="1" applyFill="1" applyAlignment="1">
      <alignment horizontal="center" vertical="center"/>
    </xf>
    <xf numFmtId="9" fontId="7" fillId="6" borderId="0" xfId="2" applyFont="1" applyFill="1" applyAlignment="1">
      <alignment horizontal="center" vertical="center"/>
    </xf>
    <xf numFmtId="0" fontId="7" fillId="0" borderId="0" xfId="0" applyFont="1" applyAlignment="1">
      <alignment horizontal="left" vertical="center"/>
    </xf>
    <xf numFmtId="0" fontId="8" fillId="0" borderId="21" xfId="0" applyFont="1" applyBorder="1" applyAlignment="1">
      <alignment vertical="center"/>
    </xf>
    <xf numFmtId="0" fontId="7" fillId="0" borderId="22" xfId="0" applyFont="1" applyBorder="1" applyAlignment="1">
      <alignment vertical="center" wrapText="1"/>
    </xf>
    <xf numFmtId="37" fontId="7" fillId="0" borderId="21" xfId="0" applyNumberFormat="1" applyFont="1" applyBorder="1" applyAlignment="1">
      <alignment horizontal="center" vertical="center" wrapText="1"/>
    </xf>
    <xf numFmtId="39" fontId="7" fillId="0" borderId="21" xfId="0" applyNumberFormat="1" applyFont="1" applyBorder="1" applyAlignment="1">
      <alignment horizontal="center" vertical="center" wrapText="1"/>
    </xf>
    <xf numFmtId="164" fontId="7" fillId="0" borderId="21" xfId="2" applyNumberFormat="1" applyFont="1" applyBorder="1" applyAlignment="1">
      <alignment horizontal="center" vertical="center" wrapText="1"/>
    </xf>
    <xf numFmtId="166" fontId="7" fillId="0" borderId="21" xfId="1" applyNumberFormat="1" applyFont="1" applyBorder="1" applyAlignment="1">
      <alignment horizontal="center" vertical="center" wrapText="1"/>
    </xf>
    <xf numFmtId="165" fontId="7" fillId="0" borderId="21" xfId="0" applyNumberFormat="1" applyFont="1" applyBorder="1" applyAlignment="1">
      <alignment horizontal="center" vertical="center" wrapText="1"/>
    </xf>
    <xf numFmtId="43" fontId="7" fillId="0" borderId="21" xfId="1" applyFont="1" applyBorder="1" applyAlignment="1">
      <alignment horizontal="center" vertical="center" wrapText="1"/>
    </xf>
    <xf numFmtId="2" fontId="4" fillId="0" borderId="21" xfId="0" applyNumberFormat="1" applyFont="1" applyBorder="1" applyAlignment="1">
      <alignment horizontal="center" vertical="center" wrapText="1"/>
    </xf>
    <xf numFmtId="164" fontId="4" fillId="0" borderId="21" xfId="0" applyNumberFormat="1" applyFont="1" applyBorder="1" applyAlignment="1">
      <alignment horizontal="center" vertical="center" wrapText="1"/>
    </xf>
    <xf numFmtId="9" fontId="7" fillId="0" borderId="21" xfId="2" applyFont="1" applyBorder="1" applyAlignment="1">
      <alignment horizontal="center" vertical="center" wrapText="1"/>
    </xf>
    <xf numFmtId="39" fontId="7" fillId="0" borderId="21" xfId="0" applyNumberFormat="1" applyFont="1" applyBorder="1" applyAlignment="1">
      <alignment horizontal="left" vertical="center" wrapText="1"/>
    </xf>
    <xf numFmtId="0" fontId="7" fillId="0" borderId="21" xfId="0" applyFont="1" applyBorder="1" applyAlignment="1">
      <alignment horizontal="center" vertical="center"/>
    </xf>
    <xf numFmtId="0" fontId="0" fillId="0" borderId="0" xfId="0" applyAlignment="1">
      <alignment vertical="center"/>
    </xf>
    <xf numFmtId="0" fontId="8" fillId="0" borderId="0" xfId="0" applyFont="1" applyAlignment="1">
      <alignment vertical="center"/>
    </xf>
    <xf numFmtId="0" fontId="10" fillId="0" borderId="0" xfId="0" applyFont="1" applyAlignment="1">
      <alignment vertical="center"/>
    </xf>
    <xf numFmtId="37" fontId="7" fillId="0" borderId="0" xfId="0" applyNumberFormat="1" applyFont="1" applyAlignment="1">
      <alignment horizontal="center" vertical="center" wrapText="1"/>
    </xf>
    <xf numFmtId="39" fontId="7" fillId="0" borderId="0" xfId="0" applyNumberFormat="1" applyFont="1" applyAlignment="1">
      <alignment horizontal="center" vertical="center" wrapText="1"/>
    </xf>
    <xf numFmtId="0" fontId="11" fillId="7" borderId="23" xfId="0" applyFont="1" applyFill="1" applyBorder="1" applyAlignment="1">
      <alignment horizontal="center" vertical="center" wrapText="1" readingOrder="1"/>
    </xf>
    <xf numFmtId="164" fontId="7" fillId="8" borderId="24" xfId="2" applyNumberFormat="1" applyFont="1" applyFill="1" applyBorder="1" applyAlignment="1">
      <alignment horizontal="center" vertical="center" wrapText="1"/>
    </xf>
    <xf numFmtId="166" fontId="7" fillId="8" borderId="24" xfId="1" applyNumberFormat="1" applyFont="1" applyFill="1" applyBorder="1" applyAlignment="1">
      <alignment horizontal="center" vertical="center" wrapText="1"/>
    </xf>
    <xf numFmtId="2" fontId="7" fillId="8" borderId="24" xfId="2" applyNumberFormat="1" applyFont="1" applyFill="1" applyBorder="1" applyAlignment="1">
      <alignment horizontal="center" vertical="center" wrapText="1"/>
    </xf>
    <xf numFmtId="167" fontId="7" fillId="8" borderId="24" xfId="1" applyNumberFormat="1" applyFont="1" applyFill="1" applyBorder="1" applyAlignment="1">
      <alignment horizontal="center" vertical="center" wrapText="1"/>
    </xf>
    <xf numFmtId="168" fontId="7" fillId="8" borderId="24" xfId="1" applyNumberFormat="1" applyFont="1" applyFill="1" applyBorder="1" applyAlignment="1">
      <alignment horizontal="center" vertical="center" wrapText="1"/>
    </xf>
    <xf numFmtId="9" fontId="7" fillId="8" borderId="24" xfId="2" applyFont="1" applyFill="1" applyBorder="1" applyAlignment="1">
      <alignment horizontal="center" vertical="center" wrapText="1"/>
    </xf>
    <xf numFmtId="39" fontId="7" fillId="0" borderId="0" xfId="0" applyNumberFormat="1" applyFont="1" applyAlignment="1">
      <alignment horizontal="left" vertical="center" wrapText="1"/>
    </xf>
    <xf numFmtId="0" fontId="11" fillId="7" borderId="0" xfId="0" applyFont="1" applyFill="1" applyAlignment="1">
      <alignment horizontal="center" vertical="center" wrapText="1" readingOrder="1"/>
    </xf>
    <xf numFmtId="164" fontId="7" fillId="8" borderId="0" xfId="2" applyNumberFormat="1" applyFont="1" applyFill="1" applyAlignment="1">
      <alignment horizontal="center" vertical="center" wrapText="1"/>
    </xf>
    <xf numFmtId="166" fontId="7" fillId="8" borderId="0" xfId="1" applyNumberFormat="1" applyFont="1" applyFill="1" applyAlignment="1">
      <alignment horizontal="center" vertical="center" wrapText="1"/>
    </xf>
    <xf numFmtId="2" fontId="7" fillId="8" borderId="0" xfId="2" applyNumberFormat="1" applyFont="1" applyFill="1" applyAlignment="1">
      <alignment horizontal="center" vertical="center" wrapText="1"/>
    </xf>
    <xf numFmtId="167" fontId="7" fillId="8" borderId="0" xfId="1" applyNumberFormat="1" applyFont="1" applyFill="1" applyAlignment="1">
      <alignment horizontal="center" vertical="center" wrapText="1"/>
    </xf>
    <xf numFmtId="168" fontId="7" fillId="8" borderId="0" xfId="1" applyNumberFormat="1" applyFont="1" applyFill="1" applyAlignment="1">
      <alignment horizontal="center" vertical="center" wrapText="1"/>
    </xf>
    <xf numFmtId="9" fontId="7" fillId="8" borderId="0" xfId="2" applyFont="1" applyFill="1" applyAlignment="1">
      <alignment horizontal="center" vertical="center" wrapText="1"/>
    </xf>
    <xf numFmtId="0" fontId="11" fillId="7" borderId="25" xfId="0" applyFont="1" applyFill="1" applyBorder="1" applyAlignment="1">
      <alignment horizontal="center" vertical="center" wrapText="1" readingOrder="1"/>
    </xf>
    <xf numFmtId="164" fontId="7" fillId="8" borderId="26" xfId="2" applyNumberFormat="1" applyFont="1" applyFill="1" applyBorder="1" applyAlignment="1">
      <alignment horizontal="center" vertical="center" wrapText="1"/>
    </xf>
    <xf numFmtId="166" fontId="7" fillId="8" borderId="26" xfId="1" applyNumberFormat="1" applyFont="1" applyFill="1" applyBorder="1" applyAlignment="1">
      <alignment horizontal="center" vertical="center" wrapText="1"/>
    </xf>
    <xf numFmtId="2" fontId="7" fillId="8" borderId="26" xfId="2" applyNumberFormat="1" applyFont="1" applyFill="1" applyBorder="1" applyAlignment="1">
      <alignment horizontal="center" vertical="center" wrapText="1"/>
    </xf>
    <xf numFmtId="167" fontId="7" fillId="8" borderId="26" xfId="1" applyNumberFormat="1" applyFont="1" applyFill="1" applyBorder="1" applyAlignment="1">
      <alignment horizontal="center" vertical="center" wrapText="1"/>
    </xf>
    <xf numFmtId="168" fontId="7" fillId="8" borderId="26" xfId="1" applyNumberFormat="1" applyFont="1" applyFill="1" applyBorder="1" applyAlignment="1">
      <alignment horizontal="center" vertical="center" wrapText="1"/>
    </xf>
    <xf numFmtId="9" fontId="7" fillId="8" borderId="26" xfId="2" applyFont="1" applyFill="1" applyBorder="1" applyAlignment="1">
      <alignment horizontal="center" vertical="center" wrapText="1"/>
    </xf>
    <xf numFmtId="164" fontId="7" fillId="0" borderId="0" xfId="2" applyNumberFormat="1" applyFont="1" applyBorder="1" applyAlignment="1">
      <alignment horizontal="center" vertical="center" wrapText="1"/>
    </xf>
    <xf numFmtId="165" fontId="7" fillId="0" borderId="0" xfId="0" applyNumberFormat="1" applyFont="1" applyAlignment="1">
      <alignment horizontal="center" vertical="center" wrapText="1"/>
    </xf>
    <xf numFmtId="43" fontId="7" fillId="0" borderId="0" xfId="1" applyFont="1" applyBorder="1" applyAlignment="1">
      <alignment horizontal="center" vertical="center" wrapText="1"/>
    </xf>
    <xf numFmtId="9" fontId="7" fillId="0" borderId="0" xfId="2" applyFont="1" applyBorder="1" applyAlignment="1">
      <alignment horizontal="center" vertical="center" wrapText="1"/>
    </xf>
    <xf numFmtId="164" fontId="4" fillId="0" borderId="0" xfId="2" applyNumberFormat="1" applyFont="1" applyAlignment="1">
      <alignment vertical="center" wrapText="1"/>
    </xf>
    <xf numFmtId="0" fontId="0" fillId="2" borderId="0" xfId="0" applyFill="1"/>
    <xf numFmtId="168" fontId="0" fillId="0" borderId="0" xfId="1" applyNumberFormat="1" applyFont="1"/>
    <xf numFmtId="168" fontId="0" fillId="2" borderId="0" xfId="1" applyNumberFormat="1" applyFont="1" applyFill="1"/>
    <xf numFmtId="0" fontId="12" fillId="0" borderId="0" xfId="0" applyFont="1"/>
    <xf numFmtId="168" fontId="12" fillId="0" borderId="0" xfId="1" applyNumberFormat="1" applyFont="1"/>
    <xf numFmtId="0" fontId="14" fillId="0" borderId="0" xfId="0" applyFont="1"/>
    <xf numFmtId="168" fontId="14" fillId="0" borderId="0" xfId="1" applyNumberFormat="1" applyFont="1"/>
    <xf numFmtId="0" fontId="15" fillId="0" borderId="0" xfId="0" applyFont="1"/>
    <xf numFmtId="168" fontId="15" fillId="0" borderId="0" xfId="1" applyNumberFormat="1" applyFont="1"/>
    <xf numFmtId="168" fontId="0" fillId="2" borderId="0" xfId="1" applyNumberFormat="1" applyFont="1" applyFill="1" applyAlignment="1">
      <alignment wrapText="1"/>
    </xf>
    <xf numFmtId="168" fontId="0" fillId="0" borderId="0" xfId="1" applyNumberFormat="1" applyFont="1" applyAlignment="1">
      <alignment wrapText="1"/>
    </xf>
    <xf numFmtId="168" fontId="13" fillId="2" borderId="0" xfId="1" applyNumberFormat="1" applyFont="1" applyFill="1" applyAlignment="1">
      <alignment wrapText="1"/>
    </xf>
    <xf numFmtId="9" fontId="2" fillId="4" borderId="6" xfId="2" applyFont="1" applyFill="1" applyBorder="1" applyAlignment="1">
      <alignment horizontal="center" vertical="center" wrapText="1"/>
    </xf>
    <xf numFmtId="9" fontId="2" fillId="4" borderId="7" xfId="2"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14" fontId="8" fillId="4" borderId="17" xfId="0" applyNumberFormat="1" applyFont="1" applyFill="1" applyBorder="1" applyAlignment="1">
      <alignment horizontal="center" vertical="center" wrapText="1"/>
    </xf>
    <xf numFmtId="14" fontId="8" fillId="4" borderId="18" xfId="0" applyNumberFormat="1" applyFont="1" applyFill="1" applyBorder="1" applyAlignment="1">
      <alignment horizontal="center" vertical="center" wrapText="1"/>
    </xf>
    <xf numFmtId="14" fontId="8" fillId="4" borderId="19" xfId="0" applyNumberFormat="1" applyFont="1" applyFill="1" applyBorder="1" applyAlignment="1">
      <alignment horizontal="center" vertical="center" wrapText="1"/>
    </xf>
    <xf numFmtId="9" fontId="2" fillId="4" borderId="8" xfId="2" applyFont="1" applyFill="1" applyBorder="1" applyAlignment="1">
      <alignment horizontal="center" vertical="center" wrapText="1"/>
    </xf>
    <xf numFmtId="9" fontId="2" fillId="4" borderId="20" xfId="2" applyFont="1" applyFill="1" applyBorder="1" applyAlignment="1">
      <alignment horizontal="center" vertical="center" wrapText="1"/>
    </xf>
    <xf numFmtId="43" fontId="9" fillId="5" borderId="11" xfId="1" applyFont="1" applyFill="1" applyBorder="1" applyAlignment="1">
      <alignment horizontal="center" vertical="center" wrapText="1"/>
    </xf>
    <xf numFmtId="43" fontId="9" fillId="5" borderId="12" xfId="1" applyFont="1" applyFill="1" applyBorder="1" applyAlignment="1">
      <alignment horizontal="center" vertical="center" wrapText="1"/>
    </xf>
    <xf numFmtId="43" fontId="9" fillId="5" borderId="13" xfId="1"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5" xfId="0" applyFont="1" applyFill="1" applyBorder="1" applyAlignment="1">
      <alignment horizontal="center" vertical="center" wrapText="1"/>
    </xf>
    <xf numFmtId="43" fontId="5" fillId="3" borderId="8" xfId="1" applyFont="1" applyFill="1" applyBorder="1" applyAlignment="1">
      <alignment horizontal="center" vertical="center" wrapText="1"/>
    </xf>
    <xf numFmtId="43" fontId="5" fillId="3" borderId="9" xfId="1" applyFont="1" applyFill="1" applyBorder="1" applyAlignment="1">
      <alignment horizontal="center" vertical="center" wrapText="1"/>
    </xf>
    <xf numFmtId="43" fontId="5" fillId="3" borderId="5" xfId="1"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5" xfId="0" applyFont="1" applyFill="1" applyBorder="1" applyAlignment="1">
      <alignment vertical="center" wrapText="1"/>
    </xf>
    <xf numFmtId="0" fontId="5" fillId="3" borderId="14" xfId="0" applyFont="1" applyFill="1" applyBorder="1" applyAlignment="1">
      <alignment vertical="center" wrapText="1"/>
    </xf>
    <xf numFmtId="0" fontId="5" fillId="3" borderId="2" xfId="0" applyFont="1" applyFill="1" applyBorder="1" applyAlignment="1">
      <alignment horizontal="center" vertical="center" wrapText="1"/>
    </xf>
    <xf numFmtId="0" fontId="5" fillId="3" borderId="6" xfId="0" applyFont="1" applyFill="1" applyBorder="1" applyAlignment="1">
      <alignment vertical="center" wrapText="1"/>
    </xf>
    <xf numFmtId="0" fontId="5" fillId="3" borderId="7" xfId="0" applyFont="1" applyFill="1" applyBorder="1" applyAlignment="1">
      <alignment vertical="center" wrapText="1"/>
    </xf>
    <xf numFmtId="0" fontId="5" fillId="3" borderId="3" xfId="0" applyFont="1" applyFill="1"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BQL|18221138547621966387</stp>
        <tr r="CD14" s="1"/>
      </tp>
      <tp t="s">
        <v>#N/A N/A</v>
        <stp/>
        <stp>BQL|12891380487850043600</stp>
        <tr r="AK11" s="1"/>
        <tr r="AK11" s="1"/>
      </tp>
      <tp t="s">
        <v>#N/A N/A</v>
        <stp/>
        <stp>BQL|15782893724126228681</stp>
        <tr r="CE15" s="1"/>
      </tp>
      <tp t="s">
        <v>#N/A N/A</v>
        <stp/>
        <stp>BQL|14275352032179971216</stp>
        <tr r="CG13" s="1"/>
      </tp>
      <tp t="s">
        <v>#N/A N/A</v>
        <stp/>
        <stp>BQL|10104839580048278795</stp>
        <tr r="CX7" s="1"/>
      </tp>
      <tp t="s">
        <v>#N/A N/A</v>
        <stp/>
        <stp>BQL|10469709152645668887</stp>
        <tr r="BK10" s="1"/>
      </tp>
      <tp t="s">
        <v>#N/A N/A</v>
        <stp/>
        <stp>BQL|13812439844569267566</stp>
        <tr r="CW12" s="1"/>
      </tp>
      <tp t="s">
        <v>#N/A N/A</v>
        <stp/>
        <stp>BQL|12583069458321882867</stp>
        <tr r="BE10" s="1"/>
      </tp>
      <tp t="s">
        <v>#N/A N/A</v>
        <stp/>
        <stp>BQL|16404604245709370357</stp>
        <tr r="BM14" s="1"/>
      </tp>
      <tp t="s">
        <v>#N/A N/A</v>
        <stp/>
        <stp>BQL|13689768946078454639</stp>
        <tr r="CW8" s="1"/>
      </tp>
      <tp t="s">
        <v>#N/A N/A</v>
        <stp/>
        <stp>BQL|16196408794384439103</stp>
        <tr r="CW14" s="1"/>
      </tp>
      <tp t="s">
        <v>#N/A N/A</v>
        <stp/>
        <stp>BQL|17317523792732548770</stp>
        <tr r="BB7" s="1"/>
      </tp>
      <tp t="s">
        <v>#N/A N/A</v>
        <stp/>
        <stp>BQL|12253967709325739091</stp>
        <tr r="BD12" s="1"/>
      </tp>
      <tp t="s">
        <v>#N/A N/A</v>
        <stp/>
        <stp>BQL|14011876158264954355</stp>
        <tr r="BB13" s="1"/>
      </tp>
      <tp t="s">
        <v>#N/A N/A</v>
        <stp/>
        <stp>BQL|13456764884720508217</stp>
        <tr r="CF15" s="1"/>
      </tp>
      <tp t="s">
        <v>#N/A N/A</v>
        <stp/>
        <stp>BQL|18240524943187923053</stp>
        <tr r="BY7" s="1"/>
      </tp>
      <tp t="s">
        <v>#N/A N/A</v>
        <stp/>
        <stp>BQL|18274295960833640129</stp>
        <tr r="AO13" s="1"/>
      </tp>
      <tp t="s">
        <v>#N/A N/A</v>
        <stp/>
        <stp>BQL|15686902519201393221</stp>
        <tr r="BA11" s="1"/>
      </tp>
      <tp t="s">
        <v>#N/A N/A</v>
        <stp/>
        <stp>BQL|16289368455899999766</stp>
        <tr r="CC7" s="1"/>
      </tp>
      <tp t="s">
        <v>#N/A N/A</v>
        <stp/>
        <stp>BQL|18410685010985249460</stp>
        <tr r="BN11" s="1"/>
      </tp>
      <tp t="s">
        <v>#N/A N/A</v>
        <stp/>
        <stp>BQL|14213090681644152635</stp>
        <tr r="BC8" s="1"/>
      </tp>
      <tp t="s">
        <v>#N/A N/A</v>
        <stp/>
        <stp>BQL|15165688518788042751</stp>
        <tr r="BE15" s="1"/>
      </tp>
      <tp t="s">
        <v>#N/A N/A</v>
        <stp/>
        <stp>BQL|14238991939262285166</stp>
        <tr r="AL13" s="1"/>
        <tr r="AL13" s="1"/>
      </tp>
      <tp t="s">
        <v>#N/A N/A</v>
        <stp/>
        <stp>BQL|10196444250128530417</stp>
        <tr r="CY14" s="1"/>
      </tp>
      <tp t="s">
        <v>#N/A N/A</v>
        <stp/>
        <stp>BQL|15399949261376144169</stp>
        <tr r="BO12" s="1"/>
      </tp>
      <tp t="s">
        <v>#N/A N/A</v>
        <stp/>
        <stp>BQL|10293794097141549218</stp>
        <tr r="BH7" s="1"/>
      </tp>
      <tp t="s">
        <v>#N/A N/A</v>
        <stp/>
        <stp>BQL|14935048923909853339</stp>
        <tr r="BC15" s="1"/>
      </tp>
      <tp t="s">
        <v>#N/A N/A</v>
        <stp/>
        <stp>BQL|12271314763383147854</stp>
        <tr r="BL14" s="1"/>
      </tp>
      <tp t="s">
        <v>#N/A N/A</v>
        <stp/>
        <stp>BQL|18164244587176288815</stp>
        <tr r="BC14" s="1"/>
      </tp>
      <tp t="s">
        <v>#N/A N/A</v>
        <stp/>
        <stp>BQL|14749845763832109420</stp>
        <tr r="BU13" s="1"/>
      </tp>
      <tp t="s">
        <v>#N/A N/A</v>
        <stp/>
        <stp>BQL|17128831358125829312</stp>
        <tr r="BR14" s="1"/>
      </tp>
      <tp t="s">
        <v>#N/A N/A</v>
        <stp/>
        <stp>BQL|13503521496213738056</stp>
        <tr r="CE14" s="1"/>
      </tp>
      <tp t="s">
        <v>#N/A N/A</v>
        <stp/>
        <stp>BQL|13659724483282991236</stp>
        <tr r="BT8" s="1"/>
      </tp>
      <tp t="s">
        <v>#N/A N/A</v>
        <stp/>
        <stp>BQL|16517188790862418041</stp>
        <tr r="BF13" s="1"/>
      </tp>
      <tp t="s">
        <v>#N/A N/A</v>
        <stp/>
        <stp>BQL|13253812169876371761</stp>
        <tr r="AI10" s="1"/>
      </tp>
      <tp t="s">
        <v>#N/A N/A</v>
        <stp/>
        <stp>BQL|14765859290769137731</stp>
        <tr r="BZ8" s="1"/>
      </tp>
      <tp t="s">
        <v>#N/A N/A</v>
        <stp/>
        <stp>BQL|10233197389760658272</stp>
        <tr r="BX14" s="1"/>
      </tp>
      <tp t="s">
        <v>#N/A N/A</v>
        <stp/>
        <stp>BQL|10531692336358299650</stp>
        <tr r="BN7" s="1"/>
      </tp>
      <tp t="s">
        <v>#N/A N/A</v>
        <stp/>
        <stp>BQL|17927621091636017566</stp>
        <tr r="BM11" s="1"/>
      </tp>
      <tp t="s">
        <v>#N/A N/A</v>
        <stp/>
        <stp>BQL|12651297356866333851</stp>
        <tr r="BQ11" s="1"/>
      </tp>
      <tp t="s">
        <v>#N/A N/A</v>
        <stp/>
        <stp>BQL|10572202056764887850</stp>
        <tr r="BQ13" s="1"/>
      </tp>
      <tp t="s">
        <v>#N/A N/A</v>
        <stp/>
        <stp>BQL|16708673798014106601</stp>
        <tr r="BM8" s="1"/>
      </tp>
      <tp t="s">
        <v>#N/A N/A</v>
        <stp/>
        <stp>BQL|17611400507201004808</stp>
        <tr r="BR13" s="1"/>
      </tp>
      <tp t="s">
        <v>#N/A N/A</v>
        <stp/>
        <stp>BQL|18051925217158252275</stp>
        <tr r="CY15" s="1"/>
      </tp>
      <tp t="s">
        <v>#N/A N/A</v>
        <stp/>
        <stp>BQL|14070267986165381103</stp>
        <tr r="BH15" s="1"/>
      </tp>
      <tp t="s">
        <v>#N/A N/A</v>
        <stp/>
        <stp>BQL|12238428082576315230</stp>
        <tr r="CW13" s="1"/>
      </tp>
      <tp t="s">
        <v>#N/A N/A</v>
        <stp/>
        <stp>BQL|12130656154762406996</stp>
        <tr r="BP9" s="1"/>
      </tp>
      <tp t="s">
        <v>#N/A N/A</v>
        <stp/>
        <stp>BQL|15882482451618961665</stp>
        <tr r="BT10" s="1"/>
      </tp>
      <tp t="s">
        <v>#N/A N/A</v>
        <stp/>
        <stp>BQL|18355500761424093581</stp>
        <tr r="CW9" s="1"/>
      </tp>
      <tp t="s">
        <v>#N/A N/A</v>
        <stp/>
        <stp>BQL|11481692284814258111</stp>
        <tr r="BE13" s="1"/>
      </tp>
      <tp t="s">
        <v>#N/A N/A</v>
        <stp/>
        <stp>BQL|15121413696133500267</stp>
        <tr r="BZ9" s="1"/>
      </tp>
      <tp t="s">
        <v>#N/A N/A</v>
        <stp/>
        <stp>BQL|13435419294807498039</stp>
        <tr r="AE9" s="1"/>
      </tp>
      <tp t="s">
        <v>#N/A N/A</v>
        <stp/>
        <stp>BQL|10257806750304235029</stp>
        <tr r="CY11" s="1"/>
      </tp>
      <tp t="s">
        <v>#N/A N/A</v>
        <stp/>
        <stp>BQL|12426208489618668995</stp>
        <tr r="AK15" s="1"/>
        <tr r="AK15" s="1"/>
      </tp>
      <tp t="s">
        <v>#N/A N/A</v>
        <stp/>
        <stp>BQL|11312525846780480914</stp>
        <tr r="BP11" s="1"/>
      </tp>
      <tp t="s">
        <v>#N/A N/A</v>
        <stp/>
        <stp>BQL|12049621982662245707</stp>
        <tr r="BM12" s="1"/>
      </tp>
      <tp t="s">
        <v>#N/A N/A</v>
        <stp/>
        <stp>BQL|11058300445497910809</stp>
        <tr r="CY9" s="1"/>
      </tp>
      <tp t="s">
        <v>#N/A N/A</v>
        <stp/>
        <stp>BQL|14761789681156042401</stp>
        <tr r="BH9" s="1"/>
      </tp>
      <tp t="s">
        <v>#N/A N/A</v>
        <stp/>
        <stp>BQL|11467781196673428504</stp>
        <tr r="BW14" s="1"/>
      </tp>
      <tp t="s">
        <v>#N/A N/A</v>
        <stp/>
        <stp>BQL|15571350889641675676</stp>
        <tr r="BD8" s="1"/>
      </tp>
      <tp t="s">
        <v>#N/A N/A</v>
        <stp/>
        <stp>BQL|16155321358241957887</stp>
        <tr r="BW13" s="1"/>
      </tp>
      <tp t="s">
        <v>#N/A N/A</v>
        <stp/>
        <stp>BQL|12878127620709737081</stp>
        <tr r="BB9" s="1"/>
      </tp>
      <tp t="s">
        <v>#N/A N/A</v>
        <stp/>
        <stp>BQL|14663239942512001832</stp>
        <tr r="BH12" s="1"/>
      </tp>
      <tp t="s">
        <v>#N/A N/A</v>
        <stp/>
        <stp>BQL|17186967130032065701</stp>
        <tr r="BZ10" s="1"/>
      </tp>
      <tp t="s">
        <v>#N/A N/A</v>
        <stp/>
        <stp>BQL|11787331872218338550</stp>
        <tr r="CD15" s="1"/>
      </tp>
      <tp t="s">
        <v>#N/A N/A</v>
        <stp/>
        <stp>BQL|11917208383295228687</stp>
        <tr r="BM13" s="1"/>
      </tp>
      <tp t="s">
        <v>#N/A N/A</v>
        <stp/>
        <stp>BQL|10668156471526254832</stp>
        <tr r="BU7" s="1"/>
      </tp>
      <tp t="s">
        <v>#N/A N/A</v>
        <stp/>
        <stp>BQL|17919149171411346821</stp>
        <tr r="AE10" s="1"/>
      </tp>
      <tp t="s">
        <v>#N/A N/A</v>
        <stp/>
        <stp>BQL|15798004590417853322</stp>
        <tr r="BG11" s="1"/>
      </tp>
      <tp t="s">
        <v>#N/A N/A</v>
        <stp/>
        <stp>BQL|16639080412859416613</stp>
        <tr r="BG15" s="1"/>
      </tp>
      <tp t="s">
        <v>#N/A N/A</v>
        <stp/>
        <stp>BQL|18157149400028959946</stp>
        <tr r="CC11" s="1"/>
      </tp>
      <tp t="s">
        <v>#N/A N/A</v>
        <stp/>
        <stp>BQL|10720586361543179857</stp>
        <tr r="CB9" s="1"/>
      </tp>
      <tp t="s">
        <v>#N/A N/A</v>
        <stp/>
        <stp>BQL|13964603517951344288</stp>
        <tr r="CG14" s="1"/>
      </tp>
      <tp t="s">
        <v>#N/A N/A</v>
        <stp/>
        <stp>BQL|14800241947591656485</stp>
        <tr r="BH14" s="1"/>
      </tp>
      <tp t="s">
        <v>#N/A N/A</v>
        <stp/>
        <stp>BQL|16051606689538992740</stp>
        <tr r="BX13" s="1"/>
      </tp>
      <tp t="s">
        <v>#N/A N/A</v>
        <stp/>
        <stp>BQL|14490106223597847791</stp>
        <tr r="AO11" s="1"/>
      </tp>
      <tp t="s">
        <v>#N/A N/A</v>
        <stp/>
        <stp>BQL|12812082710260897493</stp>
        <tr r="BK13" s="1"/>
      </tp>
      <tp t="s">
        <v>#N/A N/A</v>
        <stp/>
        <stp>BQL|14247070830856151650</stp>
        <tr r="AN12" s="1"/>
      </tp>
      <tp t="s">
        <v>#N/A N/A</v>
        <stp/>
        <stp>BQL|16460273562360562553</stp>
        <tr r="BI9" s="1"/>
      </tp>
      <tp t="s">
        <v>#N/A N/A</v>
        <stp/>
        <stp>BQL|16599842390402673245</stp>
        <tr r="BY12" s="1"/>
      </tp>
      <tp t="s">
        <v>#N/A N/A</v>
        <stp/>
        <stp>BQL|15345730749277384678</stp>
        <tr r="AE13" s="1"/>
      </tp>
      <tp t="s">
        <v>#N/A N/A</v>
        <stp/>
        <stp>BQL|15940942421319702048</stp>
        <tr r="BM7" s="1"/>
      </tp>
      <tp t="s">
        <v>#N/A N/A</v>
        <stp/>
        <stp>BQL|14719962799542632111</stp>
        <tr r="BH11" s="1"/>
      </tp>
      <tp t="s">
        <v>#N/A N/A</v>
        <stp/>
        <stp>BQL|10859114287839015704</stp>
        <tr r="AI8" s="1"/>
      </tp>
      <tp t="s">
        <v>#N/A N/A</v>
        <stp/>
        <stp>BQL|15576640830572823509</stp>
        <tr r="BL7" s="1"/>
      </tp>
      <tp t="s">
        <v>#N/A N/A</v>
        <stp/>
        <stp>BQL|12268391517771648639</stp>
        <tr r="CC13" s="1"/>
      </tp>
      <tp t="s">
        <v>#N/A N/A</v>
        <stp/>
        <stp>BQL|17565299476514035122</stp>
        <tr r="BV10" s="1"/>
      </tp>
      <tp t="s">
        <v>#N/A N/A</v>
        <stp/>
        <stp>BQL|10789387449114457496</stp>
        <tr r="AL8" s="1"/>
        <tr r="AL8" s="1"/>
      </tp>
      <tp t="s">
        <v>#N/A N/A</v>
        <stp/>
        <stp>BQL|13913921157829109175</stp>
        <tr r="AF8" s="1"/>
      </tp>
      <tp t="s">
        <v>#N/A N/A</v>
        <stp/>
        <stp>BQL|12419525264091875702</stp>
        <tr r="BP15" s="1"/>
      </tp>
      <tp t="s">
        <v>#N/A N/A</v>
        <stp/>
        <stp>BQL|11281608504363307283</stp>
        <tr r="BF12" s="1"/>
      </tp>
      <tp t="s">
        <v>#N/A N/A</v>
        <stp/>
        <stp>BQL|17531123432900839335</stp>
        <tr r="BT13" s="1"/>
      </tp>
      <tp t="s">
        <v>#N/A N/A</v>
        <stp/>
        <stp>BQL|11913131213943168412</stp>
        <tr r="BQ14" s="1"/>
      </tp>
      <tp t="s">
        <v>#N/A N/A</v>
        <stp/>
        <stp>BQL|18001957379162186243</stp>
        <tr r="BT14" s="1"/>
      </tp>
      <tp t="s">
        <v>#N/A N/A</v>
        <stp/>
        <stp>BQL|13417280826390504565</stp>
        <tr r="BV13" s="1"/>
      </tp>
      <tp t="s">
        <v>#N/A N/A</v>
        <stp/>
        <stp>BQL|15357061474982162685</stp>
        <tr r="BC11" s="1"/>
      </tp>
      <tp t="s">
        <v>#N/A N/A</v>
        <stp/>
        <stp>BQL|10829938931029307520</stp>
        <tr r="CY13" s="1"/>
      </tp>
      <tp t="s">
        <v>#N/A N/A</v>
        <stp/>
        <stp>BQL|13900649922302315379</stp>
        <tr r="AN13" s="1"/>
      </tp>
      <tp t="s">
        <v>#N/A N/A</v>
        <stp/>
        <stp>BQL|13817650005094080721</stp>
        <tr r="BC12" s="1"/>
      </tp>
      <tp t="s">
        <v>#N/A N/A</v>
        <stp/>
        <stp>BQL|15147533918353145412</stp>
        <tr r="AI9" s="1"/>
      </tp>
      <tp t="s">
        <v>#N/A N/A</v>
        <stp/>
        <stp>BQL|16937923510459876262</stp>
        <tr r="BT15" s="1"/>
      </tp>
      <tp t="s">
        <v>#N/A N/A</v>
        <stp/>
        <stp>BQL|10853894001288259572</stp>
        <tr r="BM10" s="1"/>
      </tp>
      <tp t="s">
        <v>#N/A N/A</v>
        <stp/>
        <stp>BQL|18302625517679359338</stp>
        <tr r="BY15" s="1"/>
      </tp>
      <tp t="s">
        <v>#N/A N/A</v>
        <stp/>
        <stp>BQL|11519278948323906132</stp>
        <tr r="BI14" s="1"/>
      </tp>
      <tp t="s">
        <v>#N/A N/A</v>
        <stp/>
        <stp>BQL|16600365106166189647</stp>
        <tr r="BX8" s="1"/>
      </tp>
      <tp t="s">
        <v>#N/A N/A</v>
        <stp/>
        <stp>BQL|17352575764994631544</stp>
        <tr r="BN12" s="1"/>
      </tp>
      <tp t="s">
        <v>#N/A N/A</v>
        <stp/>
        <stp>BQL|14243242024909173815</stp>
        <tr r="AI12" s="1"/>
      </tp>
      <tp t="s">
        <v>#N/A N/A</v>
        <stp/>
        <stp>BQL|11287457528077218510</stp>
        <tr r="BC10" s="1"/>
      </tp>
      <tp t="s">
        <v>#N/A N/A</v>
        <stp/>
        <stp>BQL|14869245827322213369</stp>
        <tr r="BK8" s="1"/>
      </tp>
      <tp t="s">
        <v>#N/A N/A</v>
        <stp/>
        <stp>BQL|18272030237957815900</stp>
        <tr r="BT12" s="1"/>
      </tp>
      <tp t="s">
        <v>#N/A N/A</v>
        <stp/>
        <stp>BQL|10454050957458162897</stp>
        <tr r="BI10" s="1"/>
      </tp>
      <tp t="s">
        <v>#N/A N/A</v>
        <stp/>
        <stp>BQL|15453091626236563479</stp>
        <tr r="CD9" s="1"/>
      </tp>
      <tp t="s">
        <v>#N/A N/A</v>
        <stp/>
        <stp>BQL|16505511826016342292</stp>
        <tr r="BD7" s="1"/>
      </tp>
      <tp t="s">
        <v>#N/A N/A</v>
        <stp/>
        <stp>BQL|16201074762945128139</stp>
        <tr r="AH9" s="1"/>
      </tp>
      <tp t="s">
        <v>#N/A N/A</v>
        <stp/>
        <stp>BQL|13009043451110794265</stp>
        <tr r="AL15" s="1"/>
        <tr r="AL15" s="1"/>
      </tp>
      <tp t="s">
        <v>#N/A N/A</v>
        <stp/>
        <stp>BQL|17312484060362636396</stp>
        <tr r="BF10" s="1"/>
      </tp>
      <tp t="s">
        <v>#N/A N/A</v>
        <stp/>
        <stp>BQL|17272758007502579637</stp>
        <tr r="CB12" s="1"/>
      </tp>
      <tp t="s">
        <v>#N/A N/A</v>
        <stp/>
        <stp>BQL|11152715026771692114</stp>
        <tr r="AE7" s="1"/>
      </tp>
      <tp t="s">
        <v>#N/A N/A</v>
        <stp/>
        <stp>BQL|12765757143534791162</stp>
        <tr r="BS15" s="1"/>
      </tp>
      <tp t="s">
        <v>#N/A N/A</v>
        <stp/>
        <stp>BQL|15125556323833274556</stp>
        <tr r="BL10" s="1"/>
      </tp>
      <tp t="s">
        <v>#N/A N/A</v>
        <stp/>
        <stp>BQL|17793959450476611975</stp>
        <tr r="AE12" s="1"/>
      </tp>
      <tp t="s">
        <v>#N/A N/A</v>
        <stp/>
        <stp>BQL|16174517262780562151</stp>
        <tr r="BW9" s="1"/>
      </tp>
      <tp t="s">
        <v>#N/A N/A</v>
        <stp/>
        <stp>BQL|15100112057127307267</stp>
        <tr r="AF9" s="1"/>
      </tp>
      <tp t="s">
        <v>#N/A N/A</v>
        <stp/>
        <stp>BQL|11000584254945218046</stp>
        <tr r="BW10" s="1"/>
      </tp>
      <tp t="s">
        <v>#N/A N/A</v>
        <stp/>
        <stp>BQL|16403109150607315626</stp>
        <tr r="CC14" s="1"/>
      </tp>
      <tp t="s">
        <v>#N/A N/A</v>
        <stp/>
        <stp>BQL|16180429914438485825</stp>
        <tr r="AE15" s="1"/>
      </tp>
      <tp t="s">
        <v>#N/A N/A</v>
        <stp/>
        <stp>BQL|15987281776033210051</stp>
        <tr r="AO9" s="1"/>
      </tp>
      <tp t="s">
        <v>#N/A N/A</v>
        <stp/>
        <stp>BQL|10379313241026683259</stp>
        <tr r="BV7" s="1"/>
      </tp>
      <tp t="s">
        <v>#N/A N/A</v>
        <stp/>
        <stp>BQL|11117096052490021790</stp>
        <tr r="BQ12" s="1"/>
      </tp>
      <tp t="s">
        <v>#N/A N/A</v>
        <stp/>
        <stp>BQL|11544501583368041746</stp>
        <tr r="AE8" s="1"/>
      </tp>
      <tp t="s">
        <v>#N/A N/A</v>
        <stp/>
        <stp>BQL|14451861224914366984</stp>
        <tr r="BV11" s="1"/>
      </tp>
      <tp t="s">
        <v>#N/A N/A</v>
        <stp/>
        <stp>BQL|10081702628842276432</stp>
        <tr r="AL10" s="1"/>
        <tr r="AL10" s="1"/>
      </tp>
      <tp t="s">
        <v>#N/A N/A</v>
        <stp/>
        <stp>BQL|14869485919602006029</stp>
        <tr r="BT11" s="1"/>
      </tp>
      <tp t="s">
        <v>#N/A N/A</v>
        <stp/>
        <stp>BQL|17919672378172373609</stp>
        <tr r="BA15" s="1"/>
      </tp>
      <tp t="s">
        <v>#N/A N/A</v>
        <stp/>
        <stp>BQL|11133200404577653679</stp>
        <tr r="BS8" s="1"/>
      </tp>
      <tp t="s">
        <v>#N/A N/A</v>
        <stp/>
        <stp>BQL|14078676901357027717</stp>
        <tr r="BJ7" s="1"/>
      </tp>
      <tp t="s">
        <v>#N/A N/A</v>
        <stp/>
        <stp>BQL|16167410852706732333</stp>
        <tr r="AH8" s="1"/>
      </tp>
      <tp t="s">
        <v>#N/A N/A</v>
        <stp/>
        <stp>BQL|17130857845199595056</stp>
        <tr r="CC12" s="1"/>
      </tp>
      <tp t="s">
        <v>#N/A N/A</v>
        <stp/>
        <stp>BQL|11817613768881104219</stp>
        <tr r="BO14" s="1"/>
      </tp>
      <tp t="s">
        <v>#N/A N/A</v>
        <stp/>
        <stp>BQL|12210673604123213533</stp>
        <tr r="BA14" s="1"/>
      </tp>
      <tp t="s">
        <v>#N/A N/A</v>
        <stp/>
        <stp>BQL|16609044431863428446</stp>
        <tr r="BS7" s="1"/>
      </tp>
      <tp t="s">
        <v>#N/A N/A</v>
        <stp/>
        <stp>BQL|13782629142650133353</stp>
        <tr r="AN11" s="1"/>
      </tp>
      <tp t="s">
        <v>#N/A N/A</v>
        <stp/>
        <stp>BQL|14032708306833712238</stp>
        <tr r="AZ11" s="1"/>
      </tp>
      <tp t="s">
        <v>#N/A N/A</v>
        <stp/>
        <stp>BQL|13900159211717014614</stp>
        <tr r="AZ13" s="1"/>
      </tp>
      <tp t="s">
        <v>#N/A N/A</v>
        <stp/>
        <stp>BQL|11193402761313916264</stp>
        <tr r="CG9" s="1"/>
      </tp>
      <tp t="s">
        <v>#N/A N/A</v>
        <stp/>
        <stp>BQL|10655272031210807339</stp>
        <tr r="CE13" s="1"/>
      </tp>
      <tp t="s">
        <v>#N/A N/A</v>
        <stp/>
        <stp>BQL|11864115533757314626</stp>
        <tr r="CW15" s="1"/>
      </tp>
      <tp t="s">
        <v>#N/A N/A</v>
        <stp/>
        <stp>BQL|15566206054946324682</stp>
        <tr r="BO13" s="1"/>
      </tp>
      <tp t="s">
        <v>#N/A N/A</v>
        <stp/>
        <stp>BQL|11128687027313183450</stp>
        <tr r="BK7" s="1"/>
      </tp>
      <tp t="s">
        <v>#N/A N/A</v>
        <stp/>
        <stp>BQL|11582441702247603319</stp>
        <tr r="BG14" s="1"/>
      </tp>
      <tp t="s">
        <v>#N/A N/A</v>
        <stp/>
        <stp>BQL|14507406251783607756</stp>
        <tr r="BW12" s="1"/>
      </tp>
      <tp t="s">
        <v>#N/A N/A</v>
        <stp/>
        <stp>BQL|14540676537724077425</stp>
        <tr r="CW11" s="1"/>
      </tp>
      <tp t="s">
        <v>#N/A N/A</v>
        <stp/>
        <stp>BQL|15310436216742199364</stp>
        <tr r="CD12" s="1"/>
      </tp>
      <tp t="s">
        <v>#N/A N/A</v>
        <stp/>
        <stp>BQL|12116226670521230703</stp>
        <tr r="BN9" s="1"/>
      </tp>
      <tp t="s">
        <v>#N/A N/A</v>
        <stp/>
        <stp>BQL|17103469806353478152</stp>
        <tr r="BJ13" s="1"/>
      </tp>
      <tp t="s">
        <v>#N/A N/A</v>
        <stp/>
        <stp>BQL|13288065647903553542</stp>
        <tr r="BV12" s="1"/>
      </tp>
      <tp t="s">
        <v>#N/A N/A</v>
        <stp/>
        <stp>BQL|18443513972979481215</stp>
        <tr r="BJ11" s="1"/>
      </tp>
      <tp t="s">
        <v>#N/A N/A</v>
        <stp/>
        <stp>BQL|12716976298174397798</stp>
        <tr r="BZ11" s="1"/>
      </tp>
      <tp t="s">
        <v>#N/A N/A</v>
        <stp/>
        <stp>BQL|11123347961310432521</stp>
        <tr r="BN10" s="1"/>
      </tp>
      <tp t="s">
        <v>#N/A N/A</v>
        <stp/>
        <stp>BQL|14102893173818514201</stp>
        <tr r="CA7" s="1"/>
      </tp>
      <tp t="s">
        <v>#N/A N/A</v>
        <stp/>
        <stp>BQL|12228460500234346395</stp>
        <tr r="BK11" s="1"/>
      </tp>
      <tp t="s">
        <v>#N/A N/A</v>
        <stp/>
        <stp>BQL|12055945294480931372</stp>
        <tr r="BU11" s="1"/>
      </tp>
      <tp t="s">
        <v>#N/A N/A</v>
        <stp/>
        <stp>BQL|11426481865337010505</stp>
        <tr r="CG7" s="1"/>
      </tp>
      <tp t="s">
        <v>#N/A N/A</v>
        <stp/>
        <stp>BQL|14740359464856978648</stp>
        <tr r="BG7" s="1"/>
      </tp>
      <tp t="s">
        <v>#N/A N/A</v>
        <stp/>
        <stp>BQL|10014678370018951852</stp>
        <tr r="BW8" s="1"/>
      </tp>
      <tp t="s">
        <v>#N/A N/A</v>
        <stp/>
        <stp>BQL|11119130277741802761</stp>
        <tr r="BL12" s="1"/>
      </tp>
      <tp t="s">
        <v>#N/A N/A</v>
        <stp/>
        <stp>BQL|14471317805975239383</stp>
        <tr r="CF12" s="1"/>
      </tp>
      <tp t="s">
        <v>#N/A N/A</v>
        <stp/>
        <stp>BQL|17807709203191338023</stp>
        <tr r="BJ14" s="1"/>
      </tp>
      <tp t="s">
        <v>#N/A N/A</v>
        <stp/>
        <stp>BQL|12078003681588521210</stp>
        <tr r="BK15" s="1"/>
      </tp>
      <tp t="s">
        <v>#N/A N/A</v>
        <stp/>
        <stp>BQL|10634297878185117037</stp>
        <tr r="BF11" s="1"/>
      </tp>
      <tp t="s">
        <v>#N/A N/A</v>
        <stp/>
        <stp>BQL|18089208385490465243</stp>
        <tr r="BG10" s="1"/>
      </tp>
      <tp t="s">
        <v>#N/A N/A</v>
        <stp/>
        <stp>BQL|17792484339294398429</stp>
        <tr r="BX11" s="1"/>
      </tp>
      <tp t="s">
        <v>#N/A N/A</v>
        <stp/>
        <stp>BQL|14221378111844167223</stp>
        <tr r="AL7" s="1"/>
        <tr r="AL7" s="1"/>
      </tp>
      <tp t="s">
        <v>#N/A N/A</v>
        <stp/>
        <stp>BQL|14556315472314603461</stp>
        <tr r="CW7" s="1"/>
      </tp>
      <tp t="s">
        <v>#N/A N/A</v>
        <stp/>
        <stp>BQL|13075752297715175851</stp>
        <tr r="BM15" s="1"/>
      </tp>
      <tp t="s">
        <v>#N/A N/A</v>
        <stp/>
        <stp>BQL|11690786319742428525</stp>
        <tr r="BD15" s="1"/>
      </tp>
      <tp t="s">
        <v>#N/A N/A</v>
        <stp/>
        <stp>BQL|10228146772587517127</stp>
        <tr r="BZ7" s="1"/>
      </tp>
      <tp t="s">
        <v>#N/A N/A</v>
        <stp/>
        <stp>BQL|16754452622971415181</stp>
        <tr r="BU10" s="1"/>
      </tp>
      <tp t="s">
        <v>#N/A N/A</v>
        <stp/>
        <stp>BQL|16706997970000749854</stp>
        <tr r="AF15" s="1"/>
      </tp>
      <tp t="s">
        <v>#N/A N/A</v>
        <stp/>
        <stp>BQL|13809575035804415116</stp>
        <tr r="BY8" s="1"/>
      </tp>
      <tp t="s">
        <v>#N/A N/A</v>
        <stp/>
        <stp>BQL|13973053972080040478</stp>
        <tr r="AK7" s="1"/>
        <tr r="AK7" s="1"/>
      </tp>
      <tp t="s">
        <v>#N/A N/A</v>
        <stp/>
        <stp>BQL|15436142838620957781</stp>
        <tr r="AN15" s="1"/>
      </tp>
      <tp t="s">
        <v>#N/A N/A</v>
        <stp/>
        <stp>BQL|10819739865144733511</stp>
        <tr r="BA12" s="1"/>
      </tp>
      <tp t="s">
        <v>#N/A N/A</v>
        <stp/>
        <stp>BDP|17358411498943621310</stp>
        <tr r="AS8" s="1"/>
      </tp>
      <tp t="s">
        <v>#N/A N/A</v>
        <stp/>
        <stp>BDP|15869614859388987447</stp>
        <tr r="Q15" s="1"/>
      </tp>
      <tp t="s">
        <v>#N/A N/A</v>
        <stp/>
        <stp>BDP|10465081150818048717</stp>
        <tr r="X14" s="1"/>
      </tp>
      <tp t="s">
        <v>#N/A N/A</v>
        <stp/>
        <stp>BDP|17466384251783855899</stp>
        <tr r="AR14" s="1"/>
      </tp>
      <tp t="s">
        <v>#N/A N/A</v>
        <stp/>
        <stp>BDP|12316392416928197217</stp>
        <tr r="I9" s="1"/>
      </tp>
      <tp t="s">
        <v>#N/A N/A</v>
        <stp/>
        <stp>BDP|10579108291861276398</stp>
        <tr r="A15" s="1"/>
      </tp>
      <tp t="s">
        <v>#N/A N/A</v>
        <stp/>
        <stp>BDP|13311000558985708936</stp>
        <tr r="K12" s="1"/>
      </tp>
      <tp t="s">
        <v>#N/A N/A</v>
        <stp/>
        <stp>BDP|15593768526528373280</stp>
        <tr r="F15" s="1"/>
      </tp>
      <tp t="s">
        <v>#N/A N/A</v>
        <stp/>
        <stp>BDP|17181562330132535932</stp>
        <tr r="AP12" s="1"/>
      </tp>
      <tp t="s">
        <v>#N/A N/A</v>
        <stp/>
        <stp>BDP|13504200102082053979</stp>
        <tr r="AV14" s="1"/>
      </tp>
      <tp t="s">
        <v>#N/A N/A</v>
        <stp/>
        <stp>BDP|15200624744454164953</stp>
        <tr r="CS10" s="1"/>
      </tp>
      <tp t="s">
        <v>#N/A N/A</v>
        <stp/>
        <stp>BDP|11864887736871666134</stp>
        <tr r="Y8" s="1"/>
      </tp>
      <tp t="s">
        <v>#N/A N/A</v>
        <stp/>
        <stp>BDP|15728868973474202431</stp>
        <tr r="O15" s="1"/>
      </tp>
      <tp t="s">
        <v>#N/A N/A</v>
        <stp/>
        <stp>BDP|14662243146591820992</stp>
        <tr r="CO10" s="1"/>
      </tp>
      <tp t="s">
        <v>#N/A N/A</v>
        <stp/>
        <stp>BDP|17548850403883407638</stp>
        <tr r="I10" s="1"/>
      </tp>
      <tp t="s">
        <v>#N/A N/A</v>
        <stp/>
        <stp>BDP|14137904402580713729</stp>
        <tr r="R13" s="1"/>
      </tp>
      <tp t="s">
        <v>#N/A N/A</v>
        <stp/>
        <stp>BDP|11308160831908587173</stp>
        <tr r="CU12" s="1"/>
      </tp>
      <tp t="s">
        <v>#N/A N/A</v>
        <stp/>
        <stp>BDP|12935593176612744998</stp>
        <tr r="CL14" s="1"/>
      </tp>
      <tp t="s">
        <v>#N/A N/A</v>
        <stp/>
        <stp>BDP|12551110194121145096</stp>
        <tr r="N13" s="1"/>
      </tp>
      <tp t="s">
        <v>#N/A N/A</v>
        <stp/>
        <stp>BDP|10092054916558730253</stp>
        <tr r="AC9" s="1"/>
      </tp>
      <tp t="s">
        <v>#N/A N/A</v>
        <stp/>
        <stp>BDP|11189929130540596044</stp>
        <tr r="CQ11" s="1"/>
      </tp>
      <tp t="s">
        <v>#N/A N/A</v>
        <stp/>
        <stp>BDP|14956203522879019693</stp>
        <tr r="L11" s="1"/>
      </tp>
      <tp t="s">
        <v>#N/A N/A</v>
        <stp/>
        <stp>BDP|11964690327076462810</stp>
        <tr r="AB13" s="1"/>
      </tp>
      <tp t="s">
        <v>#N/A N/A</v>
        <stp/>
        <stp>BDP|18075089870583475794</stp>
        <tr r="CU13" s="1"/>
      </tp>
      <tp t="s">
        <v>#N/A N/A</v>
        <stp/>
        <stp>BDP|14219418446247999885</stp>
        <tr r="J11" s="1"/>
      </tp>
      <tp t="s">
        <v>#N/A N/A</v>
        <stp/>
        <stp>BDP|15734730107341065857</stp>
        <tr r="AP8" s="1"/>
      </tp>
      <tp t="s">
        <v>#N/A N/A</v>
        <stp/>
        <stp>BDP|11278957603146977656</stp>
        <tr r="AC15" s="1"/>
      </tp>
      <tp t="s">
        <v>#N/A N/A</v>
        <stp/>
        <stp>BDP|10217189683065364408</stp>
        <tr r="V8" s="1"/>
      </tp>
      <tp t="s">
        <v>#N/A N/A</v>
        <stp/>
        <stp>BDP|18244038287960829823</stp>
        <tr r="L10" s="1"/>
      </tp>
      <tp t="s">
        <v>#N/A N/A</v>
        <stp/>
        <stp>BDP|17783215831797433922</stp>
        <tr r="Q8" s="1"/>
      </tp>
      <tp t="s">
        <v>#N/A N/A</v>
        <stp/>
        <stp>BDP|13296694017919453584</stp>
        <tr r="Y10" s="1"/>
      </tp>
      <tp t="s">
        <v>#N/A N/A</v>
        <stp/>
        <stp>BDP|11005741415359083665</stp>
        <tr r="CZ7" s="1"/>
      </tp>
      <tp t="s">
        <v>#N/A N/A</v>
        <stp/>
        <stp>BDP|16531836747753510133</stp>
        <tr r="W11" s="1"/>
      </tp>
      <tp t="s">
        <v>#N/A N/A</v>
        <stp/>
        <stp>BDP|14760870453200186145</stp>
        <tr r="CM15" s="1"/>
      </tp>
      <tp t="s">
        <v>#N/A N/A</v>
        <stp/>
        <stp>BDP|13003823967541729448</stp>
        <tr r="CM12" s="1"/>
      </tp>
      <tp t="s">
        <v>#N/A N/A</v>
        <stp/>
        <stp>BDP|14967046234656908899</stp>
        <tr r="AP9" s="1"/>
      </tp>
      <tp t="s">
        <v>#N/A N/A</v>
        <stp/>
        <stp>BDP|16653246576003517992</stp>
        <tr r="AP15" s="1"/>
      </tp>
      <tp t="s">
        <v>#N/A N/A</v>
        <stp/>
        <stp>BDP|13955852014075742642</stp>
        <tr r="AB14" s="1"/>
      </tp>
      <tp t="s">
        <v>#N/A N/A</v>
        <stp/>
        <stp>BDP|18332512538645359224</stp>
        <tr r="AM15" s="1"/>
      </tp>
      <tp t="s">
        <v>#N/A N/A</v>
        <stp/>
        <stp>BDP|14589902849248081815</stp>
        <tr r="R10" s="1"/>
      </tp>
      <tp t="s">
        <v>#N/A N/A</v>
        <stp/>
        <stp>BDP|12207244281745991423</stp>
        <tr r="AA8" s="1"/>
      </tp>
      <tp t="s">
        <v>#N/A N/A</v>
        <stp/>
        <stp>BDP|17884781984433852228</stp>
        <tr r="Z8" s="1"/>
      </tp>
      <tp t="s">
        <v>#N/A N/A</v>
        <stp/>
        <stp>BDP|16530345642931430952</stp>
        <tr r="AP7" s="1"/>
      </tp>
      <tp t="s">
        <v>#N/A N/A</v>
        <stp/>
        <stp>BDP|15489722787056087552</stp>
        <tr r="A14" s="1"/>
      </tp>
      <tp t="s">
        <v>#N/A N/A</v>
        <stp/>
        <stp>BDP|14102742092215126619</stp>
        <tr r="Q11" s="1"/>
      </tp>
      <tp t="s">
        <v>#N/A N/A</v>
        <stp/>
        <stp>BDP|13569397186508983951</stp>
        <tr r="O7" s="1"/>
      </tp>
      <tp t="s">
        <v>#N/A N/A</v>
        <stp/>
        <stp>BDP|10020785197189759919</stp>
        <tr r="AU13" s="1"/>
      </tp>
      <tp t="s">
        <v>#N/A N/A</v>
        <stp/>
        <stp>BDP|15795798912988038539</stp>
        <tr r="AC11" s="1"/>
      </tp>
      <tp t="s">
        <v>#N/A N/A</v>
        <stp/>
        <stp>BDP|14442282564626728805</stp>
        <tr r="T15" s="1"/>
      </tp>
      <tp t="s">
        <v>#N/A N/A</v>
        <stp/>
        <stp>BDP|10540948549607200441</stp>
        <tr r="Z12" s="1"/>
      </tp>
      <tp t="s">
        <v>#N/A N/A</v>
        <stp/>
        <stp>BDP|16069884953753283697</stp>
        <tr r="M14" s="1"/>
      </tp>
      <tp t="s">
        <v>#N/A N/A</v>
        <stp/>
        <stp>BDP|15405621917294727857</stp>
        <tr r="G10" s="1"/>
      </tp>
      <tp t="s">
        <v>#N/A N/A</v>
        <stp/>
        <stp>BDP|13327934636002564519</stp>
        <tr r="AS15" s="1"/>
      </tp>
      <tp t="s">
        <v>#N/A N/A</v>
        <stp/>
        <stp>BDP|10429848975645636419</stp>
        <tr r="B14" s="1"/>
      </tp>
      <tp t="s">
        <v>#N/A N/A</v>
        <stp/>
        <stp>BDP|16295882063941846741</stp>
        <tr r="CR10" s="1"/>
      </tp>
      <tp t="s">
        <v>#N/A N/A</v>
        <stp/>
        <stp>BDP|10341143721819667463</stp>
        <tr r="S14" s="1"/>
      </tp>
      <tp t="s">
        <v>#N/A N/A</v>
        <stp/>
        <stp>BDP|13860569834769330302</stp>
        <tr r="CV10" s="1"/>
      </tp>
      <tp t="s">
        <v>#N/A N/A</v>
        <stp/>
        <stp>BDP|13500484536909684201</stp>
        <tr r="AR12" s="1"/>
      </tp>
      <tp t="s">
        <v>#N/A N/A</v>
        <stp/>
        <stp>BDP|12045538020939875375</stp>
        <tr r="W13" s="1"/>
      </tp>
      <tp t="s">
        <v>#N/A N/A</v>
        <stp/>
        <stp>BDP|12473456362106439993</stp>
        <tr r="AR7" s="1"/>
      </tp>
      <tp t="s">
        <v>#N/A N/A</v>
        <stp/>
        <stp>BDP|15824199741556989983</stp>
        <tr r="G11" s="1"/>
      </tp>
      <tp t="s">
        <v>#N/A N/A</v>
        <stp/>
        <stp>BDP|18030686314550926079</stp>
        <tr r="CP9" s="1"/>
      </tp>
      <tp t="s">
        <v>#N/A N/A</v>
        <stp/>
        <stp>BDP|15742145714483029924</stp>
        <tr r="N10" s="1"/>
      </tp>
      <tp t="s">
        <v>#N/A N/A</v>
        <stp/>
        <stp>BDP|12078426796420675068</stp>
        <tr r="Y9" s="1"/>
      </tp>
      <tp t="s">
        <v>#N/A N/A</v>
        <stp/>
        <stp>BDP|17815072189521126133</stp>
        <tr r="AU15" s="1"/>
      </tp>
      <tp t="s">
        <v>#N/A N/A</v>
        <stp/>
        <stp>BDP|12811909874858494808</stp>
        <tr r="CU11" s="1"/>
      </tp>
      <tp t="s">
        <v>#N/A N/A</v>
        <stp/>
        <stp>BDP|14344608002269276722</stp>
        <tr r="L13" s="1"/>
      </tp>
      <tp t="s">
        <v>#N/A N/A</v>
        <stp/>
        <stp>BDP|11075437086687596615</stp>
        <tr r="U12" s="1"/>
      </tp>
      <tp t="s">
        <v>#N/A N/A</v>
        <stp/>
        <stp>BDP|10261914550240242009</stp>
        <tr r="AV13" s="1"/>
      </tp>
      <tp t="s">
        <v>#N/A N/A</v>
        <stp/>
        <stp>BDP|12178326192211266509</stp>
        <tr r="U13" s="1"/>
      </tp>
      <tp t="s">
        <v>#N/A N/A</v>
        <stp/>
        <stp>BDP|10996098451101666842</stp>
        <tr r="I8" s="1"/>
      </tp>
      <tp t="s">
        <v>#N/A N/A</v>
        <stp/>
        <stp>BDP|14498212787537372555</stp>
        <tr r="J15" s="1"/>
      </tp>
      <tp t="s">
        <v>#N/A N/A</v>
        <stp/>
        <stp>BDP|13377558462115378900</stp>
        <tr r="AB11" s="1"/>
      </tp>
      <tp t="s">
        <v>#N/A N/A</v>
        <stp/>
        <stp>BDP|13679555765569034510</stp>
        <tr r="CS7" s="1"/>
      </tp>
      <tp t="s">
        <v>#N/A N/A</v>
        <stp/>
        <stp>BDP|14982095062099567716</stp>
        <tr r="B7" s="1"/>
      </tp>
      <tp t="s">
        <v>#N/A N/A</v>
        <stp/>
        <stp>BDP|18180383366239120976</stp>
        <tr r="E22" s="1"/>
      </tp>
      <tp t="s">
        <v>#N/A N/A</v>
        <stp/>
        <stp>BDP|12730654789129428877</stp>
        <tr r="S7" s="1"/>
      </tp>
      <tp t="s">
        <v>#N/A N/A</v>
        <stp/>
        <stp>BDP|11893794178488996482</stp>
        <tr r="I7" s="1"/>
      </tp>
      <tp t="s">
        <v>#N/A N/A</v>
        <stp/>
        <stp>BDP|12944754751698443547</stp>
        <tr r="V14" s="1"/>
      </tp>
      <tp t="s">
        <v>#N/A N/A</v>
        <stp/>
        <stp>BDP|16543697796102281677</stp>
        <tr r="AP10" s="1"/>
      </tp>
      <tp t="s">
        <v>#N/A N/A</v>
        <stp/>
        <stp>BDP|13010618646558796430</stp>
        <tr r="W12" s="1"/>
      </tp>
      <tp t="s">
        <v>#N/A N/A</v>
        <stp/>
        <stp>BDP|17999731365422306990</stp>
        <tr r="AA15" s="1"/>
      </tp>
      <tp t="s">
        <v>#N/A N/A</v>
        <stp/>
        <stp>BDP|15709344551297167945</stp>
        <tr r="D11" s="1"/>
      </tp>
      <tp t="s">
        <v>#N/A N/A</v>
        <stp/>
        <stp>BDP|16317843978143513838</stp>
        <tr r="L7" s="1"/>
      </tp>
      <tp t="s">
        <v>#N/A N/A</v>
        <stp/>
        <stp>BDP|10455137858223474525</stp>
        <tr r="E10" s="1"/>
      </tp>
      <tp t="s">
        <v>#N/A N/A</v>
        <stp/>
        <stp>BDP|10867101459970974635</stp>
        <tr r="S13" s="1"/>
      </tp>
      <tp t="s">
        <v>#N/A N/A</v>
        <stp/>
        <stp>BDP|10951414412666906199</stp>
        <tr r="R11" s="1"/>
      </tp>
      <tp t="s">
        <v>#N/A N/A</v>
        <stp/>
        <stp>BDP|12376584906403307637</stp>
        <tr r="CR8" s="1"/>
      </tp>
      <tp t="s">
        <v>#N/A N/A</v>
        <stp/>
        <stp>BDP|10669618755369598885</stp>
        <tr r="B10" s="1"/>
      </tp>
      <tp t="s">
        <v>#N/A N/A</v>
        <stp/>
        <stp>BDP|10875304370826401026</stp>
        <tr r="L9" s="1"/>
      </tp>
      <tp t="s">
        <v>#N/A N/A</v>
        <stp/>
        <stp>BDP|16317963488092790749</stp>
        <tr r="AM8" s="1"/>
      </tp>
      <tp t="s">
        <v>#N/A N/A</v>
        <stp/>
        <stp>BDP|10746219226874330623</stp>
        <tr r="Z13" s="1"/>
      </tp>
      <tp t="s">
        <v>#N/A N/A</v>
        <stp/>
        <stp>BDP|12660831662026445806</stp>
        <tr r="AT7" s="1"/>
      </tp>
      <tp t="s">
        <v>#N/A N/A</v>
        <stp/>
        <stp>BDP|13370204428915014491</stp>
        <tr r="Q9" s="1"/>
      </tp>
      <tp t="s">
        <v>#N/A N/A</v>
        <stp/>
        <stp>BDP|12937361622344685591</stp>
        <tr r="W9" s="1"/>
      </tp>
      <tp t="s">
        <v>#N/A N/A</v>
        <stp/>
        <stp>BDP|15526572909904052699</stp>
        <tr r="AM13" s="1"/>
      </tp>
      <tp t="s">
        <v>#N/A N/A</v>
        <stp/>
        <stp>BDP|16672829752190734952</stp>
        <tr r="H10" s="1"/>
      </tp>
      <tp t="s">
        <v>#N/A N/A</v>
        <stp/>
        <stp>BDP|12086921788577586680</stp>
        <tr r="A8" s="1"/>
      </tp>
      <tp t="s">
        <v>#N/A N/A</v>
        <stp/>
        <stp>BDP|15635051228487481365</stp>
        <tr r="V11" s="1"/>
      </tp>
      <tp t="s">
        <v>#N/A N/A</v>
        <stp/>
        <stp>BDP|16284749508787791533</stp>
        <tr r="E19" s="1"/>
      </tp>
      <tp t="s">
        <v>#N/A N/A</v>
        <stp/>
        <stp>BDP|12871568352011230030</stp>
        <tr r="E20" s="1"/>
      </tp>
      <tp t="s">
        <v>#N/A N/A</v>
        <stp/>
        <stp>BDP|10266551769508119824</stp>
        <tr r="AA7" s="1"/>
      </tp>
      <tp t="s">
        <v>#N/A N/A</v>
        <stp/>
        <stp>BDP|16743180140358066830</stp>
        <tr r="K11" s="1"/>
      </tp>
      <tp t="s">
        <v>#N/A N/A</v>
        <stp/>
        <stp>BDP|12966513525093696540</stp>
        <tr r="H7" s="1"/>
      </tp>
      <tp t="s">
        <v>#N/A N/A</v>
        <stp/>
        <stp>BDP|17252311878372326275</stp>
        <tr r="I15" s="1"/>
      </tp>
      <tp t="s">
        <v>#N/A N/A</v>
        <stp/>
        <stp>BDP|17500644940267604180</stp>
        <tr r="R14" s="1"/>
      </tp>
      <tp t="s">
        <v>#N/A N/A</v>
        <stp/>
        <stp>BDP|13697812021019728301</stp>
        <tr r="CP13" s="1"/>
      </tp>
      <tp t="s">
        <v>#N/A N/A</v>
        <stp/>
        <stp>BDP|14044542606881433379</stp>
        <tr r="AC10" s="1"/>
      </tp>
      <tp t="s">
        <v>#N/A N/A</v>
        <stp/>
        <stp>BDP|14183951221144327860</stp>
        <tr r="AA12" s="1"/>
      </tp>
      <tp t="s">
        <v>#N/A N/A</v>
        <stp/>
        <stp>BDP|10325429017524724226</stp>
        <tr r="B11" s="1"/>
      </tp>
      <tp t="s">
        <v>#N/A N/A</v>
        <stp/>
        <stp>BDP|13123225057864231355</stp>
        <tr r="M15" s="1"/>
      </tp>
      <tp t="s">
        <v>#N/A N/A</v>
        <stp/>
        <stp>BDP|11351618612051062437</stp>
        <tr r="AS9" s="1"/>
      </tp>
      <tp t="s">
        <v>#N/A N/A</v>
        <stp/>
        <stp>BDP|17286053954456139719</stp>
        <tr r="D7" s="1"/>
      </tp>
      <tp t="s">
        <v>#N/A N/A</v>
        <stp/>
        <stp>BDP|16527982144118424087</stp>
        <tr r="AV8" s="1"/>
      </tp>
      <tp t="s">
        <v>#N/A N/A</v>
        <stp/>
        <stp>BDP|15233668071861053624</stp>
        <tr r="K10" s="1"/>
      </tp>
    </main>
    <main first="bofaddin.rtdserver">
      <tp t="s">
        <v>#N/A N/A</v>
        <stp/>
        <stp>BDP|12032018905481492397</stp>
        <tr r="T7" s="1"/>
      </tp>
      <tp t="s">
        <v>#N/A N/A</v>
        <stp/>
        <stp>BDP|10515778148860173340</stp>
        <tr r="O13" s="1"/>
      </tp>
      <tp t="s">
        <v>#N/A N/A</v>
        <stp/>
        <stp>BDP|16636167607194007394</stp>
        <tr r="K8" s="1"/>
      </tp>
    </main>
    <main first="bofaddin.rtdserver">
      <tp t="s">
        <v>#N/A N/A</v>
        <stp/>
        <stp>BDP|11471764253717589464</stp>
        <tr r="X7" s="1"/>
      </tp>
      <tp t="s">
        <v>#N/A N/A</v>
        <stp/>
        <stp>BDP|18396217815463216876</stp>
        <tr r="O11" s="1"/>
      </tp>
      <tp t="s">
        <v>#N/A N/A</v>
        <stp/>
        <stp>BDP|17110941197592038505</stp>
        <tr r="AP14" s="1"/>
      </tp>
      <tp t="s">
        <v>#N/A N/A</v>
        <stp/>
        <stp>BDP|12454520330151439569</stp>
        <tr r="W10" s="1"/>
      </tp>
      <tp t="s">
        <v>#N/A N/A</v>
        <stp/>
        <stp>BDP|12140361208360050180</stp>
        <tr r="U7" s="1"/>
      </tp>
      <tp t="s">
        <v>#N/A N/A</v>
        <stp/>
        <stp>BDP|14860640170455761138</stp>
        <tr r="F10" s="1"/>
      </tp>
      <tp t="s">
        <v>#N/A N/A</v>
        <stp/>
        <stp>BDP|10986059860362675525</stp>
        <tr r="J12" s="1"/>
      </tp>
      <tp t="s">
        <v>#N/A N/A</v>
        <stp/>
        <stp>BDP|10364801685072821353</stp>
        <tr r="G12" s="1"/>
      </tp>
      <tp t="s">
        <v>#N/A N/A</v>
        <stp/>
        <stp>BDP|12310658713081715586</stp>
        <tr r="AV15" s="1"/>
      </tp>
      <tp t="s">
        <v>#N/A N/A</v>
        <stp/>
        <stp>BDP|12974228062481686655</stp>
        <tr r="H12" s="1"/>
      </tp>
      <tp t="s">
        <v>#N/A N/A</v>
        <stp/>
        <stp>BDP|11791099750542738752</stp>
        <tr r="F14" s="1"/>
      </tp>
      <tp t="s">
        <v>#N/A N/A</v>
        <stp/>
        <stp>BDP|13112811374454122992</stp>
        <tr r="CO7" s="1"/>
      </tp>
      <tp t="s">
        <v>#N/A N/A</v>
        <stp/>
        <stp>BDP|14565096657461569107</stp>
        <tr r="Q12" s="1"/>
      </tp>
      <tp t="s">
        <v>#N/A N/A</v>
        <stp/>
        <stp>BDP|14470861112484865882</stp>
        <tr r="S8" s="1"/>
      </tp>
      <tp t="s">
        <v>#N/A N/A</v>
        <stp/>
        <stp>BDP|16316229454619634905</stp>
        <tr r="K9" s="1"/>
      </tp>
      <tp t="s">
        <v>#N/A N/A</v>
        <stp/>
        <stp>BDP|16509488863142403784</stp>
        <tr r="AB15" s="1"/>
      </tp>
      <tp t="s">
        <v>#N/A N/A</v>
        <stp/>
        <stp>BDP|18287607318908695696</stp>
        <tr r="N9" s="1"/>
      </tp>
      <tp t="s">
        <v>#N/A N/A</v>
        <stp/>
        <stp>BDP|11744302833315682555</stp>
        <tr r="CT8" s="1"/>
      </tp>
      <tp t="s">
        <v>#N/A N/A</v>
        <stp/>
        <stp>BDP|16787682647664659185</stp>
        <tr r="AM12" s="1"/>
      </tp>
      <tp t="s">
        <v>#N/A N/A</v>
        <stp/>
        <stp>BDP|11108380044594447401</stp>
        <tr r="CU14" s="1"/>
      </tp>
      <tp t="s">
        <v>#N/A N/A</v>
        <stp/>
        <stp>BDP|11942308680944105831</stp>
        <tr r="CO9" s="1"/>
      </tp>
      <tp t="s">
        <v>#N/A N/A</v>
        <stp/>
        <stp>BDP|18430482527349128109</stp>
        <tr r="I14" s="1"/>
      </tp>
      <tp t="s">
        <v>#N/A N/A</v>
        <stp/>
        <stp>BDP|13814111132872665571</stp>
        <tr r="R8" s="1"/>
      </tp>
      <tp t="s">
        <v>#N/A N/A</v>
        <stp/>
        <stp>BDP|15658514365579747940</stp>
        <tr r="F8" s="1"/>
      </tp>
      <tp t="s">
        <v>#N/A N/A</v>
        <stp/>
        <stp>BDP|12136079815822958798</stp>
        <tr r="Z10" s="1"/>
      </tp>
      <tp t="s">
        <v>#N/A N/A</v>
        <stp/>
        <stp>BDP|17310018049145700151</stp>
        <tr r="L8" s="1"/>
      </tp>
      <tp t="s">
        <v>#N/A N/A</v>
        <stp/>
        <stp>BDP|16501632610850753692</stp>
        <tr r="A13" s="1"/>
      </tp>
      <tp t="s">
        <v>#N/A N/A</v>
        <stp/>
        <stp>BDP|18153299828049817651</stp>
        <tr r="E9" s="1"/>
      </tp>
      <tp t="s">
        <v>#N/A N/A</v>
        <stp/>
        <stp>BDP|10591196610191330628</stp>
        <tr r="AS13" s="1"/>
      </tp>
      <tp t="s">
        <v>#N/A N/A</v>
        <stp/>
        <stp>BDP|14027433269795238445</stp>
        <tr r="A10" s="1"/>
      </tp>
      <tp t="s">
        <v>#N/A N/A</v>
        <stp/>
        <stp>BDP|16466533217911719482</stp>
        <tr r="S15" s="1"/>
      </tp>
      <tp t="s">
        <v>#N/A N/A</v>
        <stp/>
        <stp>BDP|16363411032340694691</stp>
        <tr r="X15" s="1"/>
      </tp>
      <tp t="s">
        <v>#N/A N/A</v>
        <stp/>
        <stp>BDP|17829495600810162419</stp>
        <tr r="AT13" s="1"/>
      </tp>
      <tp t="s">
        <v>#N/A N/A</v>
        <stp/>
        <stp>BDP|15860359798578032071</stp>
        <tr r="T9" s="1"/>
      </tp>
      <tp t="s">
        <v>#N/A N/A</v>
        <stp/>
        <stp>BDP|18226804220195651060</stp>
        <tr r="CT13" s="1"/>
      </tp>
      <tp t="s">
        <v>#N/A N/A</v>
        <stp/>
        <stp>BDP|13420205820701093515</stp>
        <tr r="CT7" s="1"/>
      </tp>
      <tp t="s">
        <v>#N/A N/A</v>
        <stp/>
        <stp>BDP|14355359033896464542</stp>
        <tr r="AU14" s="1"/>
      </tp>
      <tp t="s">
        <v>#N/A N/A</v>
        <stp/>
        <stp>BDP|13702068110662524719</stp>
        <tr r="V7" s="1"/>
      </tp>
      <tp t="s">
        <v>#N/A N/A</v>
        <stp/>
        <stp>BDP|12197374561940037034</stp>
        <tr r="AB10" s="1"/>
      </tp>
      <tp t="s">
        <v>#N/A N/A</v>
        <stp/>
        <stp>BDP|16780568317253308620</stp>
        <tr r="R12" s="1"/>
      </tp>
      <tp t="s">
        <v>#N/A N/A</v>
        <stp/>
        <stp>BDP|12500305375108054963</stp>
        <tr r="CL9" s="1"/>
      </tp>
      <tp t="s">
        <v>#N/A N/A</v>
        <stp/>
        <stp>BDP|13967860152919303355</stp>
        <tr r="X13" s="1"/>
      </tp>
      <tp t="s">
        <v>#N/A N/A</v>
        <stp/>
        <stp>BDP|17153689731831548763</stp>
        <tr r="AM11" s="1"/>
      </tp>
      <tp t="s">
        <v>#N/A N/A</v>
        <stp/>
        <stp>BDP|11006782136713722225</stp>
        <tr r="O9" s="1"/>
      </tp>
      <tp t="s">
        <v>#N/A N/A</v>
        <stp/>
        <stp>BDP|12564479353234841340</stp>
        <tr r="A12" s="1"/>
      </tp>
      <tp t="s">
        <v>#N/A N/A</v>
        <stp/>
        <stp>BDP|17274424428620685531</stp>
        <tr r="P8" s="1"/>
      </tp>
      <tp t="s">
        <v>#N/A N/A</v>
        <stp/>
        <stp>BDP|14783461993685966868</stp>
        <tr r="F11" s="1"/>
      </tp>
      <tp t="s">
        <v>#N/A N/A</v>
        <stp/>
        <stp>BDP|14124315228632542303</stp>
        <tr r="O12" s="1"/>
      </tp>
      <tp t="s">
        <v>#N/A N/A</v>
        <stp/>
        <stp>BDP|18170884969042583094</stp>
        <tr r="CR14" s="1"/>
      </tp>
      <tp t="s">
        <v>#N/A N/A</v>
        <stp/>
        <stp>BDP|18204441419450235912</stp>
        <tr r="D13" s="1"/>
      </tp>
      <tp t="s">
        <v>#N/A N/A</v>
        <stp/>
        <stp>BDP|14765824323279806318</stp>
        <tr r="CN11" s="1"/>
      </tp>
      <tp t="s">
        <v>#N/A N/A</v>
        <stp/>
        <stp>BDP|11318618762670761570</stp>
        <tr r="V12" s="1"/>
      </tp>
      <tp t="s">
        <v>#N/A N/A</v>
        <stp/>
        <stp>BDP|14945645227326291283</stp>
        <tr r="AA11" s="1"/>
      </tp>
      <tp t="s">
        <v>#N/A N/A</v>
        <stp/>
        <stp>BDP|11049583549222372609</stp>
        <tr r="W15" s="1"/>
      </tp>
      <tp t="s">
        <v>#N/A N/A</v>
        <stp/>
        <stp>BDP|17666654140886389729</stp>
        <tr r="CQ14" s="1"/>
      </tp>
      <tp t="s">
        <v>#N/A N/A</v>
        <stp/>
        <stp>BDP|16101353452583269767</stp>
        <tr r="G13" s="1"/>
      </tp>
      <tp t="s">
        <v>#N/A N/A</v>
        <stp/>
        <stp>BDP|10953774632252861261</stp>
        <tr r="CT9" s="1"/>
      </tp>
      <tp t="s">
        <v>#N/A N/A</v>
        <stp/>
        <stp>BDP|12138439413001745235</stp>
        <tr r="F13" s="1"/>
      </tp>
      <tp t="s">
        <v>#N/A N/A</v>
        <stp/>
        <stp>BDP|16082773268391207297</stp>
        <tr r="CN14" s="1"/>
      </tp>
      <tp t="s">
        <v>#N/A N/A</v>
        <stp/>
        <stp>BDP|17153877405662179899</stp>
        <tr r="AS12" s="1"/>
      </tp>
      <tp t="s">
        <v>#N/A N/A</v>
        <stp/>
        <stp>BDP|10054463069930405763</stp>
        <tr r="E15" s="1"/>
      </tp>
      <tp t="s">
        <v>#N/A N/A</v>
        <stp/>
        <stp>BDP|17247084367346370222</stp>
        <tr r="AM14" s="1"/>
      </tp>
      <tp t="s">
        <v>#N/A N/A</v>
        <stp/>
        <stp>BDP|16712349499071252872</stp>
        <tr r="H11" s="1"/>
      </tp>
      <tp t="s">
        <v>#N/A N/A</v>
        <stp/>
        <stp>BDP|13688755821994418798</stp>
        <tr r="AU8" s="1"/>
      </tp>
      <tp t="s">
        <v>#N/A N/A</v>
        <stp/>
        <stp>BDP|15061824999341169056</stp>
        <tr r="V13" s="1"/>
      </tp>
      <tp t="s">
        <v>#N/A N/A</v>
        <stp/>
        <stp>BDP|10240819692764141019</stp>
        <tr r="CU7" s="1"/>
      </tp>
      <tp t="s">
        <v>#N/A N/A</v>
        <stp/>
        <stp>BDP|15304359926966734765</stp>
        <tr r="U14" s="1"/>
      </tp>
      <tp t="s">
        <v>#N/A N/A</v>
        <stp/>
        <stp>BDP|13514615914788608952</stp>
        <tr r="AA13" s="1"/>
      </tp>
      <tp t="s">
        <v>#N/A N/A</v>
        <stp/>
        <stp>BDP|18276541586227385717</stp>
        <tr r="AM7" s="1"/>
      </tp>
      <tp t="s">
        <v>#N/A N/A</v>
        <stp/>
        <stp>BDP|17114025247634609208</stp>
        <tr r="M7" s="1"/>
      </tp>
      <tp t="s">
        <v>#N/A N/A</v>
        <stp/>
        <stp>BDP|15164623943173586103</stp>
        <tr r="AT12" s="1"/>
      </tp>
      <tp t="s">
        <v>#N/A N/A</v>
        <stp/>
        <stp>BDP|12234705324741502360</stp>
        <tr r="T10" s="1"/>
      </tp>
      <tp t="s">
        <v>#N/A N/A</v>
        <stp/>
        <stp>BDP|12316353712173231623</stp>
        <tr r="CO14" s="1"/>
      </tp>
      <tp t="s">
        <v>#N/A N/A</v>
        <stp/>
        <stp>BDP|11003584219533176343</stp>
        <tr r="M10" s="1"/>
      </tp>
      <tp t="s">
        <v>#N/A N/A</v>
        <stp/>
        <stp>BDP|17251052848081086796</stp>
        <tr r="AC7" s="1"/>
      </tp>
    </main>
    <main first="bofaddin.rtdserver">
      <tp t="s">
        <v>#N/A N/A</v>
        <stp/>
        <stp>BQL|8983946159349910120</stp>
        <tr r="BZ14" s="1"/>
      </tp>
      <tp t="s">
        <v>#N/A N/A</v>
        <stp/>
        <stp>BQL|5270217533240927868</stp>
        <tr r="BY13" s="1"/>
      </tp>
      <tp t="s">
        <v>#N/A N/A</v>
        <stp/>
        <stp>BQL|1135648027808585192</stp>
        <tr r="BF14" s="1"/>
      </tp>
      <tp t="s">
        <v>#N/A N/A</v>
        <stp/>
        <stp>BQL|3549815076625753580</stp>
        <tr r="CF10" s="1"/>
      </tp>
      <tp t="s">
        <v>#N/A N/A</v>
        <stp/>
        <stp>BQL|4652898273781970685</stp>
        <tr r="CD11" s="1"/>
      </tp>
      <tp t="s">
        <v>#N/A N/A</v>
        <stp/>
        <stp>BQL|5323374691012903171</stp>
        <tr r="CX15" s="1"/>
      </tp>
      <tp t="s">
        <v>#N/A N/A</v>
        <stp/>
        <stp>BQL|9688378738906494362</stp>
        <tr r="CA8" s="1"/>
      </tp>
      <tp t="s">
        <v>#N/A N/A</v>
        <stp/>
        <stp>BQL|2850651931823772827</stp>
        <tr r="CA9" s="1"/>
      </tp>
      <tp t="s">
        <v>#N/A N/A</v>
        <stp/>
        <stp>BQL|4816881008757888790</stp>
        <tr r="AO8" s="1"/>
      </tp>
      <tp t="s">
        <v>#N/A N/A</v>
        <stp/>
        <stp>BQL|5052125458568555577</stp>
        <tr r="BP13" s="1"/>
      </tp>
      <tp t="s">
        <v>#N/A N/A</v>
        <stp/>
        <stp>BQL|4151919362101925636</stp>
        <tr r="BB14" s="1"/>
      </tp>
      <tp t="s">
        <v>#N/A N/A</v>
        <stp/>
        <stp>BQL|8773507211479097918</stp>
        <tr r="BX12" s="1"/>
      </tp>
      <tp t="s">
        <v>#N/A N/A</v>
        <stp/>
        <stp>BQL|2886668417730510992</stp>
        <tr r="BN15" s="1"/>
      </tp>
      <tp t="s">
        <v>#N/A N/A</v>
        <stp/>
        <stp>BQL|4301201371025373848</stp>
        <tr r="CG12" s="1"/>
      </tp>
      <tp t="s">
        <v>#N/A N/A</v>
        <stp/>
        <stp>BQL|5450508399621961409</stp>
        <tr r="AF10" s="1"/>
      </tp>
      <tp t="s">
        <v>#N/A N/A</v>
        <stp/>
        <stp>BQL|9845287870801034146</stp>
        <tr r="BF7" s="1"/>
      </tp>
      <tp t="s">
        <v>#N/A N/A</v>
        <stp/>
        <stp>BQL|9804808283376647397</stp>
        <tr r="CE7" s="1"/>
      </tp>
      <tp t="s">
        <v>#N/A N/A</v>
        <stp/>
        <stp>BQL|7103006785337355447</stp>
        <tr r="AH7" s="1"/>
      </tp>
      <tp t="s">
        <v>#N/A N/A</v>
        <stp/>
        <stp>BQL|8851811121819940738</stp>
        <tr r="AO12" s="1"/>
      </tp>
      <tp t="s">
        <v>#N/A N/A</v>
        <stp/>
        <stp>BQL|9305396270734236583</stp>
        <tr r="BJ15" s="1"/>
      </tp>
      <tp t="s">
        <v>#N/A N/A</v>
        <stp/>
        <stp>BQL|3663466071258522449</stp>
        <tr r="BS14" s="1"/>
      </tp>
      <tp t="s">
        <v>#N/A N/A</v>
        <stp/>
        <stp>BDP|9677671418527316509</stp>
        <tr r="CZ12" s="1"/>
      </tp>
      <tp t="s">
        <v>#N/A N/A</v>
        <stp/>
        <stp>BDP|3218218877189412384</stp>
        <tr r="Q7" s="1"/>
      </tp>
      <tp t="s">
        <v>#N/A N/A</v>
        <stp/>
        <stp>BDP|3352530659619644670</stp>
        <tr r="CR12" s="1"/>
      </tp>
      <tp t="s">
        <v>#N/A N/A</v>
        <stp/>
        <stp>BDP|6283486843189664362</stp>
        <tr r="AR9" s="1"/>
      </tp>
      <tp t="s">
        <v>#N/A N/A</v>
        <stp/>
        <stp>BDP|1693276398685436340</stp>
        <tr r="K13" s="1"/>
      </tp>
      <tp t="s">
        <v>#N/A N/A</v>
        <stp/>
        <stp>BDP|3146012758943213932</stp>
        <tr r="H9" s="1"/>
      </tp>
      <tp t="s">
        <v>#N/A N/A</v>
        <stp/>
        <stp>BDP|6357765582973121694</stp>
        <tr r="J14" s="1"/>
      </tp>
      <tp t="s">
        <v>#N/A N/A</v>
        <stp/>
        <stp>BDP|4688139299126183613</stp>
        <tr r="CP7" s="1"/>
      </tp>
      <tp t="s">
        <v>#N/A N/A</v>
        <stp/>
        <stp>BDP|7033284127818717359</stp>
        <tr r="U9" s="1"/>
      </tp>
      <tp t="s">
        <v>#N/A N/A</v>
        <stp/>
        <stp>BDP|3862260819748216460</stp>
        <tr r="CN13" s="1"/>
      </tp>
      <tp t="s">
        <v>#N/A N/A</v>
        <stp/>
        <stp>BDP|1532174385776752230</stp>
        <tr r="T8" s="1"/>
      </tp>
      <tp t="s">
        <v>#N/A N/A</v>
        <stp/>
        <stp>BDP|5281042774657744931</stp>
        <tr r="I11" s="1"/>
      </tp>
      <tp t="s">
        <v>#N/A N/A</v>
        <stp/>
        <stp>BDP|5002095568309322648</stp>
        <tr r="CL8" s="1"/>
      </tp>
      <tp t="s">
        <v>#N/A N/A</v>
        <stp/>
        <stp>BDP|2648919221684314111</stp>
        <tr r="CV7" s="1"/>
      </tp>
      <tp t="s">
        <v>#N/A N/A</v>
        <stp/>
        <stp>BDP|9423170744016312618</stp>
        <tr r="X11" s="1"/>
      </tp>
      <tp t="s">
        <v>#N/A N/A</v>
        <stp/>
        <stp>BQL|5757481547050753800</stp>
        <tr r="BP7" s="1"/>
      </tp>
      <tp t="s">
        <v>#N/A N/A</v>
        <stp/>
        <stp>BQL|8457979968223400910</stp>
        <tr r="BG8" s="1"/>
      </tp>
      <tp t="s">
        <v>#N/A N/A</v>
        <stp/>
        <stp>BQL|4491386615412449901</stp>
        <tr r="BE9" s="1"/>
      </tp>
      <tp t="s">
        <v>#N/A N/A</v>
        <stp/>
        <stp>BQL|1942471595402077379</stp>
        <tr r="BE12" s="1"/>
      </tp>
      <tp t="s">
        <v>#N/A N/A</v>
        <stp/>
        <stp>BQL|6731793045789302113</stp>
        <tr r="BL11" s="1"/>
      </tp>
      <tp t="s">
        <v>#N/A N/A</v>
        <stp/>
        <stp>BQL|4410844945327816295</stp>
        <tr r="CX14" s="1"/>
      </tp>
      <tp t="s">
        <v>#N/A N/A</v>
        <stp/>
        <stp>BQL|9308981029659416641</stp>
        <tr r="BR11" s="1"/>
      </tp>
      <tp t="s">
        <v>#N/A N/A</v>
        <stp/>
        <stp>BQL|5809760038594387847</stp>
        <tr r="BA10" s="1"/>
      </tp>
      <tp t="s">
        <v>#N/A N/A</v>
        <stp/>
        <stp>BQL|9202737454895530309</stp>
        <tr r="BG9" s="1"/>
      </tp>
      <tp t="s">
        <v>#N/A N/A</v>
        <stp/>
        <stp>BDP|4954906209610107084</stp>
        <tr r="T14" s="1"/>
      </tp>
      <tp t="s">
        <v>#N/A N/A</v>
        <stp/>
        <stp>BDP|8320471208714384536</stp>
        <tr r="CN12" s="1"/>
      </tp>
      <tp t="s">
        <v>#N/A N/A</v>
        <stp/>
        <stp>BDP|3747085846279518306</stp>
        <tr r="R9" s="1"/>
      </tp>
      <tp t="s">
        <v>#N/A N/A</v>
        <stp/>
        <stp>BDP|6745233269606675972</stp>
        <tr r="CQ9" s="1"/>
      </tp>
      <tp t="s">
        <v>#N/A N/A</v>
        <stp/>
        <stp>BDP|4267662772018689023</stp>
        <tr r="CR9" s="1"/>
      </tp>
      <tp t="s">
        <v>#N/A N/A</v>
        <stp/>
        <stp>BDP|2342251894521242508</stp>
        <tr r="Y11" s="1"/>
      </tp>
      <tp t="s">
        <v>#N/A N/A</v>
        <stp/>
        <stp>BDP|9877199289715072890</stp>
        <tr r="U10" s="1"/>
      </tp>
      <tp t="s">
        <v>#N/A N/A</v>
        <stp/>
        <stp>BDP|6444767023758698605</stp>
        <tr r="CL11" s="1"/>
      </tp>
      <tp t="s">
        <v>#N/A N/A</v>
        <stp/>
        <stp>BDP|7228612943869732105</stp>
        <tr r="B8" s="1"/>
      </tp>
      <tp t="s">
        <v>#N/A N/A</v>
        <stp/>
        <stp>BDP|1876990540729551832</stp>
        <tr r="J8" s="1"/>
      </tp>
      <tp t="s">
        <v>#N/A N/A</v>
        <stp/>
        <stp>BDP|4591965625697106537</stp>
        <tr r="AR8" s="1"/>
      </tp>
      <tp t="s">
        <v>#N/A N/A</v>
        <stp/>
        <stp>BQL|61096884244560858</stp>
        <tr r="AF13" s="1"/>
      </tp>
      <tp t="s">
        <v>#N/A N/A</v>
        <stp/>
        <stp>BQL|1161186985496588060</stp>
        <tr r="AO7" s="1"/>
      </tp>
      <tp t="s">
        <v>#N/A N/A</v>
        <stp/>
        <stp>BQL|3563242050308884221</stp>
        <tr r="AO14" s="1"/>
      </tp>
      <tp t="s">
        <v>#N/A N/A</v>
        <stp/>
        <stp>BQL|9486221668071530223</stp>
        <tr r="BL15" s="1"/>
      </tp>
      <tp t="s">
        <v>#N/A N/A</v>
        <stp/>
        <stp>BQL|6745734480601423687</stp>
        <tr r="BJ12" s="1"/>
      </tp>
      <tp t="s">
        <v>#N/A N/A</v>
        <stp/>
        <stp>BQL|5467378026159834385</stp>
        <tr r="BI12" s="1"/>
      </tp>
      <tp t="s">
        <v>#N/A N/A</v>
        <stp/>
        <stp>BQL|9423913054878619331</stp>
        <tr r="AN7" s="1"/>
      </tp>
      <tp t="s">
        <v>#N/A N/A</v>
        <stp/>
        <stp>BQL|2185118807799275471</stp>
        <tr r="BO15" s="1"/>
      </tp>
      <tp t="s">
        <v>#N/A N/A</v>
        <stp/>
        <stp>BQL|1746307592406161369</stp>
        <tr r="BP8" s="1"/>
      </tp>
      <tp t="s">
        <v>#N/A N/A</v>
        <stp/>
        <stp>BQL|9442574487929410316</stp>
        <tr r="AF12" s="1"/>
      </tp>
      <tp t="s">
        <v>#N/A N/A</v>
        <stp/>
        <stp>BDP|3484666916708679280</stp>
        <tr r="CN8" s="1"/>
      </tp>
      <tp t="s">
        <v>#N/A N/A</v>
        <stp/>
        <stp>BDP|1799866034916714293</stp>
        <tr r="X12" s="1"/>
      </tp>
      <tp t="s">
        <v>#N/A N/A</v>
        <stp/>
        <stp>BDP|8401839369180081854</stp>
        <tr r="AU7" s="1"/>
      </tp>
      <tp t="s">
        <v>#N/A N/A</v>
        <stp/>
        <stp>BDP|9812558910523236077</stp>
        <tr r="A9" s="1"/>
      </tp>
      <tp t="s">
        <v>#N/A N/A</v>
        <stp/>
        <stp>BDP|9615048920891886435</stp>
        <tr r="Z15" s="1"/>
      </tp>
      <tp t="s">
        <v>#N/A N/A</v>
        <stp/>
        <stp>BDP|7326084055139441541</stp>
        <tr r="P7" s="1"/>
      </tp>
      <tp t="s">
        <v>#N/A N/A</v>
        <stp/>
        <stp>BDP|2815639843179041753</stp>
        <tr r="AU9" s="1"/>
      </tp>
      <tp t="s">
        <v>#N/A N/A</v>
        <stp/>
        <stp>BDP|2748162821908575742</stp>
        <tr r="AR11" s="1"/>
      </tp>
      <tp t="s">
        <v>#N/A N/A</v>
        <stp/>
        <stp>BQL|9481053268564240462</stp>
        <tr r="BJ8" s="1"/>
      </tp>
      <tp t="s">
        <v>#N/A N/A</v>
        <stp/>
        <stp>BQL|4511666006905063820</stp>
        <tr r="BM9" s="1"/>
      </tp>
      <tp t="s">
        <v>#N/A N/A</v>
        <stp/>
        <stp>BQL|9283633527134676675</stp>
        <tr r="BY11" s="1"/>
      </tp>
      <tp t="s">
        <v>#N/A N/A</v>
        <stp/>
        <stp>BQL|3090174337026547823</stp>
        <tr r="BX15" s="1"/>
      </tp>
      <tp t="s">
        <v>#N/A N/A</v>
        <stp/>
        <stp>BQL|3445258727368162417</stp>
        <tr r="BS13" s="1"/>
      </tp>
      <tp t="s">
        <v>#N/A N/A</v>
        <stp/>
        <stp>BQL|6364094620999996258</stp>
        <tr r="BC7" s="1"/>
      </tp>
      <tp t="s">
        <v>#N/A N/A</v>
        <stp/>
        <stp>BQL|4460814696503419925</stp>
        <tr r="CE11" s="1"/>
      </tp>
      <tp t="s">
        <v>#N/A N/A</v>
        <stp/>
        <stp>BQL|1332040926034064856</stp>
        <tr r="CF13" s="1"/>
      </tp>
      <tp t="s">
        <v>#N/A N/A</v>
        <stp/>
        <stp>BQL|1365572762929438460</stp>
        <tr r="BZ15" s="1"/>
      </tp>
      <tp t="s">
        <v>#N/A N/A</v>
        <stp/>
        <stp>BQL|2623724647886433849</stp>
        <tr r="BD13" s="1"/>
      </tp>
      <tp t="s">
        <v>#N/A N/A</v>
        <stp/>
        <stp>BQL|3010352791454412220</stp>
        <tr r="BU15" s="1"/>
      </tp>
      <tp t="s">
        <v>#N/A N/A</v>
        <stp/>
        <stp>BQL|3203430901318384011</stp>
        <tr r="AK14" s="1"/>
        <tr r="AK14" s="1"/>
      </tp>
      <tp t="s">
        <v>#N/A N/A</v>
        <stp/>
        <stp>BQL|9193612150877570259</stp>
        <tr r="BW7" s="1"/>
      </tp>
      <tp t="s">
        <v>#N/A N/A</v>
        <stp/>
        <stp>BDP|4129870609262665119</stp>
        <tr r="O14" s="1"/>
      </tp>
      <tp t="s">
        <v>#N/A N/A</v>
        <stp/>
        <stp>BDP|9001352078563391172</stp>
        <tr r="CV15" s="1"/>
      </tp>
      <tp t="s">
        <v>#N/A N/A</v>
        <stp/>
        <stp>BDP|5987040587370388278</stp>
        <tr r="Z14" s="1"/>
      </tp>
      <tp t="s">
        <v>#N/A N/A</v>
        <stp/>
        <stp>BDP|2735167862049815358</stp>
        <tr r="K7" s="1"/>
      </tp>
      <tp t="s">
        <v>#N/A N/A</v>
        <stp/>
        <stp>BDP|7355062036019486285</stp>
        <tr r="CP14" s="1"/>
      </tp>
      <tp t="s">
        <v>#N/A N/A</v>
        <stp/>
        <stp>BDP|3802231084425041338</stp>
        <tr r="CZ10" s="1"/>
      </tp>
      <tp t="s">
        <v>#N/A N/A</v>
        <stp/>
        <stp>BDP|7454705399424627274</stp>
        <tr r="AA9" s="1"/>
      </tp>
      <tp t="s">
        <v>#N/A N/A</v>
        <stp/>
        <stp>BDP|1538803062855766535</stp>
        <tr r="W14" s="1"/>
      </tp>
      <tp t="s">
        <v>#N/A N/A</v>
        <stp/>
        <stp>BDP|9778712451080338440</stp>
        <tr r="O10" s="1"/>
      </tp>
      <tp t="s">
        <v>#N/A N/A</v>
        <stp/>
        <stp>BDP|4277629686452471734</stp>
        <tr r="AA10" s="1"/>
      </tp>
      <tp t="s">
        <v>#N/A N/A</v>
        <stp/>
        <stp>BDP|9189427521487291718</stp>
        <tr r="CQ7" s="1"/>
      </tp>
      <tp t="s">
        <v>#N/A N/A</v>
        <stp/>
        <stp>BDP|7526985403135738489</stp>
        <tr r="W7" s="1"/>
      </tp>
      <tp t="s">
        <v>#N/A N/A</v>
        <stp/>
        <stp>BDP|9975244073875109699</stp>
        <tr r="AU12" s="1"/>
      </tp>
      <tp t="s">
        <v>#N/A N/A</v>
        <stp/>
        <stp>BDP|4469012226939371044</stp>
        <tr r="X9" s="1"/>
      </tp>
      <tp t="s">
        <v>#N/A N/A</v>
        <stp/>
        <stp>BDP|7979874073951107696</stp>
        <tr r="T11" s="1"/>
      </tp>
      <tp t="s">
        <v>#N/A N/A</v>
        <stp/>
        <stp>BQL|9967815230799330350</stp>
        <tr r="BS9" s="1"/>
      </tp>
      <tp t="s">
        <v>#N/A N/A</v>
        <stp/>
        <stp>BQL|1538031909281252810</stp>
        <tr r="BC9" s="1"/>
      </tp>
      <tp t="s">
        <v>#N/A N/A</v>
        <stp/>
        <stp>BQL|2546737318034397819</stp>
        <tr r="BB8" s="1"/>
      </tp>
      <tp t="s">
        <v>#N/A N/A</v>
        <stp/>
        <stp>BQL|8487298913372195146</stp>
        <tr r="CG10" s="1"/>
      </tp>
      <tp t="s">
        <v>#N/A N/A</v>
        <stp/>
        <stp>BQL|4907965780439980417</stp>
        <tr r="BI15" s="1"/>
      </tp>
      <tp t="s">
        <v>#N/A N/A</v>
        <stp/>
        <stp>BQL|1505815030717482567</stp>
        <tr r="CA12" s="1"/>
      </tp>
      <tp t="s">
        <v>#N/A N/A</v>
        <stp/>
        <stp>BQL|9467920013740533940</stp>
        <tr r="BV8" s="1"/>
      </tp>
      <tp t="s">
        <v>#N/A N/A</v>
        <stp/>
        <stp>BQL|6257088139668063572</stp>
        <tr r="BN13" s="1"/>
      </tp>
      <tp t="s">
        <v>#N/A N/A</v>
        <stp/>
        <stp>BQL|8567460021235544343</stp>
        <tr r="BQ8" s="1"/>
      </tp>
      <tp t="s">
        <v>#N/A N/A</v>
        <stp/>
        <stp>BQL|5555978858092898319</stp>
        <tr r="CA13" s="1"/>
      </tp>
      <tp t="s">
        <v>#N/A N/A</v>
        <stp/>
        <stp>BQL|9219106317851309062</stp>
        <tr r="AE14" s="1"/>
      </tp>
      <tp t="s">
        <v>#N/A N/A</v>
        <stp/>
        <stp>BDP|8180635638195202020</stp>
        <tr r="AA14" s="1"/>
      </tp>
      <tp t="s">
        <v>#N/A N/A</v>
        <stp/>
        <stp>BDP|1031899750295477171</stp>
        <tr r="AT14" s="1"/>
      </tp>
      <tp t="s">
        <v>#N/A N/A</v>
        <stp/>
        <stp>BDP|5672820839086590029</stp>
        <tr r="CP11" s="1"/>
      </tp>
      <tp t="s">
        <v>#N/A N/A</v>
        <stp/>
        <stp>BDP|1586715902157456993</stp>
        <tr r="L14" s="1"/>
      </tp>
      <tp t="s">
        <v>#N/A N/A</v>
        <stp/>
        <stp>BDP|1149473506529290497</stp>
        <tr r="CR7" s="1"/>
      </tp>
      <tp t="s">
        <v>#N/A N/A</v>
        <stp/>
        <stp>BDP|4594408432443772886</stp>
        <tr r="Y7" s="1"/>
      </tp>
      <tp t="s">
        <v>#N/A N/A</v>
        <stp/>
        <stp>BDP|6209876376021253097</stp>
        <tr r="T13" s="1"/>
      </tp>
      <tp t="s">
        <v>#N/A N/A</v>
        <stp/>
        <stp>BDP|2681075898794640717</stp>
        <tr r="AP13" s="1"/>
      </tp>
      <tp t="s">
        <v>#N/A N/A</v>
        <stp/>
        <stp>BDP|6728074088026314053</stp>
        <tr r="Y15" s="1"/>
      </tp>
      <tp t="s">
        <v>#N/A N/A</v>
        <stp/>
        <stp>BDP|9922785632312888744</stp>
        <tr r="D10" s="1"/>
      </tp>
      <tp t="s">
        <v>#N/A N/A</v>
        <stp/>
        <stp>BDP|9751717706287497185</stp>
        <tr r="CQ10" s="1"/>
      </tp>
      <tp t="s">
        <v>#N/A N/A</v>
        <stp/>
        <stp>BDP|5333112408834643819</stp>
        <tr r="AV12" s="1"/>
      </tp>
      <tp t="s">
        <v>#N/A N/A</v>
        <stp/>
        <stp>BDP|9752153679421968604</stp>
        <tr r="CT12" s="1"/>
      </tp>
      <tp t="s">
        <v>#N/A N/A</v>
        <stp/>
        <stp>BDP|5763866147561095058</stp>
        <tr r="CL15" s="1"/>
      </tp>
      <tp t="s">
        <v>#N/A N/A</v>
        <stp/>
        <stp>BDP|7020183658693944899</stp>
        <tr r="R15" s="1"/>
      </tp>
      <tp t="s">
        <v>#N/A N/A</v>
        <stp/>
        <stp>BDP|6899814568456822697</stp>
        <tr r="CV8" s="1"/>
      </tp>
      <tp t="s">
        <v>#N/A N/A</v>
        <stp/>
        <stp>BDP|6943868198698619714</stp>
        <tr r="H14" s="1"/>
      </tp>
      <tp t="s">
        <v>#N/A N/A</v>
        <stp/>
        <stp>BDP|4007127635616573820</stp>
        <tr r="AC14" s="1"/>
      </tp>
      <tp t="s">
        <v>#N/A N/A</v>
        <stp/>
        <stp>BDP|9848634552434626697</stp>
        <tr r="D15" s="1"/>
      </tp>
      <tp t="s">
        <v>#N/A N/A</v>
        <stp/>
        <stp>BQL|9956064838063823002</stp>
        <tr r="CF11" s="1"/>
      </tp>
      <tp t="s">
        <v>#N/A N/A</v>
        <stp/>
        <stp>BQL|5803787079418214475</stp>
        <tr r="CA11" s="1"/>
      </tp>
      <tp t="s">
        <v>#N/A N/A</v>
        <stp/>
        <stp>BQL|9864842257785611860</stp>
        <tr r="BG13" s="1"/>
      </tp>
      <tp t="s">
        <v>#N/A N/A</v>
        <stp/>
        <stp>BQL|2160074579109611530</stp>
        <tr r="CB15" s="1"/>
      </tp>
      <tp t="s">
        <v>#N/A N/A</v>
        <stp/>
        <stp>BQL|5050890213486338304</stp>
        <tr r="BX7" s="1"/>
      </tp>
      <tp t="s">
        <v>#N/A N/A</v>
        <stp/>
        <stp>BQL|9842682760141702103</stp>
        <tr r="BU12" s="1"/>
      </tp>
      <tp t="s">
        <v>#N/A N/A</v>
        <stp/>
        <stp>BQL|7019203643328114045</stp>
        <tr r="BK12" s="1"/>
      </tp>
      <tp t="s">
        <v>#N/A N/A</v>
        <stp/>
        <stp>BQL|7397733622332519924</stp>
        <tr r="BA7" s="1"/>
      </tp>
      <tp t="s">
        <v>#N/A N/A</v>
        <stp/>
        <stp>BQL|8944775340367861566</stp>
        <tr r="BF9" s="1"/>
      </tp>
      <tp t="s">
        <v>#N/A N/A</v>
        <stp/>
        <stp>BDP|9774287956641140628</stp>
        <tr r="G14" s="1"/>
      </tp>
      <tp t="s">
        <v>#N/A N/A</v>
        <stp/>
        <stp>BDP|8646054324187585420</stp>
        <tr r="CV12" s="1"/>
      </tp>
      <tp t="s">
        <v>#N/A N/A</v>
        <stp/>
        <stp>BDP|6023733781450240004</stp>
        <tr r="E14" s="1"/>
      </tp>
      <tp t="s">
        <v>#N/A N/A</v>
        <stp/>
        <stp>BDP|2872849628755400415</stp>
        <tr r="CT14" s="1"/>
      </tp>
      <tp t="s">
        <v>#N/A N/A</v>
        <stp/>
        <stp>BDP|1074461741811164905</stp>
        <tr r="E13" s="1"/>
      </tp>
      <tp t="s">
        <v>#N/A N/A</v>
        <stp/>
        <stp>BDP|3313428966138562051</stp>
        <tr r="D14" s="1"/>
      </tp>
      <tp t="s">
        <v>#N/A N/A</v>
        <stp/>
        <stp>BDP|3774933937603645320</stp>
        <tr r="P14" s="1"/>
      </tp>
      <tp t="s">
        <v>#N/A N/A</v>
        <stp/>
        <stp>BQL|66414118803402644</stp>
        <tr r="BS11" s="1"/>
      </tp>
      <tp t="s">
        <v>#N/A N/A</v>
        <stp/>
        <stp>BQL|9562842325380368988</stp>
        <tr r="BB12" s="1"/>
      </tp>
      <tp t="s">
        <v>#N/A N/A</v>
        <stp/>
        <stp>BQL|4327006919069406609</stp>
        <tr r="BP14" s="1"/>
      </tp>
      <tp t="s">
        <v>#N/A N/A</v>
        <stp/>
        <stp>BQL|3431993954117641249</stp>
        <tr r="BH8" s="1"/>
      </tp>
      <tp t="s">
        <v>#N/A N/A</v>
        <stp/>
        <stp>BQL|6240899772496767566</stp>
        <tr r="BJ9" s="1"/>
      </tp>
      <tp t="s">
        <v>#N/A N/A</v>
        <stp/>
        <stp>BQL|9115898703332470995</stp>
        <tr r="BE8" s="1"/>
      </tp>
      <tp t="s">
        <v>#N/A N/A</v>
        <stp/>
        <stp>BQL|2192119959494003888</stp>
        <tr r="BT7" s="1"/>
      </tp>
      <tp t="s">
        <v>#N/A N/A</v>
        <stp/>
        <stp>BDP|7046359319178048776</stp>
        <tr r="CV11" s="1"/>
      </tp>
      <tp t="s">
        <v>#N/A N/A</v>
        <stp/>
        <stp>BDP|1497045013053828935</stp>
        <tr r="AV7" s="1"/>
      </tp>
      <tp t="s">
        <v>#N/A N/A</v>
        <stp/>
        <stp>BDP|6527422989242995282</stp>
        <tr r="AB8" s="1"/>
      </tp>
      <tp t="s">
        <v>#N/A N/A</v>
        <stp/>
        <stp>BDP|6753701970515833900</stp>
        <tr r="AV11" s="1"/>
      </tp>
      <tp t="s">
        <v>#N/A N/A</v>
        <stp/>
        <stp>BDP|2068759582024257393</stp>
        <tr r="N8" s="1"/>
      </tp>
      <tp t="s">
        <v>#N/A N/A</v>
        <stp/>
        <stp>BDP|6059391943962761911</stp>
        <tr r="X8" s="1"/>
      </tp>
      <tp t="s">
        <v>#N/A N/A</v>
        <stp/>
        <stp>BDP|3281887450232777602</stp>
        <tr r="CM11" s="1"/>
      </tp>
      <tp t="s">
        <v>#N/A N/A</v>
        <stp/>
        <stp>BDP|8225896925621783947</stp>
        <tr r="CS8" s="1"/>
      </tp>
      <tp t="s">
        <v>#N/A N/A</v>
        <stp/>
        <stp>BDP|8689541574699744930</stp>
        <tr r="Y12" s="1"/>
      </tp>
      <tp t="s">
        <v>#N/A N/A</v>
        <stp/>
        <stp>BDP|9218122327696629629</stp>
        <tr r="CM14" s="1"/>
      </tp>
      <tp t="s">
        <v>#N/A N/A</v>
        <stp/>
        <stp>BDP|2953896837595923685</stp>
        <tr r="Q14" s="1"/>
      </tp>
      <tp t="s">
        <v>#N/A N/A</v>
        <stp/>
        <stp>BDP|1510039048119269692</stp>
        <tr r="CP12" s="1"/>
      </tp>
      <tp t="s">
        <v>#N/A N/A</v>
        <stp/>
        <stp>BQL|8741237718802507269</stp>
        <tr r="BO10" s="1"/>
      </tp>
      <tp t="s">
        <v>#N/A N/A</v>
        <stp/>
        <stp>BQL|5646200219979471450</stp>
        <tr r="BN8" s="1"/>
      </tp>
      <tp t="s">
        <v>#N/A N/A</v>
        <stp/>
        <stp>BQL|3639768746062436999</stp>
        <tr r="BR8" s="1"/>
      </tp>
      <tp t="s">
        <v>#N/A N/A</v>
        <stp/>
        <stp>BQL|1225761001424916963</stp>
        <tr r="BU8" s="1"/>
      </tp>
      <tp t="s">
        <v>#N/A N/A</v>
        <stp/>
        <stp>BQL|1638585582557793026</stp>
        <tr r="BY10" s="1"/>
      </tp>
      <tp t="s">
        <v>#N/A N/A</v>
        <stp/>
        <stp>BQL|2024906578417733096</stp>
        <tr r="AH10" s="1"/>
      </tp>
      <tp t="s">
        <v>#N/A N/A</v>
        <stp/>
        <stp>BQL|1820196500362354961</stp>
        <tr r="BC13" s="1"/>
      </tp>
      <tp t="s">
        <v>#N/A N/A</v>
        <stp/>
        <stp>BQL|1065322934759629337</stp>
        <tr r="AO10" s="1"/>
      </tp>
      <tp t="s">
        <v>#N/A N/A</v>
        <stp/>
        <stp>BQL|7673292145703994913</stp>
        <tr r="CY12" s="1"/>
      </tp>
      <tp t="s">
        <v>#N/A N/A</v>
        <stp/>
        <stp>BQL|9555205974551094637</stp>
        <tr r="BE14" s="1"/>
      </tp>
      <tp t="s">
        <v>#N/A N/A</v>
        <stp/>
        <stp>BQL|3693923912931144165</stp>
        <tr r="AH15" s="1"/>
      </tp>
      <tp t="s">
        <v>#N/A N/A</v>
        <stp/>
        <stp>BQL|5657925221714251176</stp>
        <tr r="AK10" s="1"/>
        <tr r="AK10" s="1"/>
      </tp>
      <tp t="s">
        <v>#N/A N/A</v>
        <stp/>
        <stp>BDP|9523737678806231476</stp>
        <tr r="G7" s="1"/>
      </tp>
      <tp t="s">
        <v>#N/A N/A</v>
        <stp/>
        <stp>BDP|6777789111988710320</stp>
        <tr r="AT11" s="1"/>
      </tp>
      <tp t="s">
        <v>#N/A N/A</v>
        <stp/>
        <stp>BDP|7524550198702995291</stp>
        <tr r="F7" s="1"/>
      </tp>
      <tp t="s">
        <v>#N/A N/A</v>
        <stp/>
        <stp>BDP|5637930091129236781</stp>
        <tr r="AU10" s="1"/>
      </tp>
      <tp t="s">
        <v>#N/A N/A</v>
        <stp/>
        <stp>BDP|1361859727490715095</stp>
        <tr r="A11" s="1"/>
      </tp>
      <tp t="s">
        <v>#N/A N/A</v>
        <stp/>
        <stp>BDP|4824625295860390031</stp>
        <tr r="N11" s="1"/>
      </tp>
      <tp t="s">
        <v>#N/A N/A</v>
        <stp/>
        <stp>BDP|9316407941417946540</stp>
        <tr r="D9" s="1"/>
      </tp>
      <tp t="s">
        <v>#N/A N/A</v>
        <stp/>
        <stp>BDP|5101836035494585113</stp>
        <tr r="CO15" s="1"/>
      </tp>
      <tp t="s">
        <v>#N/A N/A</v>
        <stp/>
        <stp>BDP|4833741813589768081</stp>
        <tr r="CZ13" s="1"/>
      </tp>
      <tp t="s">
        <v>#N/A N/A</v>
        <stp/>
        <stp>BDP|6986870246288985914</stp>
        <tr r="AM9" s="1"/>
      </tp>
      <tp t="s">
        <v>#N/A N/A</v>
        <stp/>
        <stp>BDP|9450231233665608634</stp>
        <tr r="CU8" s="1"/>
      </tp>
      <tp t="s">
        <v>#N/A N/A</v>
        <stp/>
        <stp>BDP|8274632605830474553</stp>
        <tr r="CZ15" s="1"/>
      </tp>
      <tp t="s">
        <v>#N/A N/A</v>
        <stp/>
        <stp>BDP|4670321530919303626</stp>
        <tr r="E18" s="1"/>
      </tp>
      <tp t="s">
        <v>#N/A N/A</v>
        <stp/>
        <stp>BQL|9622580147924418808</stp>
        <tr r="AZ15" s="1"/>
      </tp>
      <tp t="s">
        <v>#N/A N/A</v>
        <stp/>
        <stp>BQL|9579663174179836530</stp>
        <tr r="CG8" s="1"/>
      </tp>
      <tp t="s">
        <v>#N/A N/A</v>
        <stp/>
        <stp>BQL|1958297175342105282</stp>
        <tr r="CD8" s="1"/>
      </tp>
      <tp t="s">
        <v>#N/A N/A</v>
        <stp/>
        <stp>BQL|5329489448294743580</stp>
        <tr r="CA15" s="1"/>
      </tp>
      <tp t="s">
        <v>#N/A N/A</v>
        <stp/>
        <stp>BQL|4570271238118708973</stp>
        <tr r="BO11" s="1"/>
      </tp>
      <tp t="s">
        <v>#N/A N/A</v>
        <stp/>
        <stp>BQL|4777890392806063768</stp>
        <tr r="AH12" s="1"/>
      </tp>
      <tp t="s">
        <v>#N/A N/A</v>
        <stp/>
        <stp>BQL|9512067791422964623</stp>
        <tr r="AL11" s="1"/>
        <tr r="AL11" s="1"/>
      </tp>
      <tp t="s">
        <v>#N/A N/A</v>
        <stp/>
        <stp>BQL|6355700810630896432</stp>
        <tr r="BQ9" s="1"/>
      </tp>
      <tp t="s">
        <v>#N/A N/A</v>
        <stp/>
        <stp>BQL|2841320505165827018</stp>
        <tr r="BV9" s="1"/>
      </tp>
      <tp t="s">
        <v>#N/A N/A</v>
        <stp/>
        <stp>BQL|5184715736571180427</stp>
        <tr r="CF8" s="1"/>
      </tp>
      <tp t="s">
        <v>#N/A N/A</v>
        <stp/>
        <stp>BQL|5440606053372799055</stp>
        <tr r="CC10" s="1"/>
      </tp>
      <tp t="s">
        <v>#N/A N/A</v>
        <stp/>
        <stp>BQL|9476673196453610168</stp>
        <tr r="CD13" s="1"/>
      </tp>
      <tp t="s">
        <v>#N/A N/A</v>
        <stp/>
        <stp>BQL|1571424512332563230</stp>
        <tr r="AZ9" s="1"/>
      </tp>
      <tp t="s">
        <v>#N/A N/A</v>
        <stp/>
        <stp>BQL|8451646329179255188</stp>
        <tr r="BE7" s="1"/>
      </tp>
      <tp t="s">
        <v>#N/A N/A</v>
        <stp/>
        <stp>BQL|1542350220950913488</stp>
        <tr r="CB14" s="1"/>
      </tp>
      <tp t="s">
        <v>#N/A N/A</v>
        <stp/>
        <stp>BQL|8579813113582774703</stp>
        <tr r="CA10" s="1"/>
      </tp>
      <tp t="s">
        <v>#N/A N/A</v>
        <stp/>
        <stp>BQL|9645705467524695873</stp>
        <tr r="CE12" s="1"/>
      </tp>
      <tp t="s">
        <v>#N/A N/A</v>
        <stp/>
        <stp>BDP|6825893576335425882</stp>
        <tr r="P15" s="1"/>
      </tp>
      <tp t="s">
        <v>#N/A N/A</v>
        <stp/>
        <stp>BDP|7279420481259125685</stp>
        <tr r="CO12" s="1"/>
      </tp>
      <tp t="s">
        <v>#N/A N/A</v>
        <stp/>
        <stp>BDP|3138001751990813248</stp>
        <tr r="P10" s="1"/>
      </tp>
      <tp t="s">
        <v>#N/A N/A</v>
        <stp/>
        <stp>BDP|5360159618230469171</stp>
        <tr r="CS13" s="1"/>
      </tp>
      <tp t="s">
        <v>#N/A N/A</v>
        <stp/>
        <stp>BDP|8337297411999252646</stp>
        <tr r="G8" s="1"/>
      </tp>
      <tp t="s">
        <v>#N/A N/A</v>
        <stp/>
        <stp>BDP|5530050536632819034</stp>
        <tr r="R7" s="1"/>
      </tp>
      <tp t="s">
        <v>#N/A N/A</v>
        <stp/>
        <stp>BDP|5101826098633868304</stp>
        <tr r="AS7" s="1"/>
      </tp>
      <tp t="s">
        <v>#N/A N/A</v>
        <stp/>
        <stp>BDP|2044504727384635519</stp>
        <tr r="CS11" s="1"/>
      </tp>
      <tp t="s">
        <v>#N/A N/A</v>
        <stp/>
        <stp>BDP|1190048423602477528</stp>
        <tr r="N12" s="1"/>
      </tp>
      <tp t="s">
        <v>#N/A N/A</v>
        <stp/>
        <stp>BDP|9615339101086707821</stp>
        <tr r="V10" s="1"/>
      </tp>
      <tp t="s">
        <v>#N/A N/A</v>
        <stp/>
        <stp>BDP|2321571738521813127</stp>
        <tr r="CU10" s="1"/>
      </tp>
      <tp t="s">
        <v>#N/A N/A</v>
        <stp/>
        <stp>BDP|5575304852087455072</stp>
        <tr r="O8" s="1"/>
      </tp>
      <tp t="s">
        <v>#N/A N/A</v>
        <stp/>
        <stp>BQL|2526774606354972424</stp>
        <tr r="CX10" s="1"/>
      </tp>
      <tp t="s">
        <v>#N/A N/A</v>
        <stp/>
        <stp>BQL|2249814699321607730</stp>
        <tr r="BG12" s="1"/>
      </tp>
      <tp t="s">
        <v>#N/A N/A</v>
        <stp/>
        <stp>BQL|1415623617964833761</stp>
        <tr r="BD10" s="1"/>
      </tp>
      <tp t="s">
        <v>#N/A N/A</v>
        <stp/>
        <stp>BQL|9306665890566911517</stp>
        <tr r="BH13" s="1"/>
      </tp>
      <tp t="s">
        <v>#N/A N/A</v>
        <stp/>
        <stp>BQL|6602342352390066581</stp>
        <tr r="BA13" s="1"/>
      </tp>
      <tp t="s">
        <v>#N/A N/A</v>
        <stp/>
        <stp>BQL|2736185129577660387</stp>
        <tr r="BZ13" s="1"/>
      </tp>
      <tp t="s">
        <v>#N/A N/A</v>
        <stp/>
        <stp>BQL|7418948363529237495</stp>
        <tr r="AI13" s="1"/>
      </tp>
      <tp t="s">
        <v>#N/A N/A</v>
        <stp/>
        <stp>BQL|5912993822813224877</stp>
        <tr r="AH14" s="1"/>
      </tp>
      <tp t="s">
        <v>#N/A N/A</v>
        <stp/>
        <stp>BQL|8185212029655846845</stp>
        <tr r="CC9" s="1"/>
      </tp>
      <tp t="s">
        <v>#N/A N/A</v>
        <stp/>
        <stp>BQL|5723152036132211022</stp>
        <tr r="BA8" s="1"/>
      </tp>
      <tp t="s">
        <v>#N/A N/A</v>
        <stp/>
        <stp>BQL|2713033772334391473</stp>
        <tr r="CC15" s="1"/>
      </tp>
      <tp t="s">
        <v>#N/A N/A</v>
        <stp/>
        <stp>BQL|6596839802749437219</stp>
        <tr r="AH11" s="1"/>
      </tp>
      <tp t="s">
        <v>#N/A N/A</v>
        <stp/>
        <stp>BQL|9300609436118062155</stp>
        <tr r="BP10" s="1"/>
      </tp>
      <tp t="s">
        <v>#N/A N/A</v>
        <stp/>
        <stp>BDP|8465525198950421127</stp>
        <tr r="Z11" s="1"/>
      </tp>
      <tp t="s">
        <v>#N/A N/A</v>
        <stp/>
        <stp>BDP|1783181110192683612</stp>
        <tr r="B9" s="1"/>
      </tp>
      <tp t="s">
        <v>#N/A N/A</v>
        <stp/>
        <stp>BDP|3695401394048240391</stp>
        <tr r="Z9" s="1"/>
      </tp>
      <tp t="s">
        <v>#N/A N/A</v>
        <stp/>
        <stp>BDP|6016439637752200680</stp>
        <tr r="CT10" s="1"/>
      </tp>
      <tp t="s">
        <v>#N/A N/A</v>
        <stp/>
        <stp>BDP|3789126904476782191</stp>
        <tr r="N7" s="1"/>
      </tp>
      <tp t="s">
        <v>#N/A N/A</v>
        <stp/>
        <stp>BDP|3421910076240651889</stp>
        <tr r="Z7" s="1"/>
      </tp>
      <tp t="s">
        <v>#N/A N/A</v>
        <stp/>
        <stp>BDP|2942395659263978226</stp>
        <tr r="AT8" s="1"/>
      </tp>
      <tp t="s">
        <v>#N/A N/A</v>
        <stp/>
        <stp>BDP|1300092979772272125</stp>
        <tr r="N15" s="1"/>
      </tp>
      <tp t="s">
        <v>#N/A N/A</v>
        <stp/>
        <stp>BDP|5586904182880697169</stp>
        <tr r="AM10" s="1"/>
      </tp>
      <tp t="s">
        <v>#N/A N/A</v>
        <stp/>
        <stp>BDP|4483334512050135305</stp>
        <tr r="T12" s="1"/>
      </tp>
      <tp t="s">
        <v>#N/A N/A</v>
        <stp/>
        <stp>BDP|7876891680527265575</stp>
        <tr r="CP15" s="1"/>
      </tp>
      <tp t="s">
        <v>#N/A N/A</v>
        <stp/>
        <stp>BDP|1389036991428226566</stp>
        <tr r="N14" s="1"/>
      </tp>
      <tp t="s">
        <v>#N/A N/A</v>
        <stp/>
        <stp>BDP|5648281829608748859</stp>
        <tr r="CL12" s="1"/>
      </tp>
      <tp t="s">
        <v>#N/A N/A</v>
        <stp/>
        <stp>BQL|2485484562423065512</stp>
        <tr r="BL8" s="1"/>
      </tp>
      <tp t="s">
        <v>#N/A N/A</v>
        <stp/>
        <stp>BQL|5156806865875882816</stp>
        <tr r="BD11" s="1"/>
      </tp>
      <tp t="s">
        <v>#N/A N/A</v>
        <stp/>
        <stp>BQL|3584684416951764317</stp>
        <tr r="AK8" s="1"/>
        <tr r="AK8" s="1"/>
      </tp>
      <tp t="s">
        <v>#N/A N/A</v>
        <stp/>
        <stp>BQL|8972456191222903198</stp>
        <tr r="AN14" s="1"/>
      </tp>
      <tp t="s">
        <v>#N/A N/A</v>
        <stp/>
        <stp>BQL|6106733151141042380</stp>
        <tr r="BY9" s="1"/>
      </tp>
      <tp t="s">
        <v>#N/A N/A</v>
        <stp/>
        <stp>BQL|2284629654304903371</stp>
        <tr r="CB8" s="1"/>
      </tp>
      <tp t="s">
        <v>#N/A N/A</v>
        <stp/>
        <stp>BQL|6449945597748662881</stp>
        <tr r="BV15" s="1"/>
      </tp>
      <tp t="s">
        <v>#N/A N/A</v>
        <stp/>
        <stp>BQL|6160951287858272996</stp>
        <tr r="BV14" s="1"/>
      </tp>
      <tp t="s">
        <v>#N/A N/A</v>
        <stp/>
        <stp>BQL|4326628897264198906</stp>
        <tr r="CF9" s="1"/>
      </tp>
      <tp t="s">
        <v>#N/A N/A</v>
        <stp/>
        <stp>BQL|4132346887118434116</stp>
        <tr r="AN8" s="1"/>
      </tp>
      <tp t="s">
        <v>#N/A N/A</v>
        <stp/>
        <stp>BQL|1241262850176712650</stp>
        <tr r="BW11" s="1"/>
      </tp>
      <tp t="s">
        <v>#N/A N/A</v>
        <stp/>
        <stp>BQL|7766392337922911320</stp>
        <tr r="CY7" s="1"/>
      </tp>
      <tp t="s">
        <v>#N/A N/A</v>
        <stp/>
        <stp>BQL|1719158574097237666</stp>
        <tr r="AI15" s="1"/>
      </tp>
      <tp t="s">
        <v>#N/A N/A</v>
        <stp/>
        <stp>BDP|5630733627317072181</stp>
        <tr r="AB7" s="1"/>
      </tp>
      <tp t="s">
        <v>#N/A N/A</v>
        <stp/>
        <stp>BDP|3683009068851573234</stp>
        <tr r="AC13" s="1"/>
      </tp>
      <tp t="s">
        <v>#N/A N/A</v>
        <stp/>
        <stp>BDP|9106944341662492084</stp>
        <tr r="CL7" s="1"/>
      </tp>
      <tp t="s">
        <v>#N/A N/A</v>
        <stp/>
        <stp>BDP|3327078704843953606</stp>
        <tr r="H15" s="1"/>
      </tp>
      <tp t="s">
        <v>#N/A N/A</v>
        <stp/>
        <stp>BDP|5922846092284279641</stp>
        <tr r="F9" s="1"/>
      </tp>
      <tp t="s">
        <v>#N/A N/A</v>
        <stp/>
        <stp>BDP|7273987235798247330</stp>
        <tr r="AV9" s="1"/>
      </tp>
      <tp t="s">
        <v>#N/A N/A</v>
        <stp/>
        <stp>BDP|9901671726042496904</stp>
        <tr r="H8" s="1"/>
      </tp>
      <tp t="s">
        <v>#N/A N/A</v>
        <stp/>
        <stp>BDP|1954309964071489352</stp>
        <tr r="CN9" s="1"/>
      </tp>
      <tp t="s">
        <v>#N/A N/A</v>
        <stp/>
        <stp>BDP|7567565847024481417</stp>
        <tr r="CP10" s="1"/>
      </tp>
      <tp t="s">
        <v>#N/A N/A</v>
        <stp/>
        <stp>BDP|1469064152655375757</stp>
        <tr r="M11" s="1"/>
      </tp>
      <tp t="s">
        <v>#N/A N/A</v>
        <stp/>
        <stp>BDP|7378588944751945115</stp>
        <tr r="E17" s="1"/>
      </tp>
      <tp t="s">
        <v>#N/A N/A</v>
        <stp/>
        <stp>BDP|1327857700139277638</stp>
        <tr r="J9" s="1"/>
      </tp>
      <tp t="s">
        <v>#N/A N/A</v>
        <stp/>
        <stp>BDP|8708933454987715509</stp>
        <tr r="CV9" s="1"/>
      </tp>
      <tp t="s">
        <v>#N/A N/A</v>
        <stp/>
        <stp>BDP|5246655297935612933</stp>
        <tr r="Y14" s="1"/>
      </tp>
      <tp t="s">
        <v>#N/A N/A</v>
        <stp/>
        <stp>BDP|1600457921404242551</stp>
        <tr r="CQ8" s="1"/>
      </tp>
      <tp t="s">
        <v>#N/A N/A</v>
        <stp/>
        <stp>BQL|7385219762742785689</stp>
        <tr r="CB10" s="1"/>
      </tp>
      <tp t="s">
        <v>#N/A N/A</v>
        <stp/>
        <stp>BQL|6526768818104691322</stp>
        <tr r="BY14" s="1"/>
      </tp>
      <tp t="s">
        <v>#N/A N/A</v>
        <stp/>
        <stp>BQL|5337973638100198818</stp>
        <tr r="CD10" s="1"/>
      </tp>
      <tp t="s">
        <v>#N/A N/A</v>
        <stp/>
        <stp>BQL|3120371381507625886</stp>
        <tr r="CC8" s="1"/>
      </tp>
      <tp t="s">
        <v>#N/A N/A</v>
        <stp/>
        <stp>BQL|4305300117814018539</stp>
        <tr r="AZ10" s="1"/>
      </tp>
      <tp t="s">
        <v>#N/A N/A</v>
        <stp/>
        <stp>BQL|1568203870852558163</stp>
        <tr r="AO15" s="1"/>
      </tp>
      <tp t="s">
        <v>#N/A N/A</v>
        <stp/>
        <stp>BQL|3225255314040600713</stp>
        <tr r="AK12" s="1"/>
        <tr r="AK12" s="1"/>
      </tp>
      <tp t="s">
        <v>#N/A N/A</v>
        <stp/>
        <stp>BQL|8547510320690088861</stp>
        <tr r="BQ15" s="1"/>
      </tp>
      <tp t="s">
        <v>#N/A N/A</v>
        <stp/>
        <stp>BQL|4239439034890277466</stp>
        <tr r="AF7" s="1"/>
      </tp>
      <tp t="s">
        <v>#N/A N/A</v>
        <stp/>
        <stp>BQL|1750659861392770448</stp>
        <tr r="AL12" s="1"/>
        <tr r="AL12" s="1"/>
      </tp>
      <tp t="s">
        <v>#N/A N/A</v>
        <stp/>
        <stp>BDP|7754191113183298340</stp>
        <tr r="AB12" s="1"/>
      </tp>
      <tp t="s">
        <v>#N/A N/A</v>
        <stp/>
        <stp>BDP|4761593734346418359</stp>
        <tr r="CS9" s="1"/>
      </tp>
      <tp t="s">
        <v>#N/A N/A</v>
        <stp/>
        <stp>BDP|6263929371398643793</stp>
        <tr r="AU11" s="1"/>
      </tp>
      <tp t="s">
        <v>#N/A N/A</v>
        <stp/>
        <stp>BDP|3302264003131813715</stp>
        <tr r="CZ11" s="1"/>
      </tp>
      <tp t="s">
        <v>#N/A N/A</v>
        <stp/>
        <stp>BDP|1208902999641060744</stp>
        <tr r="AR13" s="1"/>
      </tp>
      <tp t="s">
        <v>#N/A N/A</v>
        <stp/>
        <stp>BDP|8774797807388264061</stp>
        <tr r="AR10" s="1"/>
      </tp>
      <tp t="s">
        <v>#N/A N/A</v>
        <stp/>
        <stp>BDP|3972838110499170486</stp>
        <tr r="B13" s="1"/>
      </tp>
      <tp t="s">
        <v>#N/A N/A</v>
        <stp/>
        <stp>BDP|6260025606106655739</stp>
        <tr r="D12" s="1"/>
      </tp>
      <tp t="s">
        <v>#N/A N/A</v>
        <stp/>
        <stp>BDP|7598124003934720507</stp>
        <tr r="S9" s="1"/>
      </tp>
      <tp t="s">
        <v>#N/A N/A</v>
        <stp/>
        <stp>BDP|8612718073689352678</stp>
        <tr r="K14" s="1"/>
      </tp>
      <tp t="s">
        <v>#N/A N/A</v>
        <stp/>
        <stp>BDP|1117419639473796285</stp>
        <tr r="M12" s="1"/>
      </tp>
      <tp t="s">
        <v>#N/A N/A</v>
        <stp/>
        <stp>BDP|9071745740375382807</stp>
        <tr r="J10" s="1"/>
      </tp>
      <tp t="s">
        <v>#N/A N/A</v>
        <stp/>
        <stp>BDP|7648812242014033825</stp>
        <tr r="CZ8" s="1"/>
      </tp>
      <tp t="s">
        <v>#N/A N/A</v>
        <stp/>
        <stp>BQL|3995122198218754393</stp>
        <tr r="AN10" s="1"/>
      </tp>
      <tp t="s">
        <v>#N/A N/A</v>
        <stp/>
        <stp>BQL|1810580001085348193</stp>
        <tr r="BD14" s="1"/>
      </tp>
      <tp t="s">
        <v>#N/A N/A</v>
        <stp/>
        <stp>BQL|9084293551216250805</stp>
        <tr r="AF14" s="1"/>
      </tp>
      <tp t="s">
        <v>#N/A N/A</v>
        <stp/>
        <stp>BQL|3352668358519300976</stp>
        <tr r="AH13" s="1"/>
      </tp>
      <tp t="s">
        <v>#N/A N/A</v>
        <stp/>
        <stp>BQL|1626634991036375802</stp>
        <tr r="AK9" s="1"/>
        <tr r="AK9" s="1"/>
      </tp>
      <tp t="s">
        <v>#N/A N/A</v>
        <stp/>
        <stp>BQL|1630599701953365785</stp>
        <tr r="BX10" s="1"/>
      </tp>
      <tp t="s">
        <v>#N/A N/A</v>
        <stp/>
        <stp>BQL|9783907011015384414</stp>
        <tr r="BI8" s="1"/>
      </tp>
      <tp t="s">
        <v>#N/A N/A</v>
        <stp/>
        <stp>BQL|1947098233562271056</stp>
        <tr r="AZ7" s="1"/>
      </tp>
      <tp t="s">
        <v>#N/A N/A</v>
        <stp/>
        <stp>BQL|5476764235074548538</stp>
        <tr r="BJ10" s="1"/>
      </tp>
      <tp t="s">
        <v>#N/A N/A</v>
        <stp/>
        <stp>BQL|1084174942270613426</stp>
        <tr r="BI7" s="1"/>
      </tp>
      <tp t="s">
        <v>#N/A N/A</v>
        <stp/>
        <stp>BQL|6174676837184987793</stp>
        <tr r="BF15" s="1"/>
      </tp>
      <tp t="s">
        <v>#N/A N/A</v>
        <stp/>
        <stp>BQL|3750836654219658760</stp>
        <tr r="CB13" s="1"/>
      </tp>
      <tp t="s">
        <v>#N/A N/A</v>
        <stp/>
        <stp>BQL|8716133053208296453</stp>
        <tr r="BI11" s="1"/>
      </tp>
      <tp t="s">
        <v>#N/A N/A</v>
        <stp/>
        <stp>BDP|1382141539253373054</stp>
        <tr r="P9" s="1"/>
      </tp>
      <tp t="s">
        <v>#N/A N/A</v>
        <stp/>
        <stp>BDP|5464983025996188845</stp>
        <tr r="AV10" s="1"/>
      </tp>
      <tp t="s">
        <v>#N/A N/A</v>
        <stp/>
        <stp>BDP|7832647567355198276</stp>
        <tr r="CU9" s="1"/>
      </tp>
      <tp t="s">
        <v>#N/A N/A</v>
        <stp/>
        <stp>BDP|6129100042721253232</stp>
        <tr r="M13" s="1"/>
      </tp>
      <tp t="s">
        <v>#N/A N/A</v>
        <stp/>
        <stp>BDP|2368541030762459611</stp>
        <tr r="D8" s="1"/>
      </tp>
      <tp t="s">
        <v>#N/A N/A</v>
        <stp/>
        <stp>BDP|6289725020666705541</stp>
        <tr r="AT9" s="1"/>
      </tp>
      <tp t="s">
        <v>#N/A N/A</v>
        <stp/>
        <stp>BDP|6484567211105388706</stp>
        <tr r="CT11" s="1"/>
      </tp>
      <tp t="s">
        <v>#N/A N/A</v>
        <stp/>
        <stp>BDP|1543680539966524206</stp>
        <tr r="U11" s="1"/>
      </tp>
      <tp t="s">
        <v>#N/A N/A</v>
        <stp/>
        <stp>BDP|3217790624397971171</stp>
        <tr r="E7" s="1"/>
      </tp>
      <tp t="s">
        <v>#N/A N/A</v>
        <stp/>
        <stp>BDP|4056266821662313627</stp>
        <tr r="CO13" s="1"/>
      </tp>
      <tp t="s">
        <v>#N/A N/A</v>
        <stp/>
        <stp>BDP|6294349320126504153</stp>
        <tr r="CO11" s="1"/>
      </tp>
      <tp t="s">
        <v>#N/A N/A</v>
        <stp/>
        <stp>BDP|2107869258377016887</stp>
        <tr r="E11" s="1"/>
      </tp>
      <tp t="s">
        <v>#N/A N/A</v>
        <stp/>
        <stp>BDP|1142331799172974951</stp>
        <tr r="CP8" s="1"/>
      </tp>
      <tp t="s">
        <v>#N/A N/A</v>
        <stp/>
        <stp>BDP|7402631761353697441</stp>
        <tr r="CR11" s="1"/>
      </tp>
      <tp t="s">
        <v>#N/A N/A</v>
        <stp/>
        <stp>BDP|3434021631772643255</stp>
        <tr r="Y13" s="1"/>
      </tp>
      <tp t="s">
        <v>#N/A N/A</v>
        <stp/>
        <stp>BQL|3025462947030960276</stp>
        <tr r="CB11" s="1"/>
      </tp>
      <tp t="s">
        <v>#N/A N/A</v>
        <stp/>
        <stp>BQL|3319493607580097620</stp>
        <tr r="AZ12" s="1"/>
      </tp>
      <tp t="s">
        <v>#N/A N/A</v>
        <stp/>
        <stp>BQL|2179934968948093400</stp>
        <tr r="CF7" s="1"/>
      </tp>
      <tp t="s">
        <v>#N/A N/A</v>
        <stp/>
        <stp>BQL|7140677435787488429</stp>
        <tr r="AF11" s="1"/>
      </tp>
      <tp t="s">
        <v>#N/A N/A</v>
        <stp/>
        <stp>BQL|4600375915875390231</stp>
        <tr r="BE11" s="1"/>
      </tp>
      <tp t="s">
        <v>#N/A N/A</v>
        <stp/>
        <stp>BQL|3318068200436072417</stp>
        <tr r="BQ10" s="1"/>
      </tp>
      <tp t="s">
        <v>#N/A N/A</v>
        <stp/>
        <stp>BQL|5393986439617331939</stp>
        <tr r="AL9" s="1"/>
        <tr r="AL9" s="1"/>
      </tp>
      <tp t="s">
        <v>#N/A N/A</v>
        <stp/>
        <stp>BQL|5161870976292262909</stp>
        <tr r="BF8" s="1"/>
      </tp>
      <tp t="s">
        <v>#N/A N/A</v>
        <stp/>
        <stp>BQL|2418579963852305225</stp>
        <tr r="BN14" s="1"/>
      </tp>
      <tp t="s">
        <v>#N/A N/A</v>
        <stp/>
        <stp>BQL|2467138164716168235</stp>
        <tr r="BS12" s="1"/>
      </tp>
      <tp t="s">
        <v>#N/A N/A</v>
        <stp/>
        <stp>BDP|5261669269747029376</stp>
        <tr r="AC12" s="1"/>
      </tp>
      <tp t="s">
        <v>#N/A N/A</v>
        <stp/>
        <stp>BDP|7003958198791592705</stp>
        <tr r="CM9" s="1"/>
      </tp>
      <tp t="s">
        <v>#N/A N/A</v>
        <stp/>
        <stp>BDP|1409889096625552464</stp>
        <tr r="V15" s="1"/>
      </tp>
      <tp t="s">
        <v>#N/A N/A</v>
        <stp/>
        <stp>BDP|6626024099026577865</stp>
        <tr r="CN15" s="1"/>
      </tp>
      <tp t="s">
        <v>#N/A N/A</v>
        <stp/>
        <stp>BDP|4372744913777284496</stp>
        <tr r="AP11" s="1"/>
      </tp>
      <tp t="s">
        <v>#N/A N/A</v>
        <stp/>
        <stp>BDP|6415453603327463494</stp>
        <tr r="Q10" s="1"/>
      </tp>
      <tp t="s">
        <v>#N/A N/A</v>
        <stp/>
        <stp>BDP|2214749472987594434</stp>
        <tr r="AR15" s="1"/>
      </tp>
      <tp t="s">
        <v>#N/A N/A</v>
        <stp/>
        <stp>BDP|7252179813732285445</stp>
        <tr r="S12" s="1"/>
      </tp>
      <tp t="s">
        <v>#N/A N/A</v>
        <stp/>
        <stp>BDP|4840866442239946038</stp>
        <tr r="S10" s="1"/>
      </tp>
      <tp t="s">
        <v>#N/A N/A</v>
        <stp/>
        <stp>BDP|1338716123282256751</stp>
        <tr r="CR13" s="1"/>
      </tp>
      <tp t="s">
        <v>#N/A N/A</v>
        <stp/>
        <stp>BDP|1869795174714635453</stp>
        <tr r="P13" s="1"/>
      </tp>
      <tp t="s">
        <v>#N/A N/A</v>
        <stp/>
        <stp>BDP|1714162316749527968</stp>
        <tr r="CZ14" s="1"/>
      </tp>
      <tp t="s">
        <v>#N/A N/A</v>
        <stp/>
        <stp>BDP|6111272236464566214</stp>
        <tr r="K15" s="1"/>
      </tp>
      <tp t="s">
        <v>#N/A N/A</v>
        <stp/>
        <stp>BDP|2179102614285594655</stp>
        <tr r="L15" s="1"/>
      </tp>
      <tp t="s">
        <v>#N/A N/A</v>
        <stp/>
        <stp>BQL|5975009265698349908</stp>
        <tr r="BK9" s="1"/>
      </tp>
      <tp t="s">
        <v>#N/A N/A</v>
        <stp/>
        <stp>BQL|7845632871054339063</stp>
        <tr r="BX9" s="1"/>
      </tp>
      <tp t="s">
        <v>#N/A N/A</v>
        <stp/>
        <stp>BQL|7125157670477361488</stp>
        <tr r="CX8" s="1"/>
      </tp>
      <tp t="s">
        <v>#N/A N/A</v>
        <stp/>
        <stp>BQL|9056503733274866957</stp>
        <tr r="BI13" s="1"/>
      </tp>
      <tp t="s">
        <v>#N/A N/A</v>
        <stp/>
        <stp>BQL|7607564178416765111</stp>
        <tr r="CY10" s="1"/>
      </tp>
      <tp t="s">
        <v>#N/A N/A</v>
        <stp/>
        <stp>BQL|2977533431895054362</stp>
        <tr r="BU14" s="1"/>
      </tp>
      <tp t="s">
        <v>#N/A N/A</v>
        <stp/>
        <stp>BQL|5333510398688201325</stp>
        <tr r="BP12" s="1"/>
      </tp>
      <tp t="s">
        <v>#N/A N/A</v>
        <stp/>
        <stp>BQL|4302056155136181558</stp>
        <tr r="BR12" s="1"/>
      </tp>
      <tp t="s">
        <v>#N/A N/A</v>
        <stp/>
        <stp>BQL|5974247709175416059</stp>
        <tr r="CX11" s="1"/>
      </tp>
      <tp t="s">
        <v>#N/A N/A</v>
        <stp/>
        <stp>BQL|2305914770297501934</stp>
        <tr r="CY8" s="1"/>
      </tp>
      <tp t="s">
        <v>#N/A N/A</v>
        <stp/>
        <stp>BQL|6745177625165731203</stp>
        <tr r="AN9" s="1"/>
      </tp>
      <tp t="s">
        <v>#N/A N/A</v>
        <stp/>
        <stp>BQL|5924105336560860567</stp>
        <tr r="CE9" s="1"/>
      </tp>
      <tp t="s">
        <v>#N/A N/A</v>
        <stp/>
        <stp>BQL|5810009190327103990</stp>
        <tr r="AI11" s="1"/>
      </tp>
      <tp t="s">
        <v>#N/A N/A</v>
        <stp/>
        <stp>BDP|6998069821353789534</stp>
        <tr r="P12" s="1"/>
      </tp>
      <tp t="s">
        <v>#N/A N/A</v>
        <stp/>
        <stp>BDP|1768685351068569811</stp>
        <tr r="CQ15" s="1"/>
      </tp>
      <tp t="s">
        <v>#N/A N/A</v>
        <stp/>
        <stp>BDP|2512981802091038855</stp>
        <tr r="CN7" s="1"/>
      </tp>
      <tp t="s">
        <v>#N/A N/A</v>
        <stp/>
        <stp>BDP|9976988286149948367</stp>
        <tr r="M9" s="1"/>
      </tp>
      <tp t="s">
        <v>#N/A N/A</v>
        <stp/>
        <stp>BDP|2645650047040834251</stp>
        <tr r="CM13" s="1"/>
      </tp>
      <tp t="s">
        <v>#N/A N/A</v>
        <stp/>
        <stp>BDP|5094350513840322584</stp>
        <tr r="CV14" s="1"/>
      </tp>
      <tp t="s">
        <v>#N/A N/A</v>
        <stp/>
        <stp>BDP|7834230359173589158</stp>
        <tr r="G15" s="1"/>
      </tp>
      <tp t="s">
        <v>#N/A N/A</v>
        <stp/>
        <stp>BDP|2416515369412582195</stp>
        <tr r="H13" s="1"/>
      </tp>
      <tp t="s">
        <v>#N/A N/A</v>
        <stp/>
        <stp>BDP|9294847451976351041</stp>
        <tr r="CU15" s="1"/>
      </tp>
      <tp t="s">
        <v>#N/A N/A</v>
        <stp/>
        <stp>BDP|4424007870590726121</stp>
        <tr r="AC8" s="1"/>
      </tp>
      <tp t="s">
        <v>#N/A N/A</v>
        <stp/>
        <stp>BDP|5720471326700948197</stp>
        <tr r="B15" s="1"/>
      </tp>
      <tp t="s">
        <v>#N/A N/A</v>
        <stp/>
        <stp>BDP|4822185707360321718</stp>
        <tr r="AT10" s="1"/>
      </tp>
      <tp t="s">
        <v>#N/A N/A</v>
        <stp/>
        <stp>BDP|4722039356821311241</stp>
        <tr r="CL10" s="1"/>
      </tp>
      <tp t="s">
        <v>#N/A N/A</v>
        <stp/>
        <stp>BQL|2498329348444509241</stp>
        <tr r="BW15" s="1"/>
      </tp>
      <tp t="s">
        <v>#N/A N/A</v>
        <stp/>
        <stp>BQL|3515474271515424684</stp>
        <tr r="CA14" s="1"/>
      </tp>
      <tp t="s">
        <v>#N/A N/A</v>
        <stp/>
        <stp>BQL|5159301950882993265</stp>
        <tr r="BO8" s="1"/>
      </tp>
      <tp t="s">
        <v>#N/A N/A</v>
        <stp/>
        <stp>BQL|3705915428959232212</stp>
        <tr r="BQ7" s="1"/>
      </tp>
      <tp t="s">
        <v>#N/A N/A</v>
        <stp/>
        <stp>BQL|3557495421111003769</stp>
        <tr r="BR7" s="1"/>
      </tp>
      <tp t="s">
        <v>#N/A N/A</v>
        <stp/>
        <stp>BQL|4147339020157170197</stp>
        <tr r="BR9" s="1"/>
      </tp>
      <tp t="s">
        <v>#N/A N/A</v>
        <stp/>
        <stp>BQL|6069222914813928550</stp>
        <tr r="BK14" s="1"/>
      </tp>
      <tp t="s">
        <v>#N/A N/A</v>
        <stp/>
        <stp>BQL|4230393621673997594</stp>
        <tr r="CE8" s="1"/>
      </tp>
      <tp t="s">
        <v>#N/A N/A</v>
        <stp/>
        <stp>BQL|2801911245038314486</stp>
        <tr r="CE10" s="1"/>
      </tp>
      <tp t="s">
        <v>#N/A N/A</v>
        <stp/>
        <stp>BQL|3233923323372142957</stp>
        <tr r="CX13" s="1"/>
      </tp>
      <tp t="s">
        <v>#N/A N/A</v>
        <stp/>
        <stp>BQL|4186377413683103632</stp>
        <tr r="BO9" s="1"/>
      </tp>
      <tp t="s">
        <v>#N/A N/A</v>
        <stp/>
        <stp>BQL|9145034023061025971</stp>
        <tr r="BD9" s="1"/>
      </tp>
      <tp t="s">
        <v>#N/A N/A</v>
        <stp/>
        <stp>BQL|4520661764106343129</stp>
        <tr r="BO7" s="1"/>
      </tp>
      <tp t="s">
        <v>#N/A N/A</v>
        <stp/>
        <stp>BQL|9244483323898899426</stp>
        <tr r="BB15" s="1"/>
      </tp>
      <tp t="s">
        <v>#N/A N/A</v>
        <stp/>
        <stp>BQL|4189171702272729403</stp>
        <tr r="CX12" s="1"/>
      </tp>
      <tp t="s">
        <v>#N/A N/A</v>
        <stp/>
        <stp>BQL|6688040774313552114</stp>
        <tr r="BA9" s="1"/>
      </tp>
      <tp t="s">
        <v>#N/A N/A</v>
        <stp/>
        <stp>BQL|6077695687533646890</stp>
        <tr r="BB10" s="1"/>
      </tp>
      <tp t="s">
        <v>#N/A N/A</v>
        <stp/>
        <stp>BDP|3919787671605214587</stp>
        <tr r="P11" s="1"/>
      </tp>
      <tp t="s">
        <v>#N/A N/A</v>
        <stp/>
        <stp>BDP|5176239818313738667</stp>
        <tr r="A7" s="1"/>
      </tp>
      <tp t="s">
        <v>#N/A N/A</v>
        <stp/>
        <stp>BDP|8613357386984569487</stp>
        <tr r="V9" s="1"/>
      </tp>
      <tp t="s">
        <v>#N/A N/A</v>
        <stp/>
        <stp>BDP|6585570119796193759</stp>
        <tr r="E8" s="1"/>
      </tp>
      <tp t="s">
        <v>#N/A N/A</v>
        <stp/>
        <stp>BDP|4776526007447684589</stp>
        <tr r="CS15" s="1"/>
      </tp>
      <tp t="s">
        <v>#N/A N/A</v>
        <stp/>
        <stp>BDP|7810575426806370572</stp>
        <tr r="S11" s="1"/>
      </tp>
      <tp t="s">
        <v>#N/A N/A</v>
        <stp/>
        <stp>BDP|2863308942510155693</stp>
        <tr r="B12" s="1"/>
      </tp>
      <tp t="s">
        <v>#N/A N/A</v>
        <stp/>
        <stp>BDP|4831423581162973909</stp>
        <tr r="I12" s="1"/>
      </tp>
      <tp t="s">
        <v>#N/A N/A</v>
        <stp/>
        <stp>BDP|3195642252654444709</stp>
        <tr r="CO8" s="1"/>
      </tp>
      <tp t="s">
        <v>#N/A N/A</v>
        <stp/>
        <stp>BDP|1651999634268372084</stp>
        <tr r="L12" s="1"/>
      </tp>
      <tp t="s">
        <v>#N/A N/A</v>
        <stp/>
        <stp>BDP|5485231157513226238</stp>
        <tr r="F12" s="1"/>
      </tp>
      <tp t="s">
        <v>#N/A N/A</v>
        <stp/>
        <stp>BDP|9374701355951557953</stp>
        <tr r="CM10" s="1"/>
      </tp>
      <tp t="s">
        <v>#N/A N/A</v>
        <stp/>
        <stp>BDP|6673413673874190222</stp>
        <tr r="I13" s="1"/>
      </tp>
      <tp t="s">
        <v>#N/A N/A</v>
        <stp/>
        <stp>BDP|3198448375200079372</stp>
        <tr r="G9" s="1"/>
      </tp>
      <tp t="s">
        <v>#N/A N/A</v>
        <stp/>
        <stp>BDP|9749891178891226409</stp>
        <tr r="J7" s="1"/>
      </tp>
      <tp t="s">
        <v>#N/A N/A</v>
        <stp/>
        <stp>BDP|7273954118514823825</stp>
        <tr r="CM8" s="1"/>
      </tp>
      <tp t="s">
        <v>#N/A N/A</v>
        <stp/>
        <stp>BDP|8556922403357768567</stp>
        <tr r="AS11" s="1"/>
      </tp>
      <tp t="s">
        <v>#N/A N/A</v>
        <stp/>
        <stp>BQL|55223344569917543</stp>
        <tr r="CD7" s="1"/>
      </tp>
      <tp t="s">
        <v>#N/A N/A</v>
        <stp/>
        <stp>BDP|43838674490693660</stp>
        <tr r="AS10" s="1"/>
      </tp>
      <tp t="s">
        <v>#N/A N/A</v>
        <stp/>
        <stp>BDP|73071285975101974</stp>
        <tr r="CV13" s="1"/>
      </tp>
      <tp t="s">
        <v>#N/A N/A</v>
        <stp/>
        <stp>BDP|145046260516011580</stp>
        <tr r="AB9" s="1"/>
      </tp>
      <tp t="s">
        <v>#N/A N/A</v>
        <stp/>
        <stp>BDP|143462895770000894</stp>
        <tr r="CL13" s="1"/>
      </tp>
      <tp t="s">
        <v>#N/A N/A</v>
        <stp/>
        <stp>BDP|250545447780421430</stp>
        <tr r="AS14" s="1"/>
      </tp>
      <tp t="s">
        <v>#N/A N/A</v>
        <stp/>
        <stp>BQL|215416311881376136</stp>
        <tr r="BZ12" s="1"/>
      </tp>
      <tp t="s">
        <v>#N/A N/A</v>
        <stp/>
        <stp>BDP|390074867292761014</stp>
        <tr r="U15" s="1"/>
      </tp>
      <tp t="s">
        <v>#N/A N/A</v>
        <stp/>
        <stp>BQL|874562183989481094</stp>
        <tr r="CX9" s="1"/>
      </tp>
      <tp t="s">
        <v>#N/A N/A</v>
        <stp/>
        <stp>BDP|217275618897468371</stp>
        <tr r="Q13" s="1"/>
      </tp>
      <tp t="s">
        <v>#N/A N/A</v>
        <stp/>
        <stp>BDP|422476928249644835</stp>
        <tr r="W8" s="1"/>
      </tp>
      <tp t="s">
        <v>#N/A N/A</v>
        <stp/>
        <stp>BQL|610899652233231969</stp>
        <tr r="AE11" s="1"/>
      </tp>
      <tp t="s">
        <v>#N/A N/A</v>
        <stp/>
        <stp>BDP|842869873751537931</stp>
        <tr r="CQ13" s="1"/>
      </tp>
      <tp t="s">
        <v>#N/A N/A</v>
        <stp/>
        <stp>BQL|199712539397841452</stp>
        <tr r="AZ8" s="1"/>
      </tp>
      <tp t="s">
        <v>#N/A N/A</v>
        <stp/>
        <stp>BQL|552689843144919081</stp>
        <tr r="BR15" s="1"/>
      </tp>
      <tp t="s">
        <v>#N/A N/A</v>
        <stp/>
        <stp>BQL|431382760910747301</stp>
        <tr r="AL14" s="1"/>
        <tr r="AL14" s="1"/>
      </tp>
      <tp t="s">
        <v>#N/A N/A</v>
        <stp/>
        <stp>BDP|240293186844839818</stp>
        <tr r="CT15" s="1"/>
      </tp>
      <tp t="s">
        <v>#N/A N/A</v>
        <stp/>
        <stp>BQL|293763446183654619</stp>
        <tr r="BR10" s="1"/>
      </tp>
      <tp t="s">
        <v>#N/A N/A</v>
        <stp/>
        <stp>BDP|409288484739208241</stp>
        <tr r="M8" s="1"/>
      </tp>
      <tp t="s">
        <v>#N/A N/A</v>
        <stp/>
        <stp>BDP|579941728953471804</stp>
        <tr r="CQ12" s="1"/>
      </tp>
      <tp t="s">
        <v>#N/A N/A</v>
        <stp/>
        <stp>BQL|701225128578876833</stp>
        <tr r="CB7" s="1"/>
      </tp>
      <tp t="s">
        <v>#N/A N/A</v>
        <stp/>
        <stp>BDP|439804294496030779</stp>
        <tr r="E12" s="1"/>
      </tp>
      <tp t="s">
        <v>#N/A N/A</v>
        <stp/>
        <stp>BQL|505778307702078562</stp>
        <tr r="CG11" s="1"/>
      </tp>
      <tp t="s">
        <v>#N/A N/A</v>
        <stp/>
        <stp>BQL|178495196329087735</stp>
        <tr r="CW10" s="1"/>
      </tp>
      <tp t="s">
        <v>#N/A N/A</v>
        <stp/>
        <stp>BDP|989814396472160017</stp>
        <tr r="CN10" s="1"/>
      </tp>
      <tp t="s">
        <v>#N/A N/A</v>
        <stp/>
        <stp>BQL|670274653764207097</stp>
        <tr r="BL9" s="1"/>
      </tp>
      <tp t="s">
        <v>#N/A N/A</v>
        <stp/>
        <stp>BQL|519208281648525146</stp>
        <tr r="AZ14" s="1"/>
      </tp>
      <tp t="s">
        <v>#N/A N/A</v>
        <stp/>
        <stp>BQL|132341905517093761</stp>
        <tr r="CF14" s="1"/>
      </tp>
      <tp t="s">
        <v>#N/A N/A</v>
        <stp/>
        <stp>BDP|793034465244032122</stp>
        <tr r="CS12" s="1"/>
      </tp>
      <tp t="s">
        <v>#N/A N/A</v>
        <stp/>
        <stp>BDP|647819810052126940</stp>
        <tr r="AT15" s="1"/>
      </tp>
    </main>
    <main first="bofaddin.rtdserver">
      <tp t="s">
        <v>#N/A N/A</v>
        <stp/>
        <stp>BDP|761404789691060120</stp>
        <tr r="CR15" s="1"/>
      </tp>
      <tp t="s">
        <v>#N/A N/A</v>
        <stp/>
        <stp>BDP|340932830324712294</stp>
        <tr r="CZ9" s="1"/>
      </tp>
      <tp t="s">
        <v>#N/A N/A</v>
        <stp/>
        <stp>BDP|629829176420648301</stp>
        <tr r="CS14" s="1"/>
      </tp>
      <tp t="s">
        <v>#N/A N/A</v>
        <stp/>
        <stp>BDP|549639282212098329</stp>
        <tr r="U8" s="1"/>
      </tp>
      <tp t="s">
        <v>#N/A N/A</v>
        <stp/>
        <stp>BDP|289952985606784850</stp>
        <tr r="E21" s="1"/>
      </tp>
      <tp t="s">
        <v>#N/A N/A</v>
        <stp/>
        <stp>BQL|240652828893781894</stp>
        <tr r="BB11" s="1"/>
      </tp>
      <tp t="s">
        <v>#N/A N/A</v>
        <stp/>
        <stp>BDP|643953016967537025</stp>
        <tr r="J13" s="1"/>
      </tp>
      <tp t="s">
        <v>#N/A N/A</v>
        <stp/>
        <stp>BQL|398466974072723895</stp>
        <tr r="BT9" s="1"/>
      </tp>
      <tp t="s">
        <v>#N/A N/A</v>
        <stp/>
        <stp>BQL|247155229713220979</stp>
        <tr r="CG15" s="1"/>
      </tp>
      <tp t="s">
        <v>#N/A N/A</v>
        <stp/>
        <stp>BQL|449165946984903959</stp>
        <tr r="AK13" s="1"/>
        <tr r="AK13" s="1"/>
      </tp>
      <tp t="s">
        <v>#N/A N/A</v>
        <stp/>
        <stp>BDP|254915759902776679</stp>
        <tr r="CM7" s="1"/>
      </tp>
      <tp t="s">
        <v>#N/A N/A</v>
        <stp/>
        <stp>BQL|798417647669032132</stp>
        <tr r="BU9" s="1"/>
      </tp>
      <tp t="s">
        <v>#N/A N/A</v>
        <stp/>
        <stp>BQL|274136154018951773</stp>
        <tr r="BL13" s="1"/>
      </tp>
      <tp t="s">
        <v>#N/A N/A</v>
        <stp/>
        <stp>BDP|389940900921693356</stp>
        <tr r="X10" s="1"/>
      </tp>
      <tp t="s">
        <v>#N/A N/A</v>
        <stp/>
        <stp>BQL|104407733568216586</stp>
        <tr r="BS10" s="1"/>
      </tp>
      <tp t="s">
        <v>#N/A N/A</v>
        <stp/>
        <stp>BQL|322348631903700983</stp>
        <tr r="AI7" s="1"/>
      </tp>
      <tp t="s">
        <v>#N/A N/A</v>
        <stp/>
        <stp>BQL|627318636459317361</stp>
        <tr r="BH10" s="1"/>
      </tp>
      <tp t="s">
        <v>#N/A N/A</v>
        <stp/>
        <stp>BQL|829264678486238960</stp>
        <tr r="AI14" s="1"/>
      </tp>
    </main>
  </volType>
</volTypes>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volatileDependencies" Target="volatileDependenci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2</xdr:col>
      <xdr:colOff>165100</xdr:colOff>
      <xdr:row>21</xdr:row>
      <xdr:rowOff>171450</xdr:rowOff>
    </xdr:to>
    <xdr:sp macro="" textlink="">
      <xdr:nvSpPr>
        <xdr:cNvPr id="3073" name="85428a321b71455ab0a1455e1000687a" descr="image">
          <a:extLst>
            <a:ext uri="{FF2B5EF4-FFF2-40B4-BE49-F238E27FC236}">
              <a16:creationId xmlns:a16="http://schemas.microsoft.com/office/drawing/2014/main" id="{A75E3834-3131-3F27-3BA4-4861056CFDD1}"/>
            </a:ext>
          </a:extLst>
        </xdr:cNvPr>
        <xdr:cNvSpPr>
          <a:spLocks noChangeAspect="1" noChangeArrowheads="1"/>
        </xdr:cNvSpPr>
      </xdr:nvSpPr>
      <xdr:spPr bwMode="auto">
        <a:xfrm>
          <a:off x="0" y="1657350"/>
          <a:ext cx="1384300" cy="23812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person displayName="DBS Asia Capital" id="{4D152A2E-57B5-4802-A386-1C8C1970EAE6}" userId="S::dbsac@dbs.com::107578d0-8c70-40ca-a79b-65e9b230283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X4" dT="2021-11-15T07:28:34.85" personId="{4D152A2E-57B5-4802-A386-1C8C1970EAE6}" id="{F41902F7-55D2-4AEE-9A90-4A1C9A95CD7E}">
    <text>another formula</text>
  </threadedComment>
  <threadedComment ref="CY4" dT="2021-11-15T07:28:34.85" personId="{4D152A2E-57B5-4802-A386-1C8C1970EAE6}" id="{C003E2EC-F24D-42B9-A14E-C4394F8E2CE9}">
    <text>another formula</text>
  </threadedComment>
</ThreadedComments>
</file>

<file path=xl/threadedComments/threadedComment2.xml><?xml version="1.0" encoding="utf-8"?>
<ThreadedComments xmlns="http://schemas.microsoft.com/office/spreadsheetml/2018/threadedcomments" xmlns:x="http://schemas.openxmlformats.org/spreadsheetml/2006/main">
  <threadedComment ref="CX4" dT="2021-11-15T07:28:34.85" personId="{4D152A2E-57B5-4802-A386-1C8C1970EAE6}" id="{6A38511B-7CB0-4C51-B287-F44A08358856}">
    <text>another formula</text>
  </threadedComment>
  <threadedComment ref="CY4" dT="2021-11-15T07:28:34.85" personId="{4D152A2E-57B5-4802-A386-1C8C1970EAE6}" id="{74278FF2-B988-4C12-AA47-4FE17057263F}">
    <text>another formula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F4E49-E026-4B96-9908-726DAB9886B6}">
  <dimension ref="A1:DL34"/>
  <sheetViews>
    <sheetView topLeftCell="B1" workbookViewId="0">
      <selection activeCell="E20" sqref="E20"/>
    </sheetView>
    <sheetView topLeftCell="B5" workbookViewId="1">
      <selection activeCell="C12" sqref="A1:XFD1048576"/>
    </sheetView>
    <sheetView topLeftCell="B1" workbookViewId="2"/>
  </sheetViews>
  <sheetFormatPr defaultColWidth="10.28515625" defaultRowHeight="13.5" outlineLevelCol="1" x14ac:dyDescent="0.25"/>
  <cols>
    <col min="1" max="1" width="41.42578125" style="9" hidden="1" customWidth="1"/>
    <col min="2" max="2" width="27.28515625" style="9" customWidth="1"/>
    <col min="3" max="3" width="20.5703125" style="9" customWidth="1"/>
    <col min="4" max="4" width="20.5703125" style="9" hidden="1" customWidth="1"/>
    <col min="5" max="5" width="12.5703125" style="9" customWidth="1"/>
    <col min="6" max="6" width="12.5703125" style="9" hidden="1" customWidth="1" outlineLevel="1"/>
    <col min="7" max="7" width="12" style="9" hidden="1" customWidth="1" outlineLevel="1"/>
    <col min="8" max="8" width="12" style="9" hidden="1" customWidth="1" outlineLevel="1" collapsed="1"/>
    <col min="9" max="9" width="12" style="9" hidden="1" customWidth="1" outlineLevel="1"/>
    <col min="10" max="10" width="13.7109375" style="9" customWidth="1" collapsed="1"/>
    <col min="11" max="11" width="10.140625" style="9" hidden="1" customWidth="1" outlineLevel="1"/>
    <col min="12" max="12" width="10.140625" style="9" customWidth="1" collapsed="1"/>
    <col min="13" max="13" width="10.140625" style="9" hidden="1" customWidth="1" outlineLevel="1"/>
    <col min="14" max="14" width="10.140625" style="9" customWidth="1" collapsed="1"/>
    <col min="15" max="15" width="10.140625" style="9" hidden="1" customWidth="1" outlineLevel="1"/>
    <col min="16" max="16" width="10.140625" style="9" customWidth="1" collapsed="1"/>
    <col min="17" max="17" width="12.140625" style="9" customWidth="1"/>
    <col min="18" max="22" width="13.28515625" style="9" hidden="1" customWidth="1" outlineLevel="1"/>
    <col min="23" max="23" width="10.140625" style="9" hidden="1" customWidth="1" outlineLevel="1"/>
    <col min="24" max="25" width="12.140625" style="9" hidden="1" customWidth="1" outlineLevel="1"/>
    <col min="26" max="26" width="10.140625" style="9" hidden="1" customWidth="1" outlineLevel="1"/>
    <col min="27" max="27" width="13.140625" style="9" customWidth="1" collapsed="1"/>
    <col min="28" max="29" width="10.140625" style="9" customWidth="1"/>
    <col min="30" max="30" width="8.85546875" style="9" customWidth="1"/>
    <col min="31" max="35" width="9" style="9" customWidth="1"/>
    <col min="36" max="36" width="12.140625" style="9" customWidth="1"/>
    <col min="37" max="40" width="9" style="9" customWidth="1"/>
    <col min="41" max="41" width="9" style="9" customWidth="1" collapsed="1"/>
    <col min="42" max="42" width="9" style="9" hidden="1" customWidth="1"/>
    <col min="43" max="45" width="9" style="9" customWidth="1"/>
    <col min="46" max="46" width="10" style="10" hidden="1" customWidth="1"/>
    <col min="47" max="89" width="9" style="10" hidden="1" customWidth="1"/>
    <col min="90" max="95" width="12.28515625" style="9" hidden="1" customWidth="1"/>
    <col min="96" max="100" width="9" style="11" hidden="1" customWidth="1"/>
    <col min="101" max="103" width="10.5703125" style="9" hidden="1" customWidth="1"/>
    <col min="104" max="104" width="175.28515625" style="79" customWidth="1"/>
    <col min="105" max="105" width="9.85546875" style="79" customWidth="1"/>
    <col min="106" max="108" width="10.42578125" style="9" customWidth="1"/>
    <col min="109" max="110" width="9" style="9" customWidth="1"/>
    <col min="111" max="111" width="12.42578125" style="9" bestFit="1" customWidth="1"/>
    <col min="112" max="114" width="9" style="9" customWidth="1"/>
    <col min="115" max="115" width="9.85546875" style="9" customWidth="1"/>
    <col min="116" max="116" width="99.42578125" style="12" customWidth="1"/>
    <col min="117" max="16384" width="10.28515625" style="13"/>
  </cols>
  <sheetData>
    <row r="1" spans="1:116" s="2" customFormat="1" ht="15" x14ac:dyDescent="0.25">
      <c r="A1" s="1" t="s">
        <v>0</v>
      </c>
      <c r="B1" s="1" t="s">
        <v>1</v>
      </c>
      <c r="C1" s="1" t="s">
        <v>2</v>
      </c>
      <c r="D1" s="1"/>
      <c r="E1" s="2" t="s">
        <v>3</v>
      </c>
      <c r="F1" s="2" t="s">
        <v>4</v>
      </c>
      <c r="G1" s="2" t="s">
        <v>5</v>
      </c>
      <c r="H1" s="2" t="s">
        <v>6</v>
      </c>
      <c r="I1" s="2" t="s">
        <v>6</v>
      </c>
      <c r="J1" s="2" t="s">
        <v>7</v>
      </c>
      <c r="K1" s="2" t="s">
        <v>7</v>
      </c>
      <c r="L1" s="2" t="s">
        <v>8</v>
      </c>
      <c r="M1" s="2" t="s">
        <v>8</v>
      </c>
      <c r="N1" s="2" t="s">
        <v>9</v>
      </c>
      <c r="O1" s="2" t="s">
        <v>10</v>
      </c>
      <c r="P1" s="2" t="s">
        <v>11</v>
      </c>
      <c r="Q1" s="2" t="s">
        <v>12</v>
      </c>
      <c r="R1" s="3" t="s">
        <v>13</v>
      </c>
      <c r="S1" s="3" t="s">
        <v>14</v>
      </c>
      <c r="T1" s="3" t="s">
        <v>15</v>
      </c>
      <c r="U1" s="3" t="s">
        <v>16</v>
      </c>
      <c r="V1" s="3" t="s">
        <v>17</v>
      </c>
      <c r="W1" s="3" t="s">
        <v>18</v>
      </c>
      <c r="X1" s="3"/>
      <c r="Y1" s="3"/>
      <c r="Z1" s="3" t="s">
        <v>19</v>
      </c>
      <c r="AA1" s="3"/>
      <c r="AB1" s="3"/>
      <c r="AC1" s="3"/>
      <c r="AD1" s="2" t="s">
        <v>20</v>
      </c>
      <c r="AJ1" s="2" t="s">
        <v>21</v>
      </c>
      <c r="AM1" s="3" t="s">
        <v>22</v>
      </c>
      <c r="AT1" s="4" t="s">
        <v>23</v>
      </c>
      <c r="AU1" s="5" t="s">
        <v>24</v>
      </c>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6"/>
      <c r="CM1" s="6"/>
      <c r="CN1" s="6"/>
      <c r="CO1" s="6"/>
      <c r="CP1" s="6"/>
      <c r="CQ1" s="6"/>
      <c r="CR1" s="7"/>
      <c r="CS1" s="7"/>
      <c r="CT1" s="7"/>
      <c r="CU1" s="7"/>
      <c r="CV1" s="7"/>
      <c r="CW1" s="6"/>
      <c r="CX1" s="6"/>
      <c r="CY1" s="6"/>
      <c r="CZ1" s="8" t="s">
        <v>25</v>
      </c>
    </row>
    <row r="2" spans="1:116" x14ac:dyDescent="0.25">
      <c r="CZ2" s="12"/>
      <c r="DA2" s="13"/>
      <c r="DB2" s="13"/>
      <c r="DC2" s="13"/>
      <c r="DD2" s="13"/>
      <c r="DE2" s="13"/>
      <c r="DF2" s="13"/>
      <c r="DG2" s="13"/>
      <c r="DH2" s="13"/>
      <c r="DI2" s="13"/>
      <c r="DJ2" s="13"/>
      <c r="DK2" s="13"/>
      <c r="DL2" s="13"/>
    </row>
    <row r="3" spans="1:116" s="18" customFormat="1" ht="16.5" thickBot="1" x14ac:dyDescent="0.3">
      <c r="A3" s="115" t="s">
        <v>26</v>
      </c>
      <c r="B3" s="118" t="s">
        <v>27</v>
      </c>
      <c r="C3" s="118" t="s">
        <v>28</v>
      </c>
      <c r="D3" s="14"/>
      <c r="E3" s="121" t="s">
        <v>29</v>
      </c>
      <c r="F3" s="112"/>
      <c r="G3" s="112"/>
      <c r="H3" s="112"/>
      <c r="I3" s="112"/>
      <c r="J3" s="112"/>
      <c r="K3" s="112"/>
      <c r="L3" s="112"/>
      <c r="M3" s="112"/>
      <c r="N3" s="112"/>
      <c r="O3" s="112"/>
      <c r="P3" s="112"/>
      <c r="Q3" s="112"/>
      <c r="R3" s="112"/>
      <c r="S3" s="112"/>
      <c r="T3" s="112"/>
      <c r="U3" s="112"/>
      <c r="V3" s="112"/>
      <c r="W3" s="112"/>
      <c r="X3" s="112"/>
      <c r="Y3" s="112"/>
      <c r="Z3" s="115"/>
      <c r="AA3" s="15"/>
      <c r="AB3" s="15"/>
      <c r="AC3" s="15"/>
      <c r="AD3" s="121" t="s">
        <v>30</v>
      </c>
      <c r="AE3" s="112"/>
      <c r="AF3" s="112"/>
      <c r="AG3" s="112"/>
      <c r="AH3" s="112"/>
      <c r="AI3" s="112"/>
      <c r="AJ3" s="112"/>
      <c r="AK3" s="112"/>
      <c r="AL3" s="112"/>
      <c r="AM3" s="112"/>
      <c r="AN3" s="112"/>
      <c r="AO3" s="112"/>
      <c r="AP3" s="112"/>
      <c r="AQ3" s="112"/>
      <c r="AR3" s="112"/>
      <c r="AS3" s="112"/>
      <c r="AT3" s="112"/>
      <c r="AU3" s="112"/>
      <c r="AV3" s="115"/>
      <c r="AW3" s="113" t="s">
        <v>31</v>
      </c>
      <c r="AX3" s="113"/>
      <c r="AY3" s="113"/>
      <c r="AZ3" s="112" t="s">
        <v>32</v>
      </c>
      <c r="BA3" s="112"/>
      <c r="BB3" s="112"/>
      <c r="BC3" s="112"/>
      <c r="BD3" s="112"/>
      <c r="BE3" s="112"/>
      <c r="BF3" s="112"/>
      <c r="BG3" s="112"/>
      <c r="BH3" s="112"/>
      <c r="BI3" s="112"/>
      <c r="BJ3" s="112"/>
      <c r="BK3" s="112"/>
      <c r="BL3" s="112"/>
      <c r="BM3" s="112"/>
      <c r="BN3" s="112"/>
      <c r="BO3" s="112"/>
      <c r="BP3" s="112"/>
      <c r="BQ3" s="112"/>
      <c r="BR3" s="112"/>
      <c r="BS3" s="112"/>
      <c r="BT3" s="112"/>
      <c r="BU3" s="112"/>
      <c r="BV3" s="112"/>
      <c r="BW3" s="112"/>
      <c r="BX3" s="112"/>
      <c r="BY3" s="112"/>
      <c r="BZ3" s="112"/>
      <c r="CA3" s="112"/>
      <c r="CB3" s="112"/>
      <c r="CC3" s="112"/>
      <c r="CD3" s="112"/>
      <c r="CE3" s="112"/>
      <c r="CF3" s="112"/>
      <c r="CG3" s="112"/>
      <c r="CH3" s="15"/>
      <c r="CI3" s="15"/>
      <c r="CJ3" s="15"/>
      <c r="CK3" s="15"/>
      <c r="CL3" s="15"/>
      <c r="CM3" s="15"/>
      <c r="CN3" s="15"/>
      <c r="CO3" s="113"/>
      <c r="CP3" s="113"/>
      <c r="CQ3" s="113"/>
      <c r="CR3" s="113"/>
      <c r="CS3" s="113"/>
      <c r="CT3" s="113"/>
      <c r="CU3" s="113"/>
      <c r="CV3" s="114"/>
      <c r="CW3" s="16" t="s">
        <v>33</v>
      </c>
      <c r="CX3" s="16"/>
      <c r="CY3" s="16"/>
      <c r="CZ3" s="17"/>
    </row>
    <row r="4" spans="1:116" s="18" customFormat="1" ht="33" thickTop="1" thickBot="1" x14ac:dyDescent="0.3">
      <c r="A4" s="116"/>
      <c r="B4" s="119"/>
      <c r="C4" s="119"/>
      <c r="D4" s="19" t="s">
        <v>34</v>
      </c>
      <c r="E4" s="110" t="s">
        <v>35</v>
      </c>
      <c r="F4" s="110" t="s">
        <v>36</v>
      </c>
      <c r="G4" s="110" t="s">
        <v>37</v>
      </c>
      <c r="H4" s="110" t="s">
        <v>38</v>
      </c>
      <c r="I4" s="110" t="s">
        <v>39</v>
      </c>
      <c r="J4" s="110" t="s">
        <v>40</v>
      </c>
      <c r="K4" s="110" t="s">
        <v>41</v>
      </c>
      <c r="L4" s="110" t="s">
        <v>42</v>
      </c>
      <c r="M4" s="110" t="s">
        <v>43</v>
      </c>
      <c r="N4" s="110" t="s">
        <v>44</v>
      </c>
      <c r="O4" s="110" t="s">
        <v>45</v>
      </c>
      <c r="P4" s="110" t="s">
        <v>46</v>
      </c>
      <c r="Q4" s="110" t="s">
        <v>47</v>
      </c>
      <c r="R4" s="110" t="s">
        <v>48</v>
      </c>
      <c r="S4" s="110" t="s">
        <v>49</v>
      </c>
      <c r="T4" s="110" t="s">
        <v>50</v>
      </c>
      <c r="U4" s="110" t="s">
        <v>51</v>
      </c>
      <c r="V4" s="110" t="s">
        <v>52</v>
      </c>
      <c r="W4" s="110" t="s">
        <v>53</v>
      </c>
      <c r="X4" s="110" t="s">
        <v>54</v>
      </c>
      <c r="Y4" s="110" t="s">
        <v>55</v>
      </c>
      <c r="Z4" s="110" t="s">
        <v>56</v>
      </c>
      <c r="AA4" s="110" t="s">
        <v>57</v>
      </c>
      <c r="AB4" s="110" t="s">
        <v>58</v>
      </c>
      <c r="AC4" s="110" t="s">
        <v>59</v>
      </c>
      <c r="AD4" s="104" t="s">
        <v>60</v>
      </c>
      <c r="AE4" s="105"/>
      <c r="AF4" s="106"/>
      <c r="AG4" s="104" t="s">
        <v>61</v>
      </c>
      <c r="AH4" s="105"/>
      <c r="AI4" s="106"/>
      <c r="AJ4" s="104" t="s">
        <v>62</v>
      </c>
      <c r="AK4" s="105"/>
      <c r="AL4" s="106"/>
      <c r="AM4" s="104" t="s">
        <v>63</v>
      </c>
      <c r="AN4" s="105"/>
      <c r="AO4" s="105"/>
      <c r="AP4" s="106"/>
      <c r="AQ4" s="104" t="s">
        <v>64</v>
      </c>
      <c r="AR4" s="105"/>
      <c r="AS4" s="106"/>
      <c r="AT4" s="107" t="s">
        <v>65</v>
      </c>
      <c r="AU4" s="108"/>
      <c r="AV4" s="109"/>
      <c r="AW4" s="21" t="s">
        <v>66</v>
      </c>
      <c r="AX4" s="21" t="s">
        <v>67</v>
      </c>
      <c r="AY4" s="21" t="s">
        <v>68</v>
      </c>
      <c r="AZ4" s="101" t="s">
        <v>69</v>
      </c>
      <c r="BA4" s="102"/>
      <c r="BB4" s="102"/>
      <c r="BC4" s="102"/>
      <c r="BD4" s="102"/>
      <c r="BE4" s="103"/>
      <c r="BF4" s="101" t="s">
        <v>70</v>
      </c>
      <c r="BG4" s="102"/>
      <c r="BH4" s="102"/>
      <c r="BI4" s="102"/>
      <c r="BJ4" s="102"/>
      <c r="BK4" s="103"/>
      <c r="BL4" s="101" t="s">
        <v>66</v>
      </c>
      <c r="BM4" s="102"/>
      <c r="BN4" s="102"/>
      <c r="BO4" s="102"/>
      <c r="BP4" s="102"/>
      <c r="BQ4" s="103"/>
      <c r="BR4" s="101" t="s">
        <v>67</v>
      </c>
      <c r="BS4" s="102"/>
      <c r="BT4" s="102"/>
      <c r="BU4" s="102"/>
      <c r="BV4" s="102"/>
      <c r="BW4" s="103"/>
      <c r="BX4" s="101" t="s">
        <v>68</v>
      </c>
      <c r="BY4" s="102"/>
      <c r="BZ4" s="102"/>
      <c r="CA4" s="102"/>
      <c r="CB4" s="102"/>
      <c r="CC4" s="103"/>
      <c r="CD4" s="101" t="s">
        <v>71</v>
      </c>
      <c r="CE4" s="102"/>
      <c r="CF4" s="102"/>
      <c r="CG4" s="103"/>
      <c r="CH4" s="101" t="s">
        <v>72</v>
      </c>
      <c r="CI4" s="102"/>
      <c r="CJ4" s="102"/>
      <c r="CK4" s="103"/>
      <c r="CL4" s="92" t="s">
        <v>73</v>
      </c>
      <c r="CM4" s="92" t="s">
        <v>74</v>
      </c>
      <c r="CN4" s="92" t="s">
        <v>75</v>
      </c>
      <c r="CO4" s="92" t="s">
        <v>76</v>
      </c>
      <c r="CP4" s="92" t="s">
        <v>77</v>
      </c>
      <c r="CQ4" s="92" t="s">
        <v>78</v>
      </c>
      <c r="CR4" s="92" t="s">
        <v>79</v>
      </c>
      <c r="CS4" s="92" t="s">
        <v>80</v>
      </c>
      <c r="CT4" s="92" t="s">
        <v>81</v>
      </c>
      <c r="CU4" s="99" t="s">
        <v>82</v>
      </c>
      <c r="CV4" s="92" t="s">
        <v>83</v>
      </c>
      <c r="CW4" s="94" t="s">
        <v>84</v>
      </c>
      <c r="CX4" s="94" t="s">
        <v>85</v>
      </c>
      <c r="CY4" s="94" t="s">
        <v>86</v>
      </c>
      <c r="CZ4" s="17"/>
    </row>
    <row r="5" spans="1:116" s="26" customFormat="1" ht="16.5" thickTop="1" x14ac:dyDescent="0.25">
      <c r="A5" s="117"/>
      <c r="B5" s="120"/>
      <c r="C5" s="120"/>
      <c r="D5" s="22"/>
      <c r="E5" s="111"/>
      <c r="F5" s="111"/>
      <c r="G5" s="111"/>
      <c r="H5" s="111"/>
      <c r="I5" s="111"/>
      <c r="J5" s="111"/>
      <c r="K5" s="111"/>
      <c r="L5" s="111"/>
      <c r="M5" s="111"/>
      <c r="N5" s="111"/>
      <c r="O5" s="111"/>
      <c r="P5" s="111"/>
      <c r="Q5" s="111"/>
      <c r="R5" s="111"/>
      <c r="S5" s="111"/>
      <c r="T5" s="111"/>
      <c r="U5" s="111"/>
      <c r="V5" s="111"/>
      <c r="W5" s="111"/>
      <c r="X5" s="111"/>
      <c r="Y5" s="111"/>
      <c r="Z5" s="111"/>
      <c r="AA5" s="111"/>
      <c r="AB5" s="111"/>
      <c r="AC5" s="111"/>
      <c r="AD5" s="20" t="s">
        <v>87</v>
      </c>
      <c r="AE5" s="20" t="s">
        <v>88</v>
      </c>
      <c r="AF5" s="20" t="s">
        <v>89</v>
      </c>
      <c r="AG5" s="20" t="s">
        <v>87</v>
      </c>
      <c r="AH5" s="20" t="s">
        <v>88</v>
      </c>
      <c r="AI5" s="20" t="s">
        <v>89</v>
      </c>
      <c r="AJ5" s="20" t="s">
        <v>87</v>
      </c>
      <c r="AK5" s="20" t="s">
        <v>88</v>
      </c>
      <c r="AL5" s="20" t="s">
        <v>89</v>
      </c>
      <c r="AM5" s="20" t="s">
        <v>87</v>
      </c>
      <c r="AN5" s="20" t="s">
        <v>88</v>
      </c>
      <c r="AO5" s="20" t="s">
        <v>89</v>
      </c>
      <c r="AP5" s="20" t="s">
        <v>89</v>
      </c>
      <c r="AQ5" s="20" t="s">
        <v>87</v>
      </c>
      <c r="AR5" s="20" t="s">
        <v>88</v>
      </c>
      <c r="AS5" s="20" t="s">
        <v>89</v>
      </c>
      <c r="AT5" s="23" t="s">
        <v>87</v>
      </c>
      <c r="AU5" s="20" t="s">
        <v>88</v>
      </c>
      <c r="AV5" s="20" t="s">
        <v>89</v>
      </c>
      <c r="AW5" s="96" t="s">
        <v>90</v>
      </c>
      <c r="AX5" s="97"/>
      <c r="AY5" s="98"/>
      <c r="AZ5" s="24" t="s">
        <v>91</v>
      </c>
      <c r="BA5" s="24" t="s">
        <v>92</v>
      </c>
      <c r="BB5" s="24" t="s">
        <v>93</v>
      </c>
      <c r="BC5" s="24" t="s">
        <v>94</v>
      </c>
      <c r="BD5" s="24" t="s">
        <v>95</v>
      </c>
      <c r="BE5" s="24" t="s">
        <v>96</v>
      </c>
      <c r="BF5" s="24" t="s">
        <v>91</v>
      </c>
      <c r="BG5" s="24" t="s">
        <v>92</v>
      </c>
      <c r="BH5" s="24" t="s">
        <v>93</v>
      </c>
      <c r="BI5" s="24" t="s">
        <v>94</v>
      </c>
      <c r="BJ5" s="24" t="s">
        <v>95</v>
      </c>
      <c r="BK5" s="24" t="s">
        <v>96</v>
      </c>
      <c r="BL5" s="24" t="s">
        <v>91</v>
      </c>
      <c r="BM5" s="24" t="s">
        <v>92</v>
      </c>
      <c r="BN5" s="24" t="s">
        <v>93</v>
      </c>
      <c r="BO5" s="24" t="s">
        <v>94</v>
      </c>
      <c r="BP5" s="24" t="s">
        <v>95</v>
      </c>
      <c r="BQ5" s="24" t="s">
        <v>96</v>
      </c>
      <c r="BR5" s="24" t="s">
        <v>91</v>
      </c>
      <c r="BS5" s="24" t="s">
        <v>92</v>
      </c>
      <c r="BT5" s="24" t="s">
        <v>93</v>
      </c>
      <c r="BU5" s="24" t="s">
        <v>94</v>
      </c>
      <c r="BV5" s="24" t="s">
        <v>95</v>
      </c>
      <c r="BW5" s="24" t="s">
        <v>96</v>
      </c>
      <c r="BX5" s="24" t="s">
        <v>91</v>
      </c>
      <c r="BY5" s="24" t="s">
        <v>92</v>
      </c>
      <c r="BZ5" s="24" t="s">
        <v>93</v>
      </c>
      <c r="CA5" s="24" t="s">
        <v>94</v>
      </c>
      <c r="CB5" s="24" t="s">
        <v>95</v>
      </c>
      <c r="CC5" s="24" t="s">
        <v>96</v>
      </c>
      <c r="CD5" s="24" t="s">
        <v>93</v>
      </c>
      <c r="CE5" s="24" t="s">
        <v>94</v>
      </c>
      <c r="CF5" s="24" t="s">
        <v>95</v>
      </c>
      <c r="CG5" s="24" t="s">
        <v>96</v>
      </c>
      <c r="CH5" s="24" t="s">
        <v>93</v>
      </c>
      <c r="CI5" s="24" t="s">
        <v>94</v>
      </c>
      <c r="CJ5" s="24" t="s">
        <v>95</v>
      </c>
      <c r="CK5" s="24" t="s">
        <v>96</v>
      </c>
      <c r="CL5" s="93"/>
      <c r="CM5" s="93"/>
      <c r="CN5" s="93"/>
      <c r="CO5" s="93"/>
      <c r="CP5" s="93"/>
      <c r="CQ5" s="93"/>
      <c r="CR5" s="93"/>
      <c r="CS5" s="93"/>
      <c r="CT5" s="93"/>
      <c r="CU5" s="100"/>
      <c r="CV5" s="93"/>
      <c r="CW5" s="95"/>
      <c r="CX5" s="95"/>
      <c r="CY5" s="95"/>
      <c r="CZ5" s="17"/>
      <c r="DA5" s="25"/>
      <c r="DB5" s="25"/>
      <c r="DC5" s="25"/>
    </row>
    <row r="6" spans="1:116" s="26" customFormat="1" ht="15.75" x14ac:dyDescent="0.25">
      <c r="A6" s="27"/>
      <c r="B6" s="28"/>
      <c r="C6" s="28"/>
      <c r="D6" s="28"/>
      <c r="E6" s="28"/>
      <c r="F6" s="28"/>
      <c r="G6" s="28"/>
      <c r="H6" s="29"/>
      <c r="I6" s="29"/>
      <c r="J6" s="29"/>
      <c r="K6" s="29"/>
      <c r="L6" s="29"/>
      <c r="M6" s="29"/>
      <c r="N6" s="29"/>
      <c r="O6" s="29"/>
      <c r="P6" s="30"/>
      <c r="Q6" s="30"/>
      <c r="R6" s="30"/>
      <c r="S6" s="30"/>
      <c r="T6" s="30"/>
      <c r="U6" s="30"/>
      <c r="V6" s="30"/>
      <c r="W6" s="30"/>
      <c r="X6" s="30"/>
      <c r="Y6" s="30"/>
      <c r="Z6" s="30"/>
      <c r="AA6" s="30"/>
      <c r="AB6" s="30"/>
      <c r="AC6" s="30"/>
      <c r="AD6" s="31"/>
      <c r="AE6" s="31"/>
      <c r="AF6" s="31"/>
      <c r="AG6" s="31"/>
      <c r="AH6" s="31"/>
      <c r="AI6" s="31"/>
      <c r="AJ6" s="31"/>
      <c r="AK6" s="31"/>
      <c r="AL6" s="31"/>
      <c r="AM6" s="31"/>
      <c r="AN6" s="31"/>
      <c r="AO6" s="31"/>
      <c r="AP6" s="31"/>
      <c r="AQ6" s="31"/>
      <c r="AR6" s="31"/>
      <c r="AS6" s="31"/>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1"/>
      <c r="CM6" s="31"/>
      <c r="CN6" s="31"/>
      <c r="CO6" s="31"/>
      <c r="CP6" s="31"/>
      <c r="CQ6" s="31"/>
      <c r="CR6" s="33"/>
      <c r="CS6" s="33"/>
      <c r="CT6" s="33"/>
      <c r="CU6" s="33"/>
      <c r="CV6" s="33"/>
      <c r="CW6" s="31"/>
      <c r="CX6" s="31"/>
      <c r="CY6" s="31"/>
      <c r="CZ6" s="34"/>
    </row>
    <row r="7" spans="1:116" s="47" customFormat="1" ht="31.5" x14ac:dyDescent="0.25">
      <c r="A7" s="35" t="str">
        <f>_xll.BDP($C7,"security name")</f>
        <v>PDS Ltd</v>
      </c>
      <c r="B7" s="35" t="str">
        <f>_xll.BDP($C7,"NAME_CHINESE_SIMPLIFIED")</f>
        <v>PDS Ltd</v>
      </c>
      <c r="C7" s="36" t="s">
        <v>97</v>
      </c>
      <c r="D7" s="37" t="str">
        <f>_xll.BDP($C7,"LISTING_DATE")</f>
        <v>10/21/2014</v>
      </c>
      <c r="E7" s="37">
        <f>_xll.BDP($C7,E$1,"EQY_FUND_CRNCY="&amp;$B$1)</f>
        <v>3363.6485319585781</v>
      </c>
      <c r="F7" s="37">
        <f>_xll.BDP($C7,F$1,"EQY_FUND_CRNCY="&amp;$C$1)</f>
        <v>429.3653924507924</v>
      </c>
      <c r="G7" s="38">
        <f>_xll.BDP($C7,G$1)</f>
        <v>293.8</v>
      </c>
      <c r="H7" s="37">
        <f>_xll.BDP($C7,H$1,"EQY_FUND_CRNCY="&amp;$B$1)</f>
        <v>1544.2295375180765</v>
      </c>
      <c r="I7" s="37">
        <f>_xll.BDP($C7,I$1,"EQY_FUND_CRNCY="&amp;$C$1)</f>
        <v>196.9454447216616</v>
      </c>
      <c r="J7" s="37">
        <f>_xll.BDP($C7,J$1,"EQY_FUND_CRNCY="&amp;$B$1)</f>
        <v>11590.735022364293</v>
      </c>
      <c r="K7" s="37">
        <f>_xll.BDP($C7,K$1,"EQY_FUND_CRNCY="&amp;$C$1)</f>
        <v>1484.7960227864421</v>
      </c>
      <c r="L7" s="37">
        <f>_xll.BDP($C7,L$1,"EQY_FUND_CRNCY="&amp;$B$1)</f>
        <v>98.747584379844568</v>
      </c>
      <c r="M7" s="37">
        <f>_xll.BDP($C7,M$1,"EQY_FUND_CRNCY="&amp;$C$1)</f>
        <v>12.64976037016279</v>
      </c>
      <c r="N7" s="39" t="e">
        <f>_xll.BDP($C7,N$1)/100</f>
        <v>#VALUE!</v>
      </c>
      <c r="O7" s="39">
        <f>_xll.BDP($C7,O$1)/100</f>
        <v>2.9377398921930434E-2</v>
      </c>
      <c r="P7" s="39">
        <f>_xll.BDP($C7,P$1)/100</f>
        <v>8.5195273802145706E-3</v>
      </c>
      <c r="Q7" s="39">
        <f>_xll.BDP($C7,Q$1)/100</f>
        <v>8.3469248235208279E-2</v>
      </c>
      <c r="R7" s="39">
        <f>_xll.BDP($C7,R$1)/100</f>
        <v>-0.28810317343465075</v>
      </c>
      <c r="S7" s="39">
        <f>_xll.BDP($C7,S$1)/100</f>
        <v>0.67994450068502699</v>
      </c>
      <c r="T7" s="39">
        <f>_xll.BDP($C7,T$1)/100</f>
        <v>0.71671869863121673</v>
      </c>
      <c r="U7" s="39">
        <f>_xll.BDP($C7,U$1)/100</f>
        <v>0.12262356642324797</v>
      </c>
      <c r="V7" s="39">
        <f>_xll.BDP($C7,V$1)/100</f>
        <v>0.24004735003200847</v>
      </c>
      <c r="W7" s="39">
        <f>_xll.BDP($C7,W$1)/100</f>
        <v>2.2891973136851092E-2</v>
      </c>
      <c r="X7" s="40" cm="1">
        <f t="array" ref="X7">_xll.BDP($C7,"CRNCY_ADJ_CURR_EV", "EQY_FUND_CRNCY=HKD")</f>
        <v>3632.2403408483956</v>
      </c>
      <c r="Y7" s="40" cm="1">
        <f t="array" ref="Y7">_xll.BDP($C7,"CRNCY_ADJ_CURR_EV", "EQY_FUND_CRNCY=USD")</f>
        <v>463.62062543224368</v>
      </c>
      <c r="Z7" s="39">
        <f>_xll.BDP($C7,Z$1)/100</f>
        <v>6.561182153145384E-2</v>
      </c>
      <c r="AA7" s="40">
        <f>_xll.BDP($C7,"TRAIL_12M_NET_SALES","EQY_FUND_CRNCY=HKD")</f>
        <v>11590.735022364293</v>
      </c>
      <c r="AB7" s="40">
        <f>_xll.BDP($C7,"TRAIL_12M_NET_INC","EQY_FUND_CRNCY=HKD")</f>
        <v>98.747584379844568</v>
      </c>
      <c r="AC7" s="40">
        <f>_xll.BDP($C7,"TRAIL_12M_EBITDA","EQY_FUND_CRNCY=HKD")</f>
        <v>340.37462166666523</v>
      </c>
      <c r="AD7" s="41">
        <f>IF(AB7&lt;0,"N/A",$E7/AB7)</f>
        <v>34.063096865437196</v>
      </c>
      <c r="AE7" s="41" cm="1">
        <f t="array" ref="AE7">_xll.BQL($C7, "PE_RATIO(FPT=BA, FPR=2026, FYE=C1231, AE=E)")</f>
        <v>34.159526008982901</v>
      </c>
      <c r="AF7" s="41" cm="1">
        <f t="array" ref="AF7">_xll.BQL($C7, "PE_RATIO(FPT=BA, FPR=2027, FYE=C1231, AE=E)")</f>
        <v>27.694362975718853</v>
      </c>
      <c r="AG7" s="41">
        <f t="shared" ref="AG7:AG14" si="0">$E7/AA7</f>
        <v>0.29020148639999332</v>
      </c>
      <c r="AH7" s="41" cm="1">
        <f t="array" ref="AH7">_xll.BQL($C7, "PX_TO_SALES_RATIO(FPT=BA, FPR=2026, FYE=C1231, AE=E)")</f>
        <v>0.29706215042506329</v>
      </c>
      <c r="AI7" s="41" cm="1">
        <f t="array" ref="AI7">_xll.BQL($C7, "PX_TO_SALES_RATIO(FPT=BA, FPR=2027, FYE=C1231, AE=E)")</f>
        <v>0.27930084132840494</v>
      </c>
      <c r="AJ7" s="41">
        <f t="shared" ref="AJ7:AJ14" si="1">IF(AC7&lt;0,"N/A",$X7/AC7)</f>
        <v>10.671301882211159</v>
      </c>
      <c r="AK7" s="41" t="str" cm="1">
        <f t="array" ref="AK7">IF(_xll.BQL($C7, "CURR_ENTP_VAL(FPT=A,FPO=0)/EBITDA(FPT=BA, FPR=2026, FYE=C1231, AE=E)")&lt;0,"N/A",_xll.BQL($C7, "CURR_ENTP_VAL(FPT=A,FPO=0)/EBITDA(FPT=BA, FPR=2026, FYE=C1231, AE=E)"))</f>
        <v>#N/A</v>
      </c>
      <c r="AL7" s="41" t="str" cm="1">
        <f t="array" ref="AL7">IF(_xll.BQL($C7, "CURR_ENTP_VAL(FPT=A,FPO=0)/EBITDA(FPT=BA, FPR=2027, FYE=C1231, AE=E)")&lt;0,"N/A",_xll.BQL($C7, "CURR_ENTP_VAL(FPT=A,FPO=0)/EBITDA(FPT=BA, FPR=2027, FYE=C1231, AE=E)"))</f>
        <v>#N/A</v>
      </c>
      <c r="AM7" s="41">
        <f>_xll.BDP($C7,AM$1)</f>
        <v>2.3563055873706333</v>
      </c>
      <c r="AN7" s="41" cm="1">
        <f t="array" ref="AN7">_xll.BQL($C7, "PX_TO_BOOK_RATIO(FPT=BA, FPR=2026, FYE=C1231, AE=E)")</f>
        <v>2.2737623720389801</v>
      </c>
      <c r="AO7" s="41" cm="1">
        <f t="array" ref="AO7">_xll.BQL($C7, "PX_TO_BOOK_RATIO(FPT=BA, FPR=2027, FYE=C1231, AE=E)")</f>
        <v>2.1338397518707923</v>
      </c>
      <c r="AP7" s="41">
        <f>_xll.BDP($C7,"BEST Px bps ratio","BEST fperiod override","27Y")</f>
        <v>2.2325227963525838</v>
      </c>
      <c r="AQ7" s="39">
        <f t="shared" ref="AQ7:AQ14" si="2">Z7</f>
        <v>6.561182153145384E-2</v>
      </c>
      <c r="AR7" s="39">
        <f>_xll.BDP($C7,"BEST_ROE","BEST fperiod override","26Y")/100</f>
        <v>5.5500000000000001E-2</v>
      </c>
      <c r="AS7" s="39">
        <f>_xll.BDP($C7,"BEST_ROE","BEST fperiod override","27Y")/100</f>
        <v>6.9900000000000004E-2</v>
      </c>
      <c r="AT7" s="42">
        <f>_xll.BDP($C7,AT$1)</f>
        <v>1.1232130538857332</v>
      </c>
      <c r="AU7" s="42" t="str">
        <f>_xll.BDP($C7,$AU$1,"BEST fperiod override","26Y")</f>
        <v>#N/A N/A</v>
      </c>
      <c r="AV7" s="42" t="str">
        <f>_xll.BDP($C7,$AU$1,"BEST fperiod override","27Y")</f>
        <v>#N/A N/A</v>
      </c>
      <c r="AW7" s="42">
        <f>(BP7/BN7)^(1/2)-1</f>
        <v>-4.529692978709754E-3</v>
      </c>
      <c r="AX7" s="42" t="e">
        <f>(BV7/BT7)^(1/2)-1</f>
        <v>#VALUE!</v>
      </c>
      <c r="AY7" s="42">
        <f>(CB7/BZ7)^(1/2)-1</f>
        <v>-0.19253060074300588</v>
      </c>
      <c r="AZ7" s="43" cm="1">
        <f t="array" ref="AZ7">_xll.BQL($C7, "CF_CASH_FROM_OPER(FPT=BA, FPR=2022, FYE=C1231, AE=A)", "currency=USD")/1000000000</f>
        <v>5.4043298192910712E-2</v>
      </c>
      <c r="BA7" s="43" cm="1">
        <f t="array" ref="BA7">_xll.BQL($C7, "CF_CASH_FROM_OPER(FPT=BA, FPR=2023, FYE=C1231, AE=A)", "currency=USD")/1000000000</f>
        <v>2.199961118362952E-2</v>
      </c>
      <c r="BB7" s="43" cm="1">
        <f t="array" ref="BB7">_xll.BQL($C7, "CF_CASH_FROM_OPER(FPT=BA, FPR=2024, FYE=C1231, AE=A)", "currency=USD")/1000000000</f>
        <v>-9.8155305458605523E-3</v>
      </c>
      <c r="BC7" s="43" t="e" cm="1">
        <f t="array" ref="BC7">_xll.BQL($C7, "CF_CASH_FROM_OPER(FPT=BA, FPR=2025, FYE=C1231, AE=E)", "currency=USD")/1000000000</f>
        <v>#VALUE!</v>
      </c>
      <c r="BD7" s="43" t="e" cm="1">
        <f t="array" ref="BD7">_xll.BQL($C7, "CF_CASH_FROM_OPER(FPT=BA, FPR=2026, FYE=C1231, AE=E)", "currency=USD")/1000000000</f>
        <v>#VALUE!</v>
      </c>
      <c r="BE7" s="43" t="e" cm="1">
        <f t="array" ref="BE7">_xll.BQL($C7, "CF_CASH_FROM_OPER(FPT=BA, FPR=2027, FYE=C1231, AE=E)", "currency=USD")/1000000000</f>
        <v>#VALUE!</v>
      </c>
      <c r="BF7" s="43" cm="1">
        <f t="array" ref="BF7">_xll.BQL($C7, "CF_FREE_CASH_FLOW(FPT=BA, FPR=2022, FYE=C1231, AE=A)", "currency=USD")/1000000000</f>
        <v>4.9792862185346939E-2</v>
      </c>
      <c r="BG7" s="43" cm="1">
        <f t="array" ref="BG7">_xll.BQL($C7, "CF_FREE_CASH_FLOW(FPT=BA, FPR=2023, FYE=C1231, AE=A)", "currency=USD")/1000000000</f>
        <v>6.2953555635992774E-3</v>
      </c>
      <c r="BH7" s="43" cm="1">
        <f t="array" ref="BH7">_xll.BQL($C7, "CF_FREE_CASH_FLOW(FPT=BA, FPR=2024, FYE=C1231, AE=A)", "currency=USD")/1000000000</f>
        <v>-2.2833283939933505E-2</v>
      </c>
      <c r="BI7" s="43" t="e" cm="1">
        <f t="array" ref="BI7">_xll.BQL($C7, "CF_FREE_CASH_FLOW(FPT=BA, FPR=2025, FYE=C1231, AE=E)", "currency=USD")/1000000000</f>
        <v>#VALUE!</v>
      </c>
      <c r="BJ7" s="43" t="e" cm="1">
        <f t="array" ref="BJ7">_xll.BQL($C7, "CF_FREE_CASH_FLOW(FPT=BA, FPR=2026, FYE=C1231, AE=E)", "currency=USD")/1000000000</f>
        <v>#VALUE!</v>
      </c>
      <c r="BK7" s="43" t="e" cm="1">
        <f t="array" ref="BK7">_xll.BQL($C7, "CF_FREE_CASH_FLOW(FPT=BA, FPR=2027, FYE=C1231, AE=E)", "currency=USD")/1000000000</f>
        <v>#VALUE!</v>
      </c>
      <c r="BL7" s="43" cm="1">
        <f t="array" ref="BL7">_xll.BQL($C7, "SALES_REV_TURN(FPT=BA, FPR=2022, FYE=C1231, AE=A)", "currency=USD")/1000000000</f>
        <v>1.3512944684315662</v>
      </c>
      <c r="BM7" s="43" cm="1">
        <f t="array" ref="BM7">_xll.BQL($C7, "SALES_REV_TURN(FPT=BA, FPR=2023, FYE=C1231, AE=A)", "currency=USD")/1000000000</f>
        <v>1.1990861063149494</v>
      </c>
      <c r="BN7" s="43" cm="1">
        <f t="array" ref="BN7">_xll.BQL($C7, "SALES_REV_TURN(FPT=BA, FPR=2024, FYE=C1231, AE=A)", "currency=USD")/1000000000</f>
        <v>1.4662795540906639</v>
      </c>
      <c r="BO7" s="43" cm="1">
        <f t="array" ref="BO7">_xll.BQL($C7, "SALES_REV_TURN(FPT=BA, FPR=2025, FYE=C1231, AE=E)", "currency=USD")/1000000000</f>
        <v>1.3931129405178082</v>
      </c>
      <c r="BP7" s="43" cm="1">
        <f t="array" ref="BP7">_xll.BQL($C7, "SALES_REV_TURN(FPT=BA, FPR=2026, FYE=C1231, AE=E)", "currency=USD")/1000000000</f>
        <v>1.4530260469863014</v>
      </c>
      <c r="BQ7" s="43" cm="1">
        <f t="array" ref="BQ7">_xll.BQL($C7, "SALES_REV_TURN(FPT=BA, FPR=2027, FYE=C1231, AE=E)", "currency=USD")/1000000000</f>
        <v>1.5454269313634252</v>
      </c>
      <c r="BR7" s="43" cm="1">
        <f t="array" ref="BR7">_xll.BQL($C7, "EBITDA(FPT=BA, FPR=2022, FYE=C1231, AE=A)", "currency=USD")/1000000000</f>
        <v>5.4375123455348846E-2</v>
      </c>
      <c r="BS7" s="43" cm="1">
        <f t="array" ref="BS7">_xll.BQL($C7, "EBITDA(FPT=BA, FPR=2023, FYE=C1231, AE=A)", "currency=USD")/1000000000</f>
        <v>4.9776923515937266E-2</v>
      </c>
      <c r="BT7" s="43" cm="1">
        <f t="array" ref="BT7">_xll.BQL($C7, "EBITDA(FPT=BA, FPR=2024, FYE=C1231, AE=A)", "currency=USD")/1000000000</f>
        <v>5.2570466307242179E-2</v>
      </c>
      <c r="BU7" s="43" t="e" cm="1">
        <f t="array" ref="BU7">_xll.BQL($C7, "EBITDA(FPT=BA, FPR=2025, FYE=C1231, AE=E)", "currency=USD")/1000000000</f>
        <v>#VALUE!</v>
      </c>
      <c r="BV7" s="43" t="e" cm="1">
        <f t="array" ref="BV7">_xll.BQL($C7, "EBITDA(FPT=BA, FPR=2026, FYE=C1231, AE=E)", "currency=USD")/1000000000</f>
        <v>#VALUE!</v>
      </c>
      <c r="BW7" s="43" t="e" cm="1">
        <f t="array" ref="BW7">_xll.BQL($C7, "EBITDA(FPT=BA, FPR=2027, FYE=C1231, AE=E)", "currency=USD")/1000000000</f>
        <v>#VALUE!</v>
      </c>
      <c r="BX7" s="43" cm="1">
        <f t="array" ref="BX7">_xll.BQL($C7, "NET_INCOME(FPT=BA, FPR=2022, FYE=C1231, AE=A)", "currency=USD")/1000000000</f>
        <v>3.6362787945426363E-2</v>
      </c>
      <c r="BY7" s="43" cm="1">
        <f t="array" ref="BY7">_xll.BQL($C7, "NET_INCOME(FPT=BA, FPR=2023, FYE=C1231, AE=A)", "currency=USD")/1000000000</f>
        <v>1.8778826595749025E-2</v>
      </c>
      <c r="BZ7" s="43" cm="1">
        <f t="array" ref="BZ7">_xll.BQL($C7, "NET_INCOME(FPT=BA, FPR=2024, FYE=C1231, AE=A)", "currency=USD")/1000000000</f>
        <v>1.9408023621945311E-2</v>
      </c>
      <c r="CA7" s="43" cm="1">
        <f t="array" ref="CA7">_xll.BQL($C7, "NET_INCOME(FPT=BA, FPR=2025, FYE=C1231, AE=E)", "currency=USD")/1000000000</f>
        <v>1.1725291328767123E-2</v>
      </c>
      <c r="CB7" s="43" cm="1">
        <f t="array" ref="CB7">_xll.BQL($C7, "NET_INCOME(FPT=BA, FPR=2026, FYE=C1231, AE=E)", "currency=USD")/1000000000</f>
        <v>1.2654163972602739E-2</v>
      </c>
      <c r="CC7" s="43" cm="1">
        <f t="array" ref="CC7">_xll.BQL($C7, "NET_INCOME(FPT=BA, FPR=2027, FYE=C1231, AE=E)", "currency=USD")/1000000000</f>
        <v>1.5608946860318886E-2</v>
      </c>
      <c r="CD7" s="43" cm="1">
        <f t="array" ref="CD7">-_xll.BQL($C7, "CF_DVD_PAID(FPT=BA, FPR=2024, FYE=C1231, AE=A)", "currency=USD")/1000000000</f>
        <v>7.4249515619039998E-3</v>
      </c>
      <c r="CE7" s="43" t="e" cm="1">
        <f t="array" ref="CE7">-_xll.BQL($C7, "CF_DVD_PAID(FPT=BA, FPR=2025, FYE=C1231, AE=E)", "currency=USD")/1000000000</f>
        <v>#VALUE!</v>
      </c>
      <c r="CF7" s="43" t="e" cm="1">
        <f t="array" ref="CF7">-_xll.BQL($C7, "CF_DVD_PAID(FPT=BA, FPR=2026, FYE=C1231, AE=E)", "currency=USD")/1000000000</f>
        <v>#VALUE!</v>
      </c>
      <c r="CG7" s="43" t="e" cm="1">
        <f t="array" ref="CG7">-_xll.BQL($C7, "CF_DVD_PAID(FPT=BA, FPR=2027, FYE=C1231, AE=E)", "currency=USD")/1000000000</f>
        <v>#VALUE!</v>
      </c>
      <c r="CH7" s="44">
        <f>CD7/$F7</f>
        <v>1.7292850547462183E-5</v>
      </c>
      <c r="CI7" s="44" t="e">
        <f t="shared" ref="CI7:CK14" si="3">CE7/$F7</f>
        <v>#VALUE!</v>
      </c>
      <c r="CJ7" s="44" t="e">
        <f t="shared" si="3"/>
        <v>#VALUE!</v>
      </c>
      <c r="CK7" s="44" t="e">
        <f t="shared" si="3"/>
        <v>#VALUE!</v>
      </c>
      <c r="CL7" s="41" cm="1">
        <f t="array" ref="CL7">_xll.BDP($C7,"INTERVAL_AVG", "MARKET_DATA_OVERRIDE=turnover", "CALC_INTERVAL=5D","CRNCY=HKD")/1000000</f>
        <v>7.2448675010885593</v>
      </c>
      <c r="CM7" s="41" cm="1">
        <f t="array" ref="CM7">_xll.BDP($C7,"INTERVAL_AVG", "MARKET_DATA_OVERRIDE=turnover", "CALC_INTERVAL=10D","CRNCY=HKD")/1000000</f>
        <v>4.2623237329105299</v>
      </c>
      <c r="CN7" s="41" cm="1">
        <f t="array" ref="CN7">_xll.BDP($C7,"INTERVAL_AVG", "MARKET_DATA_OVERRIDE=turnover", "CALC_INTERVAL=20D","CRNCY=HKD")/1000000</f>
        <v>3.4449756290483684</v>
      </c>
      <c r="CO7" s="41" cm="1">
        <f t="array" ref="CO7">_xll.BDP($C7,"INTERVAL_AVG", "MARKET_DATA_OVERRIDE=turnover", "CALC_INTERVAL=1m","CRNCY=HKD")/1000000</f>
        <v>3.3175718201642828</v>
      </c>
      <c r="CP7" s="41" cm="1">
        <f t="array" ref="CP7">_xll.BDP($C7,"INTERVAL_AVG", "MARKET_DATA_OVERRIDE=turnover", "CALC_INTERVAL=3M","CRNCY=HKD")/1000000</f>
        <v>10.078577978624983</v>
      </c>
      <c r="CQ7" s="41" cm="1">
        <f t="array" ref="CQ7">_xll.BDP($C7,"INTERVAL_AVG", "MARKET_DATA_OVERRIDE=turnover", "CALC_INTERVAL=6M","CRNCY=HKD")/1000000</f>
        <v>7.5417473358759395</v>
      </c>
      <c r="CR7" s="45">
        <f>_xll.BDP($C7,"chg pct 1m")/100</f>
        <v>-3.4023100000000003E-4</v>
      </c>
      <c r="CS7" s="45">
        <f>_xll.BDP($C7,"chg pct 3m")/100</f>
        <v>-3.8769819999999997E-2</v>
      </c>
      <c r="CT7" s="45">
        <f>_xll.BDP($C7,"chg pct 6m")/100</f>
        <v>-0.27884139999999996</v>
      </c>
      <c r="CU7" s="45">
        <f>_xll.BDP($C7,"chg pct 1yr")/100</f>
        <v>-0.28472310000000001</v>
      </c>
      <c r="CV7" s="45">
        <f>_xll.BDP($C7,"chg pct ytd")/100</f>
        <v>-0.21328160000000002</v>
      </c>
      <c r="CW7" s="39" cm="1">
        <f t="array" ref="CW7">_xll.BQL($C7, "volatility(calc_interval=range(-1M, 0D))")</f>
        <v>0.36384717501464547</v>
      </c>
      <c r="CX7" s="39" cm="1">
        <f t="array" ref="CX7">_xll.BQL($C7, "volatility(calc_interval=range(-3M, 0D))")</f>
        <v>0.43541756063218162</v>
      </c>
      <c r="CY7" s="39" cm="1">
        <f t="array" ref="CY7">_xll.BQL($C7, "volatility(calc_interval=range(-6M, 0D))")</f>
        <v>0.43323303973048882</v>
      </c>
      <c r="CZ7" s="46" t="str">
        <f>_xll.BDP($C7,CZ$1)</f>
        <v>PDS Limited is a consumer-driven manufacturing and sourcing company. The Company designs, produces, and markets blazers, school wear, shirts, softs, and footwear products, as well as invests in sustainability, technology, and direct to consumer digital brands. PDS serves brand agencies and retailers worldwide.</v>
      </c>
    </row>
    <row r="8" spans="1:116" s="47" customFormat="1" ht="47.25" x14ac:dyDescent="0.25">
      <c r="A8" s="35" t="str">
        <f>_xll.BDP($C8,"security name")</f>
        <v>Walmart Inc</v>
      </c>
      <c r="B8" s="35" t="str">
        <f>_xll.BDP($C8,"NAME_CHINESE_SIMPLIFIED")</f>
        <v>沃尔玛股份有限公司</v>
      </c>
      <c r="C8" s="36" t="s">
        <v>98</v>
      </c>
      <c r="D8" s="37" t="str">
        <f>_xll.BDP($C8,"LISTING_DATE")</f>
        <v>#N/A Field Not Applicable</v>
      </c>
      <c r="E8" s="37">
        <f>_xll.BDP($C8,E$1,"EQY_FUND_CRNCY="&amp;$B$1)</f>
        <v>8380084.1853408758</v>
      </c>
      <c r="F8" s="37">
        <f>_xll.BDP($C8,F$1,"EQY_FUND_CRNCY="&amp;$C$1)</f>
        <v>1069706.9271129998</v>
      </c>
      <c r="G8" s="38">
        <f>_xll.BDP($C8,G$1)</f>
        <v>134.19999999999999</v>
      </c>
      <c r="H8" s="37">
        <f>_xll.BDP($C8,H$1,"EQY_FUND_CRNCY="&amp;$B$1)</f>
        <v>829276.41800000006</v>
      </c>
      <c r="I8" s="37">
        <f>_xll.BDP($C8,I$1,"EQY_FUND_CRNCY="&amp;$C$1)</f>
        <v>106180</v>
      </c>
      <c r="J8" s="37">
        <f>_xll.BDP($C8,J$1,"EQY_FUND_CRNCY="&amp;$B$1)</f>
        <v>5560443.0399184618</v>
      </c>
      <c r="K8" s="37">
        <f>_xll.BDP($C8,K$1,"EQY_FUND_CRNCY="&amp;$C$1)</f>
        <v>713163</v>
      </c>
      <c r="L8" s="37">
        <f>_xll.BDP($C8,L$1,"EQY_FUND_CRNCY="&amp;$B$1)</f>
        <v>170696.99279538463</v>
      </c>
      <c r="M8" s="37">
        <f>_xll.BDP($C8,M$1,"EQY_FUND_CRNCY="&amp;$C$1)</f>
        <v>21893</v>
      </c>
      <c r="N8" s="39">
        <f>_xll.BDP($C8,N$1)/100</f>
        <v>0.24926699786724776</v>
      </c>
      <c r="O8" s="39">
        <f>_xll.BDP($C8,O$1)/100</f>
        <v>6.575916024807793E-2</v>
      </c>
      <c r="P8" s="39">
        <f>_xll.BDP($C8,P$1)/100</f>
        <v>3.0698451826581021E-2</v>
      </c>
      <c r="Q8" s="39">
        <f>_xll.BDP($C8,Q$1)/100</f>
        <v>4.7252142117667789E-2</v>
      </c>
      <c r="R8" s="39">
        <f>_xll.BDP($C8,R$1)/100</f>
        <v>0.12641490018522331</v>
      </c>
      <c r="S8" s="39">
        <f>_xll.BDP($C8,S$1)/100</f>
        <v>0.63189866264833305</v>
      </c>
      <c r="T8" s="39">
        <f>_xll.BDP($C8,T$1)/100</f>
        <v>0.67352961843861991</v>
      </c>
      <c r="U8" s="39">
        <f>_xll.BDP($C8,U$1)/100</f>
        <v>0.53087210397438311</v>
      </c>
      <c r="V8" s="39">
        <f>_xll.BDP($C8,V$1)/100</f>
        <v>0.23569561735073841</v>
      </c>
      <c r="W8" s="39">
        <f>_xll.BDP($C8,W$1)/100</f>
        <v>8.0268968690592496E-2</v>
      </c>
      <c r="X8" s="40" cm="1">
        <f t="array" ref="X8">_xll.BDP($C8,"CRNCY_ADJ_CURR_EV", "EQY_FUND_CRNCY=HKD")</f>
        <v>8871581.4701032396</v>
      </c>
      <c r="Y8" s="40" cm="1">
        <f t="array" ref="Y8">_xll.BDP($C8,"CRNCY_ADJ_CURR_EV", "EQY_FUND_CRNCY=USD")</f>
        <v>1132637.9271129998</v>
      </c>
      <c r="Z8" s="39">
        <f>_xll.BDP($C8,Z$1)/100</f>
        <v>0.22969102449771805</v>
      </c>
      <c r="AA8" s="40">
        <f>_xll.BDP($C8,"TRAIL_12M_NET_SALES","EQY_FUND_CRNCY=HKD")</f>
        <v>5560443.0399184618</v>
      </c>
      <c r="AB8" s="40">
        <f>_xll.BDP($C8,"TRAIL_12M_NET_INC","EQY_FUND_CRNCY=HKD")</f>
        <v>170696.99279538463</v>
      </c>
      <c r="AC8" s="40">
        <f>_xll.BDP($C8,"TRAIL_12M_EBITDA","EQY_FUND_CRNCY=HKD")</f>
        <v>362258.42412000004</v>
      </c>
      <c r="AD8" s="41">
        <f t="shared" ref="AD8:AD9" si="4">IF(AB8&lt;0,"N/A",$E8/AB8)</f>
        <v>49.093332273206045</v>
      </c>
      <c r="AE8" s="41" cm="1">
        <f t="array" ref="AE8">_xll.BQL($C8, "PE_RATIO(FPT=BA, FPR=2026, FYE=C1231, AE=E)")</f>
        <v>46.576104375821821</v>
      </c>
      <c r="AF8" s="41" cm="1">
        <f t="array" ref="AF8">_xll.BQL($C8, "PE_RATIO(FPT=BA, FPR=2027, FYE=C1231, AE=E)")</f>
        <v>40.852409661610785</v>
      </c>
      <c r="AG8" s="41">
        <f t="shared" si="0"/>
        <v>1.507089295795351</v>
      </c>
      <c r="AH8" s="41" cm="1">
        <f t="array" ref="AH8">_xll.BQL($C8, "PX_TO_SALES_RATIO(FPT=BA, FPR=2026, FYE=C1231, AE=E)")</f>
        <v>1.4334049709871868</v>
      </c>
      <c r="AI8" s="41" cm="1">
        <f t="array" ref="AI8">_xll.BQL($C8, "PX_TO_SALES_RATIO(FPT=BA, FPR=2027, FYE=C1231, AE=E)")</f>
        <v>1.3671794603197607</v>
      </c>
      <c r="AJ8" s="41">
        <f t="shared" si="1"/>
        <v>24.489648492382557</v>
      </c>
      <c r="AK8" s="41" cm="1">
        <f t="array" ref="AK8">IF(_xll.BQL($C8, "CURR_ENTP_VAL(FPT=A,FPO=0)/EBITDA(FPT=BA, FPR=2026, FYE=C1231, AE=E)")&lt;0,"N/A",_xll.BQL($C8, "CURR_ENTP_VAL(FPT=A,FPO=0)/EBITDA(FPT=BA, FPR=2026, FYE=C1231, AE=E)"))</f>
        <v>21.698404558722835</v>
      </c>
      <c r="AL8" s="41" cm="1">
        <f t="array" ref="AL8">IF(_xll.BQL($C8, "CURR_ENTP_VAL(FPT=A,FPO=0)/EBITDA(FPT=BA, FPR=2027, FYE=C1231, AE=E)")&lt;0,"N/A",_xll.BQL($C8, "CURR_ENTP_VAL(FPT=A,FPO=0)/EBITDA(FPT=BA, FPR=2027, FYE=C1231, AE=E)"))</f>
        <v>19.712839487909726</v>
      </c>
      <c r="AM8" s="41">
        <f>_xll.BDP($C8,AM$1)</f>
        <v>10.735514778406717</v>
      </c>
      <c r="AN8" s="41" cm="1">
        <f t="array" ref="AN8">_xll.BQL($C8, "PX_TO_BOOK_RATIO(FPT=BA, FPR=2026, FYE=C1231, AE=E)")</f>
        <v>9.7242298765684296</v>
      </c>
      <c r="AO8" s="41" cm="1">
        <f t="array" ref="AO8">_xll.BQL($C8, "PX_TO_BOOK_RATIO(FPT=BA, FPR=2027, FYE=C1231, AE=E)")</f>
        <v>8.8181213490270576</v>
      </c>
      <c r="AP8" s="41">
        <f>_xll.BDP($C8,"BEST Px bps ratio","BEST fperiod override","27Y")</f>
        <v>9.7232285176061435</v>
      </c>
      <c r="AQ8" s="39">
        <f t="shared" si="2"/>
        <v>0.22969102449771805</v>
      </c>
      <c r="AR8" s="39">
        <f>_xll.BDP($C8,"BEST_ROE","BEST fperiod override","26Y")/100</f>
        <v>0.21592</v>
      </c>
      <c r="AS8" s="39">
        <f>_xll.BDP($C8,"BEST_ROE","BEST fperiod override","27Y")/100</f>
        <v>0.21426999999999999</v>
      </c>
      <c r="AT8" s="42">
        <f>_xll.BDP($C8,AT$1)</f>
        <v>0.73770492513915298</v>
      </c>
      <c r="AU8" s="42">
        <f>_xll.BDP($C8,$AU$1,"BEST fperiod override","26Y")</f>
        <v>0.69523099850968717</v>
      </c>
      <c r="AV8" s="42">
        <f>_xll.BDP($C8,$AU$1,"BEST fperiod override","27Y")</f>
        <v>0.73099850968703428</v>
      </c>
      <c r="AW8" s="42">
        <f t="shared" ref="AW8:AW9" si="5">(BP8/BN8)^(1/2)-1</f>
        <v>4.8698145750562638E-2</v>
      </c>
      <c r="AX8" s="42">
        <f t="shared" ref="AX8:AX9" si="6">(BV8/BT8)^(1/2)-1</f>
        <v>7.7160566451923041E-2</v>
      </c>
      <c r="AY8" s="42">
        <f t="shared" ref="AY8:AY9" si="7">(CB8/BZ8)^(1/2)-1</f>
        <v>7.9747431728917073E-2</v>
      </c>
      <c r="AZ8" s="43" cm="1">
        <f t="array" ref="AZ8">_xll.BQL($C8, "CF_CASH_FROM_OPER(FPT=BA, FPR=2022, FYE=C1231, AE=A)", "currency=USD")/1000000000</f>
        <v>27.070967391304347</v>
      </c>
      <c r="BA8" s="43" cm="1">
        <f t="array" ref="BA8">_xll.BQL($C8, "CF_CASH_FROM_OPER(FPT=BA, FPR=2023, FYE=C1231, AE=A)", "currency=USD")/1000000000</f>
        <v>34.523402173913041</v>
      </c>
      <c r="BB8" s="43" cm="1">
        <f t="array" ref="BB8">_xll.BQL($C8, "CF_CASH_FROM_OPER(FPT=BA, FPR=2024, FYE=C1231, AE=A)", "currency=USD")/1000000000</f>
        <v>37.516880434782607</v>
      </c>
      <c r="BC8" s="43" cm="1">
        <f t="array" ref="BC8">_xll.BQL($C8, "CF_CASH_FROM_OPER(FPT=BA, FPR=2025, FYE=C1231, AE=E)", "currency=USD")/1000000000</f>
        <v>39.15621356311015</v>
      </c>
      <c r="BD8" s="43" cm="1">
        <f t="array" ref="BD8">_xll.BQL($C8, "CF_CASH_FROM_OPER(FPT=BA, FPR=2026, FYE=C1231, AE=E)", "currency=USD")/1000000000</f>
        <v>40.128463358296955</v>
      </c>
      <c r="BE8" s="43" cm="1">
        <f t="array" ref="BE8">_xll.BQL($C8, "CF_CASH_FROM_OPER(FPT=BA, FPR=2027, FYE=C1231, AE=E)", "currency=USD")/1000000000</f>
        <v>43.735808530930285</v>
      </c>
      <c r="BF8" s="43" cm="1">
        <f t="array" ref="BF8">_xll.BQL($C8, "CF_FREE_CASH_FLOW(FPT=BA, FPR=2022, FYE=C1231, AE=A)", "currency=USD")/1000000000</f>
        <v>10.307641304347825</v>
      </c>
      <c r="BG8" s="43" cm="1">
        <f t="array" ref="BG8">_xll.BQL($C8, "CF_FREE_CASH_FLOW(FPT=BA, FPR=2023, FYE=C1231, AE=A)", "currency=USD")/1000000000</f>
        <v>14.300184782608694</v>
      </c>
      <c r="BH8" s="43" cm="1">
        <f t="array" ref="BH8">_xll.BQL($C8, "CF_FREE_CASH_FLOW(FPT=BA, FPR=2024, FYE=C1231, AE=A)", "currency=USD")/1000000000</f>
        <v>14.123065217391304</v>
      </c>
      <c r="BI8" s="43" cm="1">
        <f t="array" ref="BI8">_xll.BQL($C8, "CF_FREE_CASH_FLOW(FPT=BA, FPR=2025, FYE=C1231, AE=E)", "currency=USD")/1000000000</f>
        <v>16.499710685809685</v>
      </c>
      <c r="BJ8" s="43" cm="1">
        <f t="array" ref="BJ8">_xll.BQL($C8, "CF_FREE_CASH_FLOW(FPT=BA, FPR=2026, FYE=C1231, AE=E)", "currency=USD")/1000000000</f>
        <v>14.11922566079229</v>
      </c>
      <c r="BK8" s="43" cm="1">
        <f t="array" ref="BK8">_xll.BQL($C8, "CF_FREE_CASH_FLOW(FPT=BA, FPR=2027, FYE=C1231, AE=E)", "currency=USD")/1000000000</f>
        <v>18.194062541596253</v>
      </c>
      <c r="BL8" s="43" cm="1">
        <f t="array" ref="BL8">_xll.BQL($C8, "SALES_REV_TURN(FPT=BA, FPR=2022, FYE=C1231, AE=A)", "currency=USD")/1000000000</f>
        <v>607.5228369565217</v>
      </c>
      <c r="BM8" s="43" cm="1">
        <f t="array" ref="BM8">_xll.BQL($C8, "SALES_REV_TURN(FPT=BA, FPR=2023, FYE=C1231, AE=A)", "currency=USD")/1000000000</f>
        <v>644.9778260869565</v>
      </c>
      <c r="BN8" s="43" cm="1">
        <f t="array" ref="BN8">_xll.BQL($C8, "SALES_REV_TURN(FPT=BA, FPR=2024, FYE=C1231, AE=A)", "currency=USD")/1000000000</f>
        <v>678.57036956521745</v>
      </c>
      <c r="BO8" s="43" cm="1">
        <f t="array" ref="BO8">_xll.BQL($C8, "SALES_REV_TURN(FPT=BA, FPR=2025, FYE=C1231, AE=E)", "currency=USD")/1000000000</f>
        <v>706.70367539678671</v>
      </c>
      <c r="BP8" s="43" cm="1">
        <f t="array" ref="BP8">_xll.BQL($C8, "SALES_REV_TURN(FPT=BA, FPR=2026, FYE=C1231, AE=E)", "currency=USD")/1000000000</f>
        <v>746.26984309309307</v>
      </c>
      <c r="BQ8" s="43" cm="1">
        <f t="array" ref="BQ8">_xll.BQL($C8, "SALES_REV_TURN(FPT=BA, FPR=2027, FYE=C1231, AE=E)", "currency=USD")/1000000000</f>
        <v>782.41879272914218</v>
      </c>
      <c r="BR8" s="43" cm="1">
        <f t="array" ref="BR8">_xll.BQL($C8, "EBITDA(FPT=BA, FPR=2022, FYE=C1231, AE=A)", "currency=USD")/1000000000</f>
        <v>31.447467391304347</v>
      </c>
      <c r="BS8" s="43" cm="1">
        <f t="array" ref="BS8">_xll.BQL($C8, "EBITDA(FPT=BA, FPR=2023, FYE=C1231, AE=A)", "currency=USD")/1000000000</f>
        <v>38.191423913043479</v>
      </c>
      <c r="BT8" s="43" cm="1">
        <f t="array" ref="BT8">_xll.BQL($C8, "EBITDA(FPT=BA, FPR=2024, FYE=C1231, AE=A)", "currency=USD")/1000000000</f>
        <v>42.030543478260874</v>
      </c>
      <c r="BU8" s="43" cm="1">
        <f t="array" ref="BU8">_xll.BQL($C8, "EBITDA(FPT=BA, FPR=2025, FYE=C1231, AE=E)", "currency=USD")/1000000000</f>
        <v>44.809955130606717</v>
      </c>
      <c r="BV8" s="43" cm="1">
        <f t="array" ref="BV8">_xll.BQL($C8, "EBITDA(FPT=BA, FPR=2026, FYE=C1231, AE=E)", "currency=USD")/1000000000</f>
        <v>48.766984039353879</v>
      </c>
      <c r="BW8" s="43" cm="1">
        <f t="array" ref="BW8">_xll.BQL($C8, "EBITDA(FPT=BA, FPR=2027, FYE=C1231, AE=E)", "currency=USD")/1000000000</f>
        <v>53.679012069452199</v>
      </c>
      <c r="BX8" s="43" cm="1">
        <f t="array" ref="BX8">_xll.BQL($C8, "NET_INCOME(FPT=BA, FPR=2022, FYE=C1231, AE=A)", "currency=USD")/1000000000</f>
        <v>10.765836956521738</v>
      </c>
      <c r="BY8" s="43" cm="1">
        <f t="array" ref="BY8">_xll.BQL($C8, "NET_INCOME(FPT=BA, FPR=2023, FYE=C1231, AE=A)", "currency=USD")/1000000000</f>
        <v>15.774163043478261</v>
      </c>
      <c r="BZ8" s="43" cm="1">
        <f t="array" ref="BZ8">_xll.BQL($C8, "NET_INCOME(FPT=BA, FPR=2024, FYE=C1231, AE=A)", "currency=USD")/1000000000</f>
        <v>19.516869565217391</v>
      </c>
      <c r="CA8" s="43" cm="1">
        <f t="array" ref="CA8">_xll.BQL($C8, "NET_INCOME(FPT=BA, FPR=2025, FYE=C1231, AE=E)", "currency=USD")/1000000000</f>
        <v>20.761633827842729</v>
      </c>
      <c r="CB8" s="43" cm="1">
        <f t="array" ref="CB8">_xll.BQL($C8, "NET_INCOME(FPT=BA, FPR=2026, FYE=C1231, AE=E)", "currency=USD")/1000000000</f>
        <v>22.753830527138394</v>
      </c>
      <c r="CC8" s="43" cm="1">
        <f t="array" ref="CC8">_xll.BQL($C8, "NET_INCOME(FPT=BA, FPR=2027, FYE=C1231, AE=E)", "currency=USD")/1000000000</f>
        <v>25.80093538647343</v>
      </c>
      <c r="CD8" s="43" cm="1">
        <f t="array" ref="CD8">-_xll.BQL($C8, "CF_DVD_PAID(FPT=BA, FPR=2024, FYE=C1231, AE=A)", "currency=USD")/1000000000</f>
        <v>6.6374565217391304</v>
      </c>
      <c r="CE8" s="43" cm="1">
        <f t="array" ref="CE8">-_xll.BQL($C8, "CF_DVD_PAID(FPT=BA, FPR=2025, FYE=C1231, AE=E)", "currency=USD")/1000000000</f>
        <v>7.398583996676205</v>
      </c>
      <c r="CF8" s="43" cm="1">
        <f t="array" ref="CF8">-_xll.BQL($C8, "CF_DVD_PAID(FPT=BA, FPR=2026, FYE=C1231, AE=E)", "currency=USD")/1000000000</f>
        <v>7.6709595748585739</v>
      </c>
      <c r="CG8" s="43" cm="1">
        <f t="array" ref="CG8">-_xll.BQL($C8, "CF_DVD_PAID(FPT=BA, FPR=2027, FYE=C1231, AE=E)", "currency=USD")/1000000000</f>
        <v>8.1391110313670811</v>
      </c>
      <c r="CH8" s="44">
        <f t="shared" ref="CH8:CH9" si="8">CD8/$F8</f>
        <v>6.2049299237995626E-6</v>
      </c>
      <c r="CI8" s="44">
        <f t="shared" si="3"/>
        <v>6.9164589002373041E-6</v>
      </c>
      <c r="CJ8" s="44">
        <f t="shared" si="3"/>
        <v>7.1710852574933755E-6</v>
      </c>
      <c r="CK8" s="44">
        <f t="shared" si="3"/>
        <v>7.6087298540110281E-6</v>
      </c>
      <c r="CL8" s="41" cm="1">
        <f t="array" ref="CL8">_xll.BDP($C8,"INTERVAL_AVG", "MARKET_DATA_OVERRIDE=turnover", "CALC_INTERVAL=5D","CRNCY=HKD")/1000000</f>
        <v>19123.992726929151</v>
      </c>
      <c r="CM8" s="41" cm="1">
        <f t="array" ref="CM8">_xll.BDP($C8,"INTERVAL_AVG", "MARKET_DATA_OVERRIDE=turnover", "CALC_INTERVAL=10D","CRNCY=HKD")/1000000</f>
        <v>17589.413088146284</v>
      </c>
      <c r="CN8" s="41" cm="1">
        <f t="array" ref="CN8">_xll.BDP($C8,"INTERVAL_AVG", "MARKET_DATA_OVERRIDE=turnover", "CALC_INTERVAL=20D","CRNCY=HKD")/1000000</f>
        <v>16368.911965053505</v>
      </c>
      <c r="CO8" s="41" cm="1">
        <f t="array" ref="CO8">_xll.BDP($C8,"INTERVAL_AVG", "MARKET_DATA_OVERRIDE=turnover", "CALC_INTERVAL=1m","CRNCY=HKD")/1000000</f>
        <v>16610.733457109847</v>
      </c>
      <c r="CP8" s="41" cm="1">
        <f t="array" ref="CP8">_xll.BDP($C8,"INTERVAL_AVG", "MARKET_DATA_OVERRIDE=turnover", "CALC_INTERVAL=3M","CRNCY=HKD")/1000000</f>
        <v>18447.681637282531</v>
      </c>
      <c r="CQ8" s="41" cm="1">
        <f t="array" ref="CQ8">_xll.BDP($C8,"INTERVAL_AVG", "MARKET_DATA_OVERRIDE=turnover", "CALC_INTERVAL=6M","CRNCY=HKD")/1000000</f>
        <v>23745.78858813347</v>
      </c>
      <c r="CR8" s="45">
        <f>_xll.BDP($C8,"chg pct 1m")/100</f>
        <v>4.9093200000000004E-2</v>
      </c>
      <c r="CS8" s="45">
        <f>_xll.BDP($C8,"chg pct 3m")/100</f>
        <v>9.114564E-2</v>
      </c>
      <c r="CT8" s="45">
        <f>_xll.BDP($C8,"chg pct 6m")/100</f>
        <v>0.25291760000000002</v>
      </c>
      <c r="CU8" s="45">
        <f>_xll.BDP($C8,"chg pct 1yr")/100</f>
        <v>0.37218809999999997</v>
      </c>
      <c r="CV8" s="45">
        <f>_xll.BDP($C8,"chg pct ytd")/100</f>
        <v>0.20455970000000001</v>
      </c>
      <c r="CW8" s="39" cm="1">
        <f t="array" ref="CW8">_xll.BQL($C8, "volatility(calc_interval=range(-1M, 0D))")</f>
        <v>0.20586469550991307</v>
      </c>
      <c r="CX8" s="39" cm="1">
        <f t="array" ref="CX8">_xll.BQL($C8, "volatility(calc_interval=range(-3M, 0D))")</f>
        <v>0.22858560801012487</v>
      </c>
      <c r="CY8" s="39" cm="1">
        <f t="array" ref="CY8">_xll.BQL($C8, "volatility(calc_interval=range(-6M, 0D))")</f>
        <v>0.23829710360519069</v>
      </c>
      <c r="CZ8" s="46" t="str">
        <f>_xll.BDP($C8,CZ$1)</f>
        <v>Walmart Inc. operates discount stores, supercenters, and neighborhood markets. The Company offers merchandise such as apparel, house wares, small appliances, electronics, musical instruments, books, home improvement, shoes, jewelry, toddler, games, household essentials, pets, pharmaceutical products, party supplies, and automotive tools. Walmart serves customers worldwide.</v>
      </c>
    </row>
    <row r="9" spans="1:116" s="47" customFormat="1" ht="31.5" x14ac:dyDescent="0.25">
      <c r="A9" s="35" t="str">
        <f>_xll.BDP($C9,"security name")</f>
        <v>American Eagle Outfitters Inc</v>
      </c>
      <c r="B9" s="35" t="str">
        <f>_xll.BDP($C9,"NAME_CHINESE_SIMPLIFIED")</f>
        <v>美鹰傲飞AEO有限公司</v>
      </c>
      <c r="C9" s="36" t="s">
        <v>99</v>
      </c>
      <c r="D9" s="37" t="str">
        <f>_xll.BDP($C9,"LISTING_DATE")</f>
        <v>#N/A Field Not Applicable</v>
      </c>
      <c r="E9" s="37">
        <f>_xll.BDP($C9,E$1,"EQY_FUND_CRNCY="&amp;$B$1)</f>
        <v>20157.569270046166</v>
      </c>
      <c r="F9" s="37">
        <f>_xll.BDP($C9,F$1,"EQY_FUND_CRNCY="&amp;$C$1)</f>
        <v>2573.0876927999998</v>
      </c>
      <c r="G9" s="38">
        <f>_xll.BDP($C9,G$1)</f>
        <v>15.36</v>
      </c>
      <c r="H9" s="37">
        <f>_xll.BDP($C9,H$1,"EQY_FUND_CRNCY="&amp;$B$1)</f>
        <v>13210.268683400001</v>
      </c>
      <c r="I9" s="37">
        <f>_xll.BDP($C9,I$1,"EQY_FUND_CRNCY="&amp;$C$1)</f>
        <v>1691.4340000000002</v>
      </c>
      <c r="J9" s="37">
        <f>_xll.BDP($C9,J$1,"EQY_FUND_CRNCY="&amp;$B$1)</f>
        <v>43251.107821052312</v>
      </c>
      <c r="K9" s="37">
        <f>_xll.BDP($C9,K$1,"EQY_FUND_CRNCY="&amp;$C$1)</f>
        <v>5547.2359999999999</v>
      </c>
      <c r="L9" s="37">
        <f>_xll.BDP($C9,L$1,"EQY_FUND_CRNCY="&amp;$B$1)</f>
        <v>1496.8675269646155</v>
      </c>
      <c r="M9" s="37">
        <f>_xll.BDP($C9,M$1,"EQY_FUND_CRNCY="&amp;$C$1)</f>
        <v>191.983</v>
      </c>
      <c r="N9" s="39">
        <f>_xll.BDP($C9,N$1)/100</f>
        <v>0.36510453133776893</v>
      </c>
      <c r="O9" s="39">
        <f>_xll.BDP($C9,O$1)/100</f>
        <v>0.17345971939899438</v>
      </c>
      <c r="P9" s="39">
        <f>_xll.BDP($C9,P$1)/100</f>
        <v>3.4608767321238902E-2</v>
      </c>
      <c r="Q9" s="39">
        <f>_xll.BDP($C9,Q$1)/100</f>
        <v>4.1020505748921084E-2</v>
      </c>
      <c r="R9" s="39">
        <f>_xll.BDP($C9,R$1)/100</f>
        <v>-0.41713825976076263</v>
      </c>
      <c r="S9" s="39">
        <f>_xll.BDP($C9,S$1)/100</f>
        <v>1.0052553040792604</v>
      </c>
      <c r="T9" s="39">
        <f>_xll.BDP($C9,T$1)/100</f>
        <v>1.0042347029476957</v>
      </c>
      <c r="U9" s="39">
        <f>_xll.BDP($C9,U$1)/100</f>
        <v>0.86400060540346213</v>
      </c>
      <c r="V9" s="39">
        <f>_xll.BDP($C9,V$1)/100</f>
        <v>0.42405453801799647</v>
      </c>
      <c r="W9" s="39">
        <f>_xll.BDP($C9,W$1)/100</f>
        <v>4.8972412953074793E-2</v>
      </c>
      <c r="X9" s="40" cm="1">
        <f t="array" ref="X9">_xll.BDP($C9,"CRNCY_ADJ_CURR_EV", "EQY_FUND_CRNCY=HKD")</f>
        <v>31557.8235634952</v>
      </c>
      <c r="Y9" s="40" cm="1">
        <f t="array" ref="Y9">_xll.BDP($C9,"CRNCY_ADJ_CURR_EV", "EQY_FUND_CRNCY=USD")</f>
        <v>4032.7686927999994</v>
      </c>
      <c r="Z9" s="39">
        <f>_xll.BDP($C9,Z$1)/100</f>
        <v>0.11097241542156054</v>
      </c>
      <c r="AA9" s="40">
        <f>_xll.BDP($C9,"TRAIL_12M_NET_SALES","EQY_FUND_CRNCY=HKD")</f>
        <v>43251.107821052312</v>
      </c>
      <c r="AB9" s="40">
        <f>_xll.BDP($C9,"TRAIL_12M_NET_INC","EQY_FUND_CRNCY=HKD")</f>
        <v>1496.8675269646155</v>
      </c>
      <c r="AC9" s="40">
        <f>_xll.BDP($C9,"TRAIL_12M_EBITDA","EQY_FUND_CRNCY=HKD")</f>
        <v>6710.1390966323079</v>
      </c>
      <c r="AD9" s="41">
        <f t="shared" si="4"/>
        <v>13.466501815910307</v>
      </c>
      <c r="AE9" s="41" cm="1">
        <f t="array" ref="AE9">_xll.BQL($C9, "PE_RATIO(FPT=BA, FPR=2026, FYE=C1231, AE=E)")</f>
        <v>8.8269913741503849</v>
      </c>
      <c r="AF9" s="41" cm="1">
        <f t="array" ref="AF9">_xll.BQL($C9, "PE_RATIO(FPT=BA, FPR=2027, FYE=C1231, AE=E)")</f>
        <v>7.7833708127592569</v>
      </c>
      <c r="AG9" s="41">
        <f t="shared" si="0"/>
        <v>0.46605902797788096</v>
      </c>
      <c r="AH9" s="41" cm="1">
        <f t="array" ref="AH9">_xll.BQL($C9, "PX_TO_SALES_RATIO(FPT=BA, FPR=2026, FYE=C1231, AE=E)")</f>
        <v>0.44585488254475486</v>
      </c>
      <c r="AI9" s="41" cm="1">
        <f t="array" ref="AI9">_xll.BQL($C9, "PX_TO_SALES_RATIO(FPT=BA, FPR=2027, FYE=C1231, AE=E)")</f>
        <v>0.43027256869314134</v>
      </c>
      <c r="AJ9" s="41">
        <f t="shared" si="1"/>
        <v>4.7030058705241258</v>
      </c>
      <c r="AK9" s="41" cm="1">
        <f t="array" ref="AK9">IF(_xll.BQL($C9, "CURR_ENTP_VAL(FPT=A,FPO=0)/EBITDA(FPT=BA, FPR=2026, FYE=C1231, AE=E)")&lt;0,"N/A",_xll.BQL($C9, "CURR_ENTP_VAL(FPT=A,FPO=0)/EBITDA(FPT=BA, FPR=2026, FYE=C1231, AE=E)"))</f>
        <v>8.3320804700763951</v>
      </c>
      <c r="AL9" s="41" cm="1">
        <f t="array" ref="AL9">IF(_xll.BQL($C9, "CURR_ENTP_VAL(FPT=A,FPO=0)/EBITDA(FPT=BA, FPR=2027, FYE=C1231, AE=E)")&lt;0,"N/A",_xll.BQL($C9, "CURR_ENTP_VAL(FPT=A,FPO=0)/EBITDA(FPT=BA, FPR=2027, FYE=C1231, AE=E)"))</f>
        <v>7.6098393331341008</v>
      </c>
      <c r="AM9" s="41">
        <f>_xll.BDP($C9,AM$1)</f>
        <v>1.5327586000750517</v>
      </c>
      <c r="AN9" s="41" cm="1">
        <f t="array" ref="AN9">_xll.BQL($C9, "PX_TO_BOOK_RATIO(FPT=BA, FPR=2026, FYE=C1231, AE=E)")</f>
        <v>1.259735760430321</v>
      </c>
      <c r="AO9" s="41" cm="1">
        <f t="array" ref="AO9">_xll.BQL($C9, "PX_TO_BOOK_RATIO(FPT=BA, FPR=2027, FYE=C1231, AE=E)")</f>
        <v>1.1445369018973501</v>
      </c>
      <c r="AP9" s="41">
        <f>_xll.BDP($C9,"BEST Px bps ratio","BEST fperiod override","27Y")</f>
        <v>1.2687923343796463</v>
      </c>
      <c r="AQ9" s="39">
        <f t="shared" si="2"/>
        <v>0.11097241542156054</v>
      </c>
      <c r="AR9" s="39">
        <f>_xll.BDP($C9,"BEST_ROE","BEST fperiod override","26Y")/100</f>
        <v>0.13893</v>
      </c>
      <c r="AS9" s="39">
        <f>_xll.BDP($C9,"BEST_ROE","BEST fperiod override","27Y")/100</f>
        <v>0.17071999999999998</v>
      </c>
      <c r="AT9" s="42">
        <f>_xll.BDP($C9,AT$1)</f>
        <v>3.2552083333333335</v>
      </c>
      <c r="AU9" s="42">
        <f>_xll.BDP($C9,$AU$1,"BEST fperiod override","26Y")</f>
        <v>3.2747395833333335</v>
      </c>
      <c r="AV9" s="42">
        <f>_xll.BDP($C9,$AU$1,"BEST fperiod override","27Y")</f>
        <v>3.2356770833333335</v>
      </c>
      <c r="AW9" s="42">
        <f t="shared" si="5"/>
        <v>3.8917206511914992E-2</v>
      </c>
      <c r="AX9" s="42">
        <f t="shared" si="6"/>
        <v>2.4437769690176525E-2</v>
      </c>
      <c r="AY9" s="42">
        <f t="shared" si="7"/>
        <v>1.5840871604921869E-2</v>
      </c>
      <c r="AZ9" s="43" cm="1">
        <f t="array" ref="AZ9">_xll.BQL($C9, "CF_CASH_FROM_OPER(FPT=BA, FPR=2022, FYE=C1231, AE=A)", "currency=USD")/1000000000</f>
        <v>0.30877057142857145</v>
      </c>
      <c r="BA9" s="43" cm="1">
        <f t="array" ref="BA9">_xll.BQL($C9, "CF_CASH_FROM_OPER(FPT=BA, FPR=2023, FYE=C1231, AE=A)", "currency=USD")/1000000000</f>
        <v>0.62958048822605972</v>
      </c>
      <c r="BB9" s="43" cm="1">
        <f t="array" ref="BB9">_xll.BQL($C9, "CF_CASH_FROM_OPER(FPT=BA, FPR=2024, FYE=C1231, AE=A)", "currency=USD")/1000000000</f>
        <v>0.44467309419152279</v>
      </c>
      <c r="BC9" s="43" cm="1">
        <f t="array" ref="BC9">_xll.BQL($C9, "CF_CASH_FROM_OPER(FPT=BA, FPR=2025, FYE=C1231, AE=E)", "currency=USD")/1000000000</f>
        <v>0.88413334484535433</v>
      </c>
      <c r="BD9" s="43" cm="1">
        <f t="array" ref="BD9">_xll.BQL($C9, "CF_CASH_FROM_OPER(FPT=BA, FPR=2026, FYE=C1231, AE=E)", "currency=USD")/1000000000</f>
        <v>0.60041393283369093</v>
      </c>
      <c r="BE9" s="43" cm="1">
        <f t="array" ref="BE9">_xll.BQL($C9, "CF_CASH_FROM_OPER(FPT=BA, FPR=2027, FYE=C1231, AE=E)", "currency=USD")/1000000000</f>
        <v>0.60689928375148661</v>
      </c>
      <c r="BF9" s="43" cm="1">
        <f t="array" ref="BF9">_xll.BQL($C9, "CF_FREE_CASH_FLOW(FPT=BA, FPR=2022, FYE=C1231, AE=A)", "currency=USD")/1000000000</f>
        <v>3.8662615384615379E-2</v>
      </c>
      <c r="BG9" s="43" cm="1">
        <f t="array" ref="BG9">_xll.BQL($C9, "CF_FREE_CASH_FLOW(FPT=BA, FPR=2023, FYE=C1231, AE=A)", "currency=USD")/1000000000</f>
        <v>0.45008166405023553</v>
      </c>
      <c r="BH9" s="43" cm="1">
        <f t="array" ref="BH9">_xll.BQL($C9, "CF_FREE_CASH_FLOW(FPT=BA, FPR=2024, FYE=C1231, AE=A)", "currency=USD")/1000000000</f>
        <v>0.23123480847723707</v>
      </c>
      <c r="BI9" s="43" cm="1">
        <f t="array" ref="BI9">_xll.BQL($C9, "CF_FREE_CASH_FLOW(FPT=BA, FPR=2025, FYE=C1231, AE=E)", "currency=USD")/1000000000</f>
        <v>0.49798701584321742</v>
      </c>
      <c r="BJ9" s="43" cm="1">
        <f t="array" ref="BJ9">_xll.BQL($C9, "CF_FREE_CASH_FLOW(FPT=BA, FPR=2026, FYE=C1231, AE=E)", "currency=USD")/1000000000</f>
        <v>0.35781942500433089</v>
      </c>
      <c r="BK9" s="43" cm="1">
        <f t="array" ref="BK9">_xll.BQL($C9, "CF_FREE_CASH_FLOW(FPT=BA, FPR=2027, FYE=C1231, AE=E)", "currency=USD")/1000000000</f>
        <v>0.32122046542811528</v>
      </c>
      <c r="BL9" s="43" cm="1">
        <f t="array" ref="BL9">_xll.BQL($C9, "SALES_REV_TURN(FPT=BA, FPR=2022, FYE=C1231, AE=A)", "currency=USD")/1000000000</f>
        <v>5.0100485824175829</v>
      </c>
      <c r="BM9" s="43" cm="1">
        <f t="array" ref="BM9">_xll.BQL($C9, "SALES_REV_TURN(FPT=BA, FPR=2023, FYE=C1231, AE=A)", "currency=USD")/1000000000</f>
        <v>5.1396257896389326</v>
      </c>
      <c r="BN9" s="43" cm="1">
        <f t="array" ref="BN9">_xll.BQL($C9, "SALES_REV_TURN(FPT=BA, FPR=2024, FYE=C1231, AE=A)", "currency=USD")/1000000000</f>
        <v>5.346864430141288</v>
      </c>
      <c r="BO9" s="43" cm="1">
        <f t="array" ref="BO9">_xll.BQL($C9, "SALES_REV_TURN(FPT=BA, FPR=2025, FYE=C1231, AE=E)", "currency=USD")/1000000000</f>
        <v>5.3619101121101131</v>
      </c>
      <c r="BP9" s="43" cm="1">
        <f t="array" ref="BP9">_xll.BQL($C9, "SALES_REV_TURN(FPT=BA, FPR=2026, FYE=C1231, AE=E)", "currency=USD")/1000000000</f>
        <v>5.7711325725556497</v>
      </c>
      <c r="BQ9" s="43" cm="1">
        <f t="array" ref="BQ9">_xll.BQL($C9, "SALES_REV_TURN(FPT=BA, FPR=2027, FYE=C1231, AE=E)", "currency=USD")/1000000000</f>
        <v>5.980134041782394</v>
      </c>
      <c r="BR9" s="43" cm="1">
        <f t="array" ref="BR9">_xll.BQL($C9, "EBITDA(FPT=BA, FPR=2022, FYE=C1231, AE=A)", "currency=USD")/1000000000</f>
        <v>0.45867070329670329</v>
      </c>
      <c r="BS9" s="43" cm="1">
        <f t="array" ref="BS9">_xll.BQL($C9, "EBITDA(FPT=BA, FPR=2023, FYE=C1231, AE=A)", "currency=USD")/1000000000</f>
        <v>0.47541237205651493</v>
      </c>
      <c r="BT9" s="43" cm="1">
        <f t="array" ref="BT9">_xll.BQL($C9, "EBITDA(FPT=BA, FPR=2024, FYE=C1231, AE=A)", "currency=USD")/1000000000</f>
        <v>0.60213290266875985</v>
      </c>
      <c r="BU9" s="43" cm="1">
        <f t="array" ref="BU9">_xll.BQL($C9, "EBITDA(FPT=BA, FPR=2025, FYE=C1231, AE=E)", "currency=USD")/1000000000</f>
        <v>0.45868699633699639</v>
      </c>
      <c r="BV9" s="43" cm="1">
        <f t="array" ref="BV9">_xll.BQL($C9, "EBITDA(FPT=BA, FPR=2026, FYE=C1231, AE=E)", "currency=USD")/1000000000</f>
        <v>0.63192206959706954</v>
      </c>
      <c r="BW9" s="43" cm="1">
        <f t="array" ref="BW9">_xll.BQL($C9, "EBITDA(FPT=BA, FPR=2027, FYE=C1231, AE=E)", "currency=USD")/1000000000</f>
        <v>0.69189706959706931</v>
      </c>
      <c r="BX9" s="43" cm="1">
        <f t="array" ref="BX9">_xll.BQL($C9, "NET_INCOME(FPT=BA, FPR=2022, FYE=C1231, AE=A)", "currency=USD")/1000000000</f>
        <v>0.12441023076923077</v>
      </c>
      <c r="BY9" s="43" cm="1">
        <f t="array" ref="BY9">_xll.BQL($C9, "NET_INCOME(FPT=BA, FPR=2023, FYE=C1231, AE=A)", "currency=USD")/1000000000</f>
        <v>0.18464496546310832</v>
      </c>
      <c r="BZ9" s="43" cm="1">
        <f t="array" ref="BZ9">_xll.BQL($C9, "NET_INCOME(FPT=BA, FPR=2024, FYE=C1231, AE=A)", "currency=USD")/1000000000</f>
        <v>0.29487916640502354</v>
      </c>
      <c r="CA9" s="43" cm="1">
        <f t="array" ref="CA9">_xll.BQL($C9, "NET_INCOME(FPT=BA, FPR=2025, FYE=C1231, AE=E)", "currency=USD")/1000000000</f>
        <v>0.20500813186813188</v>
      </c>
      <c r="CB9" s="43" cm="1">
        <f t="array" ref="CB9">_xll.BQL($C9, "NET_INCOME(FPT=BA, FPR=2026, FYE=C1231, AE=E)", "currency=USD")/1000000000</f>
        <v>0.30429544740973313</v>
      </c>
      <c r="CC9" s="43" cm="1">
        <f t="array" ref="CC9">_xll.BQL($C9, "NET_INCOME(FPT=BA, FPR=2027, FYE=C1231, AE=E)", "currency=USD")/1000000000</f>
        <v>0.35161114599686027</v>
      </c>
      <c r="CD9" s="43" cm="1">
        <f t="array" ref="CD9">-_xll.BQL($C9, "CF_DVD_PAID(FPT=BA, FPR=2024, FYE=C1231, AE=A)", "currency=USD")/1000000000</f>
        <v>9.6647050235478801E-2</v>
      </c>
      <c r="CE9" s="43" cm="1">
        <f t="array" ref="CE9">-_xll.BQL($C9, "CF_DVD_PAID(FPT=BA, FPR=2025, FYE=C1231, AE=E)", "currency=USD")/1000000000</f>
        <v>9.0614800897440714E-2</v>
      </c>
      <c r="CF9" s="43" cm="1">
        <f t="array" ref="CF9">-_xll.BQL($C9, "CF_DVD_PAID(FPT=BA, FPR=2026, FYE=C1231, AE=E)", "currency=USD")/1000000000</f>
        <v>8.8729528800366317E-2</v>
      </c>
      <c r="CG9" s="43" cm="1">
        <f t="array" ref="CG9">-_xll.BQL($C9, "CF_DVD_PAID(FPT=BA, FPR=2027, FYE=C1231, AE=E)", "currency=USD")/1000000000</f>
        <v>9.3559921817765568E-2</v>
      </c>
      <c r="CH9" s="44">
        <f t="shared" si="8"/>
        <v>3.7560729277092287E-5</v>
      </c>
      <c r="CI9" s="44">
        <f t="shared" si="3"/>
        <v>3.5216367149475145E-5</v>
      </c>
      <c r="CJ9" s="44">
        <f t="shared" si="3"/>
        <v>3.4483678519254829E-5</v>
      </c>
      <c r="CK9" s="44">
        <f t="shared" si="3"/>
        <v>3.6360953448871732E-5</v>
      </c>
      <c r="CL9" s="41" cm="1">
        <f t="array" ref="CL9">_xll.BDP($C9,"INTERVAL_AVG", "MARKET_DATA_OVERRIDE=turnover", "CALC_INTERVAL=5D","CRNCY=HKD")/1000000</f>
        <v>554.6798305828404</v>
      </c>
      <c r="CM9" s="41" cm="1">
        <f t="array" ref="CM9">_xll.BDP($C9,"INTERVAL_AVG", "MARKET_DATA_OVERRIDE=turnover", "CALC_INTERVAL=10D","CRNCY=HKD")/1000000</f>
        <v>543.59402436892901</v>
      </c>
      <c r="CN9" s="41" cm="1">
        <f t="array" ref="CN9">_xll.BDP($C9,"INTERVAL_AVG", "MARKET_DATA_OVERRIDE=turnover", "CALC_INTERVAL=20D","CRNCY=HKD")/1000000</f>
        <v>540.687251639019</v>
      </c>
      <c r="CO9" s="41" cm="1">
        <f t="array" ref="CO9">_xll.BDP($C9,"INTERVAL_AVG", "MARKET_DATA_OVERRIDE=turnover", "CALC_INTERVAL=1m","CRNCY=HKD")/1000000</f>
        <v>563.99768178215265</v>
      </c>
      <c r="CP9" s="41" cm="1">
        <f t="array" ref="CP9">_xll.BDP($C9,"INTERVAL_AVG", "MARKET_DATA_OVERRIDE=turnover", "CALC_INTERVAL=3M","CRNCY=HKD")/1000000</f>
        <v>780.81676237908653</v>
      </c>
      <c r="CQ9" s="41" cm="1">
        <f t="array" ref="CQ9">_xll.BDP($C9,"INTERVAL_AVG", "MARKET_DATA_OVERRIDE=turnover", "CALC_INTERVAL=6M","CRNCY=HKD")/1000000</f>
        <v>1081.936716104133</v>
      </c>
      <c r="CR9" s="45">
        <f>_xll.BDP($C9,"chg pct 1m")/100</f>
        <v>-0.22736419999999999</v>
      </c>
      <c r="CS9" s="45">
        <f>_xll.BDP($C9,"chg pct 3m")/100</f>
        <v>-0.39192399999999999</v>
      </c>
      <c r="CT9" s="45">
        <f>_xll.BDP($C9,"chg pct 6m")/100</f>
        <v>-0.12428739999999999</v>
      </c>
      <c r="CU9" s="45">
        <f>_xll.BDP($C9,"chg pct 1yr")/100</f>
        <v>0.33914559999999999</v>
      </c>
      <c r="CV9" s="45">
        <f>_xll.BDP($C9,"chg pct ytd")/100</f>
        <v>-0.4175199</v>
      </c>
      <c r="CW9" s="39" cm="1">
        <f t="array" ref="CW9">_xll.BQL($C9, "volatility(calc_interval=range(-1M, 0D))")</f>
        <v>0.37298253319275859</v>
      </c>
      <c r="CX9" s="39" cm="1">
        <f t="array" ref="CX9">_xll.BQL($C9, "volatility(calc_interval=range(-3M, 0D))")</f>
        <v>0.53793434103625726</v>
      </c>
      <c r="CY9" s="39" cm="1">
        <f t="array" ref="CY9">_xll.BQL($C9, "volatility(calc_interval=range(-6M, 0D))")</f>
        <v>0.54402539551794327</v>
      </c>
      <c r="CZ9" s="46" t="str">
        <f>_xll.BDP($C9,CZ$1)</f>
        <v>American Eagle Outfitters, Inc. retails men's and women's casual apparel, footwear, outerwear, and accessories. The Company provides products include jeans, khakis, t-shirts, and other similar apparel. American Eagle serves customers in the United States.</v>
      </c>
    </row>
    <row r="10" spans="1:116" s="47" customFormat="1" ht="31.5" x14ac:dyDescent="0.25">
      <c r="A10" s="35" t="str">
        <f>_xll.BDP($C10,"security name")</f>
        <v>Costco Wholesale Corp</v>
      </c>
      <c r="B10" s="35" t="str">
        <f>_xll.BDP($C10,"NAME_CHINESE_SIMPLIFIED")</f>
        <v>开市客公司</v>
      </c>
      <c r="C10" s="36" t="s">
        <v>100</v>
      </c>
      <c r="D10" s="37" t="str">
        <f>_xll.BDP($C10,"LISTING_DATE")</f>
        <v>12/5/1985</v>
      </c>
      <c r="E10" s="37">
        <f>_xll.BDP($C10,E$1,"EQY_FUND_CRNCY="&amp;$B$1)</f>
        <v>3803390.1915941071</v>
      </c>
      <c r="F10" s="37">
        <f>_xll.BDP($C10,F$1,"EQY_FUND_CRNCY="&amp;$C$1)</f>
        <v>485497.8475728</v>
      </c>
      <c r="G10" s="38">
        <f>_xll.BDP($C10,G$1)</f>
        <v>1094.32</v>
      </c>
      <c r="H10" s="37">
        <f>_xll.BDP($C10,H$1,"EQY_FUND_CRNCY="&amp;$B$1)</f>
        <v>227315.88160000002</v>
      </c>
      <c r="I10" s="37">
        <f>_xll.BDP($C10,I$1,"EQY_FUND_CRNCY="&amp;$C$1)</f>
        <v>29164</v>
      </c>
      <c r="J10" s="37">
        <f>_xll.BDP($C10,J$1,"EQY_FUND_CRNCY="&amp;$B$1)</f>
        <v>2145593.807342303</v>
      </c>
      <c r="K10" s="37">
        <f>_xll.BDP($C10,K$1,"EQY_FUND_CRNCY="&amp;$C$1)</f>
        <v>275235</v>
      </c>
      <c r="L10" s="37">
        <f>_xll.BDP($C10,L$1,"EQY_FUND_CRNCY="&amp;$B$1)</f>
        <v>63135.73580999986</v>
      </c>
      <c r="M10" s="37">
        <f>_xll.BDP($C10,M$1,"EQY_FUND_CRNCY="&amp;$C$1)</f>
        <v>8099</v>
      </c>
      <c r="N10" s="39">
        <f>_xll.BDP($C10,N$1)/100</f>
        <v>0.12843206714262356</v>
      </c>
      <c r="O10" s="39">
        <f>_xll.BDP($C10,O$1)/100</f>
        <v>4.7097934492342904E-2</v>
      </c>
      <c r="P10" s="39">
        <f>_xll.BDP($C10,P$1)/100</f>
        <v>2.9425763438516175E-2</v>
      </c>
      <c r="Q10" s="39">
        <f>_xll.BDP($C10,Q$1)/100</f>
        <v>8.1673236314761477E-2</v>
      </c>
      <c r="R10" s="39">
        <f>_xll.BDP($C10,R$1)/100</f>
        <v>9.9362019818107772E-2</v>
      </c>
      <c r="S10" s="39">
        <f>_xll.BDP($C10,S$1)/100</f>
        <v>0.29262103963790975</v>
      </c>
      <c r="T10" s="39">
        <f>_xll.BDP($C10,T$1)/100</f>
        <v>0.29262103963790975</v>
      </c>
      <c r="U10" s="39">
        <f>_xll.BDP($C10,U$1)/100</f>
        <v>-0.23144973254697571</v>
      </c>
      <c r="V10" s="39">
        <f>_xll.BDP($C10,V$1)/100</f>
        <v>0.11068885458955367</v>
      </c>
      <c r="W10" s="39">
        <f>_xll.BDP($C10,W$1)/100</f>
        <v>0.10899957287569408</v>
      </c>
      <c r="X10" s="40" cm="1">
        <f t="array" ref="X10">_xll.BDP($C10,"CRNCY_ADJ_CURR_EV", "EQY_FUND_CRNCY=HKD")</f>
        <v>3724627.817885315</v>
      </c>
      <c r="Y10" s="40" cm="1">
        <f t="array" ref="Y10">_xll.BDP($C10,"CRNCY_ADJ_CURR_EV", "EQY_FUND_CRNCY=USD")</f>
        <v>475422.8475728</v>
      </c>
      <c r="Z10" s="39">
        <f>_xll.BDP($C10,Z$1)/100</f>
        <v>0.29651082130965595</v>
      </c>
      <c r="AA10" s="40">
        <f>_xll.BDP($C10,"TRAIL_12M_NET_SALES","EQY_FUND_CRNCY=HKD")</f>
        <v>2232256.1545307706</v>
      </c>
      <c r="AB10" s="40">
        <f>_xll.BDP($C10,"TRAIL_12M_NET_INC","EQY_FUND_CRNCY=HKD")</f>
        <v>66663.957749230802</v>
      </c>
      <c r="AC10" s="40">
        <f>_xll.BDP($C10,"TRAIL_12M_EBITDA","EQY_FUND_CRNCY=HKD")</f>
        <v>104959.27843076929</v>
      </c>
      <c r="AD10" s="41">
        <f>IF(AB10&lt;0,"N/A",$E10/AB10)</f>
        <v>57.053171158863464</v>
      </c>
      <c r="AE10" s="41" cm="1">
        <f t="array" ref="AE10">_xll.BQL($C10, "PE_RATIO(FPT=BA, FPR=2026, FYE=C1231, AE=E)")</f>
        <v>51.687613270342972</v>
      </c>
      <c r="AF10" s="41" cm="1">
        <f t="array" ref="AF10">_xll.BQL($C10, "PE_RATIO(FPT=BA, FPR=2027, FYE=C1231, AE=E)")</f>
        <v>46.888178326196233</v>
      </c>
      <c r="AG10" s="41">
        <f t="shared" si="0"/>
        <v>1.7038323240253739</v>
      </c>
      <c r="AH10" s="41" cm="1">
        <f t="array" ref="AH10">_xll.BQL($C10, "PX_TO_SALES_RATIO(FPT=BA, FPR=2026, FYE=C1231, AE=E)")</f>
        <v>1.5700454419001995</v>
      </c>
      <c r="AI10" s="41" cm="1">
        <f t="array" ref="AI10">_xll.BQL($C10, "PX_TO_SALES_RATIO(FPT=BA, FPR=2027, FYE=C1231, AE=E)")</f>
        <v>1.4522641263458116</v>
      </c>
      <c r="AJ10" s="41">
        <f t="shared" si="1"/>
        <v>35.486408382104727</v>
      </c>
      <c r="AK10" s="41" cm="1">
        <f t="array" ref="AK10">IF(_xll.BQL($C10, "CURR_ENTP_VAL(FPT=A,FPO=0)/EBITDA(FPT=BA, FPR=2026, FYE=C1231, AE=E)")&lt;0,"N/A",_xll.BQL($C10, "CURR_ENTP_VAL(FPT=A,FPO=0)/EBITDA(FPT=BA, FPR=2026, FYE=C1231, AE=E)"))</f>
        <v>27.964893474505772</v>
      </c>
      <c r="AL10" s="41" cm="1">
        <f t="array" ref="AL10">IF(_xll.BQL($C10, "CURR_ENTP_VAL(FPT=A,FPO=0)/EBITDA(FPT=BA, FPR=2027, FYE=C1231, AE=E)")&lt;0,"N/A",_xll.BQL($C10, "CURR_ENTP_VAL(FPT=A,FPO=0)/EBITDA(FPT=BA, FPR=2027, FYE=C1231, AE=E)"))</f>
        <v>25.553506221143373</v>
      </c>
      <c r="AM10" s="41">
        <f>_xll.BDP($C10,AM$1)</f>
        <v>15.132016256081489</v>
      </c>
      <c r="AN10" s="41" cm="1">
        <f t="array" ref="AN10">_xll.BQL($C10, "PX_TO_BOOK_RATIO(FPT=BA, FPR=2026, FYE=C1231, AE=E)")</f>
        <v>12.56262673797127</v>
      </c>
      <c r="AO10" s="41" cm="1">
        <f t="array" ref="AO10">_xll.BQL($C10, "PX_TO_BOOK_RATIO(FPT=BA, FPR=2027, FYE=C1231, AE=E)")</f>
        <v>10.905652858050765</v>
      </c>
      <c r="AP10" s="41">
        <f>_xll.BDP($C10,"BEST Px bps ratio","BEST fperiod override","27Y")</f>
        <v>11.562120299639712</v>
      </c>
      <c r="AQ10" s="39">
        <f t="shared" si="2"/>
        <v>0.29651082130965595</v>
      </c>
      <c r="AR10" s="39">
        <f>_xll.BDP($C10,"BEST_ROE","BEST fperiod override","26Y")/100</f>
        <v>0.28724</v>
      </c>
      <c r="AS10" s="39">
        <f>_xll.BDP($C10,"BEST_ROE","BEST fperiod override","27Y")/100</f>
        <v>0.26458999999999999</v>
      </c>
      <c r="AT10" s="42">
        <f>_xll.BDP($C10,AT$1)</f>
        <v>0.53711384570225973</v>
      </c>
      <c r="AU10" s="42">
        <f>_xll.BDP($C10,$AU$1,"BEST fperiod override","26Y")</f>
        <v>0.49382264785437535</v>
      </c>
      <c r="AV10" s="42">
        <f>_xll.BDP($C10,$AU$1,"BEST fperiod override","27Y")</f>
        <v>0.53530959865487249</v>
      </c>
      <c r="AW10" s="42">
        <f>(BP10/BN10)^(1/2)-1</f>
        <v>8.5310884518697838E-2</v>
      </c>
      <c r="AX10" s="42">
        <f>(BV10/BT10)^(1/2)-1</f>
        <v>0.10881618327596621</v>
      </c>
      <c r="AY10" s="42">
        <f>(CB10/BZ10)^(1/2)-1</f>
        <v>0.11049496666962733</v>
      </c>
      <c r="AZ10" s="43" cm="1">
        <f t="array" ref="AZ10">_xll.BQL($C10, "CF_CASH_FROM_OPER(FPT=BA, FPR=2022, FYE=C1231, AE=A)", "currency=USD")/1000000000</f>
        <v>8.1110476190476195</v>
      </c>
      <c r="BA10" s="43" cm="1">
        <f t="array" ref="BA10">_xll.BQL($C10, "CF_CASH_FROM_OPER(FPT=BA, FPR=2023, FYE=C1231, AE=A)", "currency=USD")/1000000000</f>
        <v>11.855583333333332</v>
      </c>
      <c r="BB10" s="43" cm="1">
        <f t="array" ref="BB10">_xll.BQL($C10, "CF_CASH_FROM_OPER(FPT=BA, FPR=2024, FYE=C1231, AE=A)", "currency=USD")/1000000000</f>
        <v>10.853845238095237</v>
      </c>
      <c r="BC10" s="43" cm="1">
        <f t="array" ref="BC10">_xll.BQL($C10, "CF_CASH_FROM_OPER(FPT=BA, FPR=2025, FYE=C1231, AE=E)", "currency=USD")/1000000000</f>
        <v>12.77640091532143</v>
      </c>
      <c r="BD10" s="43" cm="1">
        <f t="array" ref="BD10">_xll.BQL($C10, "CF_CASH_FROM_OPER(FPT=BA, FPR=2026, FYE=C1231, AE=E)", "currency=USD")/1000000000</f>
        <v>14.729237920110714</v>
      </c>
      <c r="BE10" s="43" cm="1">
        <f t="array" ref="BE10">_xll.BQL($C10, "CF_CASH_FROM_OPER(FPT=BA, FPR=2027, FYE=C1231, AE=E)", "currency=USD")/1000000000</f>
        <v>15.30255319650357</v>
      </c>
      <c r="BF10" s="43" cm="1">
        <f t="array" ref="BF10">_xll.BQL($C10, "CF_FREE_CASH_FLOW(FPT=BA, FPR=2022, FYE=C1231, AE=A)", "currency=USD")/1000000000</f>
        <v>4.1279285714285709</v>
      </c>
      <c r="BG10" s="43" cm="1">
        <f t="array" ref="BG10">_xll.BQL($C10, "CF_FREE_CASH_FLOW(FPT=BA, FPR=2023, FYE=C1231, AE=A)", "currency=USD")/1000000000</f>
        <v>7.5544047619047623</v>
      </c>
      <c r="BH10" s="43" cm="1">
        <f t="array" ref="BH10">_xll.BQL($C10, "CF_FREE_CASH_FLOW(FPT=BA, FPR=2024, FYE=C1231, AE=A)", "currency=USD")/1000000000</f>
        <v>5.8486071428571433</v>
      </c>
      <c r="BI10" s="43" cm="1">
        <f t="array" ref="BI10">_xll.BQL($C10, "CF_FREE_CASH_FLOW(FPT=BA, FPR=2025, FYE=C1231, AE=E)", "currency=USD")/1000000000</f>
        <v>6.8187958147063981</v>
      </c>
      <c r="BJ10" s="43" cm="1">
        <f t="array" ref="BJ10">_xll.BQL($C10, "CF_FREE_CASH_FLOW(FPT=BA, FPR=2026, FYE=C1231, AE=E)", "currency=USD")/1000000000</f>
        <v>7.5226846793997026</v>
      </c>
      <c r="BK10" s="43" cm="1">
        <f t="array" ref="BK10">_xll.BQL($C10, "CF_FREE_CASH_FLOW(FPT=BA, FPR=2027, FYE=C1231, AE=E)", "currency=USD")/1000000000</f>
        <v>8.8964660771914641</v>
      </c>
      <c r="BL10" s="43" cm="1">
        <f t="array" ref="BL10">_xll.BQL($C10, "SALES_REV_TURN(FPT=BA, FPR=2022, FYE=C1231, AE=A)", "currency=USD")/1000000000</f>
        <v>233.28688095238093</v>
      </c>
      <c r="BM10" s="43" cm="1">
        <f t="array" ref="BM10">_xll.BQL($C10, "SALES_REV_TURN(FPT=BA, FPR=2023, FYE=C1231, AE=A)", "currency=USD")/1000000000</f>
        <v>243.02776190476189</v>
      </c>
      <c r="BN10" s="43" cm="1">
        <f t="array" ref="BN10">_xll.BQL($C10, "SALES_REV_TURN(FPT=BA, FPR=2024, FYE=C1231, AE=A)", "currency=USD")/1000000000</f>
        <v>262.52263095238095</v>
      </c>
      <c r="BO10" s="43" cm="1">
        <f t="array" ref="BO10">_xll.BQL($C10, "SALES_REV_TURN(FPT=BA, FPR=2025, FYE=C1231, AE=E)", "currency=USD")/1000000000</f>
        <v>282.94783894492662</v>
      </c>
      <c r="BP10" s="43" cm="1">
        <f t="array" ref="BP10">_xll.BQL($C10, "SALES_REV_TURN(FPT=BA, FPR=2026, FYE=C1231, AE=E)", "currency=USD")/1000000000</f>
        <v>309.22533245675766</v>
      </c>
      <c r="BQ10" s="43" cm="1">
        <f t="array" ref="BQ10">_xll.BQL($C10, "SALES_REV_TURN(FPT=BA, FPR=2027, FYE=C1231, AE=E)", "currency=USD")/1000000000</f>
        <v>334.30408073593077</v>
      </c>
      <c r="BR10" s="43" cm="1">
        <f t="array" ref="BR10">_xll.BQL($C10, "EBITDA(FPT=BA, FPR=2022, FYE=C1231, AE=A)", "currency=USD")/1000000000</f>
        <v>9.8537738095238101</v>
      </c>
      <c r="BS10" s="43" cm="1">
        <f t="array" ref="BS10">_xll.BQL($C10, "EBITDA(FPT=BA, FPR=2023, FYE=C1231, AE=A)", "currency=USD")/1000000000</f>
        <v>10.393083333333333</v>
      </c>
      <c r="BT10" s="43" cm="1">
        <f t="array" ref="BT10">_xll.BQL($C10, "EBITDA(FPT=BA, FPR=2024, FYE=C1231, AE=A)", "currency=USD")/1000000000</f>
        <v>11.970952380952379</v>
      </c>
      <c r="BU10" s="43" cm="1">
        <f t="array" ref="BU10">_xll.BQL($C10, "EBITDA(FPT=BA, FPR=2025, FYE=C1231, AE=E)", "currency=USD")/1000000000</f>
        <v>13.175989605959337</v>
      </c>
      <c r="BV10" s="43" cm="1">
        <f t="array" ref="BV10">_xll.BQL($C10, "EBITDA(FPT=BA, FPR=2026, FYE=C1231, AE=E)", "currency=USD")/1000000000</f>
        <v>14.71796666666666</v>
      </c>
      <c r="BW10" s="43" cm="1">
        <f t="array" ref="BW10">_xll.BQL($C10, "EBITDA(FPT=BA, FPR=2027, FYE=C1231, AE=E)", "currency=USD")/1000000000</f>
        <v>16.106845238095229</v>
      </c>
      <c r="BX10" s="43" cm="1">
        <f t="array" ref="BX10">_xll.BQL($C10, "NET_INCOME(FPT=BA, FPR=2022, FYE=C1231, AE=A)", "currency=USD")/1000000000</f>
        <v>5.9809761904761904</v>
      </c>
      <c r="BY10" s="43" cm="1">
        <f t="array" ref="BY10">_xll.BQL($C10, "NET_INCOME(FPT=BA, FPR=2023, FYE=C1231, AE=A)", "currency=USD")/1000000000</f>
        <v>6.5277023809523813</v>
      </c>
      <c r="BZ10" s="43" cm="1">
        <f t="array" ref="BZ10">_xll.BQL($C10, "NET_INCOME(FPT=BA, FPR=2024, FYE=C1231, AE=A)", "currency=USD")/1000000000</f>
        <v>7.6373214285714282</v>
      </c>
      <c r="CA10" s="43" cm="1">
        <f t="array" ref="CA10">_xll.BQL($C10, "NET_INCOME(FPT=BA, FPR=2025, FYE=C1231, AE=E)", "currency=USD")/1000000000</f>
        <v>8.3099475210467322</v>
      </c>
      <c r="CB10" s="43" cm="1">
        <f t="array" ref="CB10">_xll.BQL($C10, "NET_INCOME(FPT=BA, FPR=2026, FYE=C1231, AE=E)", "currency=USD")/1000000000</f>
        <v>9.4183376906318088</v>
      </c>
      <c r="CC10" s="43" cm="1">
        <f t="array" ref="CC10">_xll.BQL($C10, "NET_INCOME(FPT=BA, FPR=2027, FYE=C1231, AE=E)", "currency=USD")/1000000000</f>
        <v>10.381944775132274</v>
      </c>
      <c r="CD10" s="43" cm="1">
        <f t="array" ref="CD10">-_xll.BQL($C10, "CF_DVD_PAID(FPT=BA, FPR=2024, FYE=C1231, AE=A)", "currency=USD")/1000000000</f>
        <v>5.6897500000000001</v>
      </c>
      <c r="CE10" s="43" cm="1">
        <f t="array" ref="CE10">-_xll.BQL($C10, "CF_DVD_PAID(FPT=BA, FPR=2025, FYE=C1231, AE=E)", "currency=USD")/1000000000</f>
        <v>2.3518354214965695</v>
      </c>
      <c r="CF10" s="43" cm="1">
        <f t="array" ref="CF10">-_xll.BQL($C10, "CF_DVD_PAID(FPT=BA, FPR=2026, FYE=C1231, AE=E)", "currency=USD")/1000000000</f>
        <v>4.3629675912349537</v>
      </c>
      <c r="CG10" s="43" cm="1">
        <f t="array" ref="CG10">-_xll.BQL($C10, "CF_DVD_PAID(FPT=BA, FPR=2027, FYE=C1231, AE=E)", "currency=USD")/1000000000</f>
        <v>3.064297471930884</v>
      </c>
      <c r="CH10" s="44">
        <f>CD10/$F10</f>
        <v>1.1719413440132352E-5</v>
      </c>
      <c r="CI10" s="44">
        <f t="shared" si="3"/>
        <v>4.8441727048932253E-6</v>
      </c>
      <c r="CJ10" s="44">
        <f t="shared" si="3"/>
        <v>8.9865848284337242E-6</v>
      </c>
      <c r="CK10" s="44">
        <f t="shared" si="3"/>
        <v>6.3116602622453339E-6</v>
      </c>
      <c r="CL10" s="41" cm="1">
        <f t="array" ref="CL10">_xll.BDP($C10,"INTERVAL_AVG", "MARKET_DATA_OVERRIDE=turnover", "CALC_INTERVAL=5D","CRNCY=HKD")/1000000</f>
        <v>18203.07478846809</v>
      </c>
      <c r="CM10" s="41" cm="1">
        <f t="array" ref="CM10">_xll.BDP($C10,"INTERVAL_AVG", "MARKET_DATA_OVERRIDE=turnover", "CALC_INTERVAL=10D","CRNCY=HKD")/1000000</f>
        <v>16602.223006074706</v>
      </c>
      <c r="CN10" s="41" cm="1">
        <f t="array" ref="CN10">_xll.BDP($C10,"INTERVAL_AVG", "MARKET_DATA_OVERRIDE=turnover", "CALC_INTERVAL=20D","CRNCY=HKD")/1000000</f>
        <v>15043.903718730122</v>
      </c>
      <c r="CO10" s="41" cm="1">
        <f t="array" ref="CO10">_xll.BDP($C10,"INTERVAL_AVG", "MARKET_DATA_OVERRIDE=turnover", "CALC_INTERVAL=1m","CRNCY=HKD")/1000000</f>
        <v>14440.370437612379</v>
      </c>
      <c r="CP10" s="41" cm="1">
        <f t="array" ref="CP10">_xll.BDP($C10,"INTERVAL_AVG", "MARKET_DATA_OVERRIDE=turnover", "CALC_INTERVAL=3M","CRNCY=HKD")/1000000</f>
        <v>14496.743935273751</v>
      </c>
      <c r="CQ10" s="41" cm="1">
        <f t="array" ref="CQ10">_xll.BDP($C10,"INTERVAL_AVG", "MARKET_DATA_OVERRIDE=turnover", "CALC_INTERVAL=6M","CRNCY=HKD")/1000000</f>
        <v>16842.298414881727</v>
      </c>
      <c r="CR10" s="45">
        <f>_xll.BDP($C10,"chg pct 1m")/100</f>
        <v>9.6688819999999995E-2</v>
      </c>
      <c r="CS10" s="45">
        <f>_xll.BDP($C10,"chg pct 3m")/100</f>
        <v>0.11068030000000001</v>
      </c>
      <c r="CT10" s="45">
        <f>_xll.BDP($C10,"chg pct 6m")/100</f>
        <v>0.22504449999999998</v>
      </c>
      <c r="CU10" s="45">
        <f>_xll.BDP($C10,"chg pct 1yr")/100</f>
        <v>5.5458090000000002E-2</v>
      </c>
      <c r="CV10" s="45">
        <f>_xll.BDP($C10,"chg pct ytd")/100</f>
        <v>0.26901219999999998</v>
      </c>
      <c r="CW10" s="39" cm="1">
        <f t="array" ref="CW10">_xll.BQL($C10, "volatility(calc_interval=range(-1M, 0D))")</f>
        <v>0.18496034818183529</v>
      </c>
      <c r="CX10" s="39" cm="1">
        <f t="array" ref="CX10">_xll.BQL($C10, "volatility(calc_interval=range(-3M, 0D))")</f>
        <v>0.18377652678835038</v>
      </c>
      <c r="CY10" s="39" cm="1">
        <f t="array" ref="CY10">_xll.BQL($C10, "volatility(calc_interval=range(-6M, 0D))")</f>
        <v>0.19526560327313178</v>
      </c>
      <c r="CZ10" s="46" t="str">
        <f>_xll.BDP($C10,CZ$1)</f>
        <v>Costco Wholesale Corporation is a membership warehouse club The Company sells all kinds of food, automotive supplies, toys, hardware, sporting goods, jewelry, electronics, apparel, health, and beauty aids, as well as other goods. Costco Wholesale serves customers worldwide.</v>
      </c>
    </row>
    <row r="11" spans="1:116" s="47" customFormat="1" ht="31.5" x14ac:dyDescent="0.25">
      <c r="A11" s="35" t="str">
        <f>_xll.BDP($C11,"security name")</f>
        <v>Associated British Foods PLC</v>
      </c>
      <c r="B11" s="35" t="str">
        <f>_xll.BDP($C11,"NAME_CHINESE_SIMPLIFIED")</f>
        <v>英国联合食品公共有限公司</v>
      </c>
      <c r="C11" s="36" t="s">
        <v>101</v>
      </c>
      <c r="D11" s="37" t="str">
        <f>_xll.BDP($C11,"LISTING_DATE")</f>
        <v>#N/A Field Not Applicable</v>
      </c>
      <c r="E11" s="37">
        <f>_xll.BDP($C11,E$1,"EQY_FUND_CRNCY="&amp;$B$1)</f>
        <v>135311.19630839847</v>
      </c>
      <c r="F11" s="37">
        <f>_xll.BDP($C11,F$1,"EQY_FUND_CRNCY="&amp;$C$1)</f>
        <v>17272.299514632276</v>
      </c>
      <c r="G11" s="38">
        <f>_xll.BDP($C11,G$1)</f>
        <v>1833</v>
      </c>
      <c r="H11" s="37">
        <f>_xll.BDP($C11,H$1,"EQY_FUND_CRNCY="&amp;$B$1)</f>
        <v>118036.02326880001</v>
      </c>
      <c r="I11" s="37">
        <f>_xll.BDP($C11,I$1,"EQY_FUND_CRNCY="&amp;$C$1)</f>
        <v>15168.216</v>
      </c>
      <c r="J11" s="37">
        <f>_xll.BDP($C11,J$1,"EQY_FUND_CRNCY="&amp;$B$1)</f>
        <v>198050.84302384619</v>
      </c>
      <c r="K11" s="37">
        <f>_xll.BDP($C11,K$1,"EQY_FUND_CRNCY="&amp;$C$1)</f>
        <v>25404.338206923068</v>
      </c>
      <c r="L11" s="37">
        <f>_xll.BDP($C11,L$1,"EQY_FUND_CRNCY="&amp;$B$1)</f>
        <v>10432.299403846155</v>
      </c>
      <c r="M11" s="37">
        <f>_xll.BDP($C11,M$1,"EQY_FUND_CRNCY="&amp;$C$1)</f>
        <v>1338.1698269230765</v>
      </c>
      <c r="N11" s="39">
        <f>_xll.BDP($C11,N$1)/100</f>
        <v>0.23922092604964285</v>
      </c>
      <c r="O11" s="39">
        <f>_xll.BDP($C11,O$1)/100</f>
        <v>0.13253507374479676</v>
      </c>
      <c r="P11" s="39">
        <f>_xll.BDP($C11,P$1)/100</f>
        <v>5.2674854822961095E-2</v>
      </c>
      <c r="Q11" s="39">
        <f>_xll.BDP($C11,Q$1)/100</f>
        <v>-2.7195920611908213E-2</v>
      </c>
      <c r="R11" s="39">
        <f>_xll.BDP($C11,R$1)/100</f>
        <v>-0.29553264604810997</v>
      </c>
      <c r="S11" s="39">
        <f>_xll.BDP($C11,S$1)/100</f>
        <v>0.32951904165921692</v>
      </c>
      <c r="T11" s="39">
        <f>_xll.BDP($C11,T$1)/100</f>
        <v>0.33330319197034092</v>
      </c>
      <c r="U11" s="39">
        <f>_xll.BDP($C11,U$1)/100</f>
        <v>0.23502592526372251</v>
      </c>
      <c r="V11" s="39">
        <f>_xll.BDP($C11,V$1)/100</f>
        <v>0.19107355761754186</v>
      </c>
      <c r="W11" s="39">
        <f>_xll.BDP($C11,W$1)/100</f>
        <v>4.9596700514239471E-2</v>
      </c>
      <c r="X11" s="40" cm="1">
        <f t="array" ref="X11">_xll.BDP($C11,"CRNCY_ADJ_CURR_EV", "EQY_FUND_CRNCY=HKD")</f>
        <v>168838.27876835858</v>
      </c>
      <c r="Y11" s="40" cm="1">
        <f t="array" ref="Y11">_xll.BDP($C11,"CRNCY_ADJ_CURR_EV", "EQY_FUND_CRNCY=USD")</f>
        <v>21558.664839783669</v>
      </c>
      <c r="Z11" s="39">
        <f>_xll.BDP($C11,Z$1)/100</f>
        <v>8.4613671788020484E-2</v>
      </c>
      <c r="AA11" s="40">
        <f>_xll.BDP($C11,"TRAIL_12M_NET_SALES","EQY_FUND_CRNCY=HKD")</f>
        <v>202525.2046153846</v>
      </c>
      <c r="AB11" s="40">
        <f>_xll.BDP($C11,"TRAIL_12M_NET_INC","EQY_FUND_CRNCY=HKD")</f>
        <v>9907.2576923076922</v>
      </c>
      <c r="AC11" s="40">
        <f>_xll.BDP($C11,"TRAIL_12M_EBITDA","EQY_FUND_CRNCY=HKD")</f>
        <v>24622.142538461536</v>
      </c>
      <c r="AD11" s="41">
        <f t="shared" ref="AD11:AD14" si="9">IF(AB11&lt;0,"N/A",$E11/AB11)</f>
        <v>13.65778508148207</v>
      </c>
      <c r="AE11" s="41" cm="1">
        <f t="array" ref="AE11">_xll.BQL($C11, "PE_RATIO(FPT=BA, FPR=2026, FYE=C1231, AE=E)")</f>
        <v>11.274659748918472</v>
      </c>
      <c r="AF11" s="41" cm="1">
        <f t="array" ref="AF11">_xll.BQL($C11, "PE_RATIO(FPT=BA, FPR=2027, FYE=C1231, AE=E)")</f>
        <v>10.646149380396279</v>
      </c>
      <c r="AG11" s="41">
        <f t="shared" si="0"/>
        <v>0.66812027947517849</v>
      </c>
      <c r="AH11" s="41" cm="1">
        <f t="array" ref="AH11">_xll.BQL($C11, "PX_TO_SALES_RATIO(FPT=BA, FPR=2026, FYE=C1231, AE=E)")</f>
        <v>0.6820085542437857</v>
      </c>
      <c r="AI11" s="41" cm="1">
        <f t="array" ref="AI11">_xll.BQL($C11, "PX_TO_SALES_RATIO(FPT=BA, FPR=2027, FYE=C1231, AE=E)")</f>
        <v>0.64486100444100425</v>
      </c>
      <c r="AJ11" s="41">
        <f t="shared" si="1"/>
        <v>6.8571725025399877</v>
      </c>
      <c r="AK11" s="41" cm="1">
        <f t="array" ref="AK11">IF(_xll.BQL($C11, "CURR_ENTP_VAL(FPT=A,FPO=0)/EBITDA(FPT=BA, FPR=2026, FYE=C1231, AE=E)")&lt;0,"N/A",_xll.BQL($C11, "CURR_ENTP_VAL(FPT=A,FPO=0)/EBITDA(FPT=BA, FPR=2026, FYE=C1231, AE=E)"))</f>
        <v>7.2901670277806199</v>
      </c>
      <c r="AL11" s="41" cm="1">
        <f t="array" ref="AL11">IF(_xll.BQL($C11, "CURR_ENTP_VAL(FPT=A,FPO=0)/EBITDA(FPT=BA, FPR=2027, FYE=C1231, AE=E)")&lt;0,"N/A",_xll.BQL($C11, "CURR_ENTP_VAL(FPT=A,FPO=0)/EBITDA(FPT=BA, FPR=2027, FYE=C1231, AE=E)"))</f>
        <v>6.9691059195078138</v>
      </c>
      <c r="AM11" s="41">
        <f>_xll.BDP($C11,AM$1)</f>
        <v>1.1298632841178011</v>
      </c>
      <c r="AN11" s="41" cm="1">
        <f t="array" ref="AN11">_xll.BQL($C11, "PX_TO_BOOK_RATIO(FPT=BA, FPR=2026, FYE=C1231, AE=E)")</f>
        <v>1.119219858286759</v>
      </c>
      <c r="AO11" s="41" cm="1">
        <f t="array" ref="AO11">_xll.BQL($C11, "PX_TO_BOOK_RATIO(FPT=BA, FPR=2027, FYE=C1231, AE=E)")</f>
        <v>1.0494898551767797</v>
      </c>
      <c r="AP11" s="41">
        <f>_xll.BDP($C11,"BEST Px bps ratio","BEST fperiod override","27Y")</f>
        <v>1.0751994368840918</v>
      </c>
      <c r="AQ11" s="39">
        <f t="shared" si="2"/>
        <v>8.4613671788020484E-2</v>
      </c>
      <c r="AR11" s="39">
        <f>_xll.BDP($C11,"BEST_ROE","BEST fperiod override","26Y")/100</f>
        <v>9.8140000000000005E-2</v>
      </c>
      <c r="AS11" s="39">
        <f>_xll.BDP($C11,"BEST_ROE","BEST fperiod override","27Y")/100</f>
        <v>0.10043000000000001</v>
      </c>
      <c r="AT11" s="42">
        <f>_xll.BDP($C11,AT$1)</f>
        <v>3.4369885433715219</v>
      </c>
      <c r="AU11" s="42">
        <f>_xll.BDP($C11,$AU$1,"BEST fperiod override","26Y")</f>
        <v>3.2460447354064379</v>
      </c>
      <c r="AV11" s="42">
        <f>_xll.BDP($C11,$AU$1,"BEST fperiod override","27Y")</f>
        <v>3.3715220949263505</v>
      </c>
      <c r="AW11" s="42">
        <f t="shared" ref="AW11:AW14" si="10">(BP11/BN11)^(1/2)-1</f>
        <v>2.3239674312065528E-3</v>
      </c>
      <c r="AX11" s="42">
        <f t="shared" ref="AX11:AX14" si="11">(BV11/BT11)^(1/2)-1</f>
        <v>8.7649320633582661E-3</v>
      </c>
      <c r="AY11" s="42">
        <f t="shared" ref="AY11:AY14" si="12">(CB11/BZ11)^(1/2)-1</f>
        <v>-0.10748367937964942</v>
      </c>
      <c r="AZ11" s="43" cm="1">
        <f t="array" ref="AZ11">_xll.BQL($C11, "CF_CASH_FROM_OPER(FPT=BA, FPR=2022, FYE=C1231, AE=A)", "currency=USD")/1000000000</f>
        <v>1.1691067398969777</v>
      </c>
      <c r="BA11" s="43" cm="1">
        <f t="array" ref="BA11">_xll.BQL($C11, "CF_CASH_FROM_OPER(FPT=BA, FPR=2023, FYE=C1231, AE=A)", "currency=USD")/1000000000</f>
        <v>2.935792309362935</v>
      </c>
      <c r="BB11" s="43" cm="1">
        <f t="array" ref="BB11">_xll.BQL($C11, "CF_CASH_FROM_OPER(FPT=BA, FPR=2024, FYE=C1231, AE=A)", "currency=USD")/1000000000</f>
        <v>3.3824466107918263</v>
      </c>
      <c r="BC11" s="43" cm="1">
        <f t="array" ref="BC11">_xll.BQL($C11, "CF_CASH_FROM_OPER(FPT=BA, FPR=2025, FYE=C1231, AE=E)", "currency=USD")/1000000000</f>
        <v>2.3953423857395788</v>
      </c>
      <c r="BD11" s="43" cm="1">
        <f t="array" ref="BD11">_xll.BQL($C11, "CF_CASH_FROM_OPER(FPT=BA, FPR=2026, FYE=C1231, AE=E)", "currency=USD")/1000000000</f>
        <v>1.9686017077040372</v>
      </c>
      <c r="BE11" s="43" cm="1">
        <f t="array" ref="BE11">_xll.BQL($C11, "CF_CASH_FROM_OPER(FPT=BA, FPR=2027, FYE=C1231, AE=E)", "currency=USD")/1000000000</f>
        <v>2.0516050833024742</v>
      </c>
      <c r="BF11" s="43" cm="1">
        <f t="array" ref="BF11">_xll.BQL($C11, "CF_FREE_CASH_FLOW(FPT=BA, FPR=2022, FYE=C1231, AE=A)", "currency=USD")/1000000000</f>
        <v>0.21227288250686807</v>
      </c>
      <c r="BG11" s="43" cm="1">
        <f t="array" ref="BG11">_xll.BQL($C11, "CF_FREE_CASH_FLOW(FPT=BA, FPR=2023, FYE=C1231, AE=A)", "currency=USD")/1000000000</f>
        <v>1.6210349548400449</v>
      </c>
      <c r="BH11" s="43" cm="1">
        <f t="array" ref="BH11">_xll.BQL($C11, "CF_FREE_CASH_FLOW(FPT=BA, FPR=2024, FYE=C1231, AE=A)", "currency=USD")/1000000000</f>
        <v>1.9691316122650975</v>
      </c>
      <c r="BI11" s="43" cm="1">
        <f t="array" ref="BI11">_xll.BQL($C11, "CF_FREE_CASH_FLOW(FPT=BA, FPR=2025, FYE=C1231, AE=E)", "currency=USD")/1000000000</f>
        <v>0.91571911775604398</v>
      </c>
      <c r="BJ11" s="43" cm="1">
        <f t="array" ref="BJ11">_xll.BQL($C11, "CF_FREE_CASH_FLOW(FPT=BA, FPR=2026, FYE=C1231, AE=E)", "currency=USD")/1000000000</f>
        <v>0.94270928425426737</v>
      </c>
      <c r="BK11" s="43" cm="1">
        <f t="array" ref="BK11">_xll.BQL($C11, "CF_FREE_CASH_FLOW(FPT=BA, FPR=2027, FYE=C1231, AE=E)", "currency=USD")/1000000000</f>
        <v>0.92799303836477987</v>
      </c>
      <c r="BL11" s="43" cm="1">
        <f t="array" ref="BL11">_xll.BQL($C11, "SALES_REV_TURN(FPT=BA, FPR=2022, FYE=C1231, AE=A)", "currency=USD")/1000000000</f>
        <v>21.937977659230761</v>
      </c>
      <c r="BM11" s="43" cm="1">
        <f t="array" ref="BM11">_xll.BQL($C11, "SALES_REV_TURN(FPT=BA, FPR=2023, FYE=C1231, AE=A)", "currency=USD")/1000000000</f>
        <v>24.950845464699402</v>
      </c>
      <c r="BN11" s="43" cm="1">
        <f t="array" ref="BN11">_xll.BQL($C11, "SALES_REV_TURN(FPT=BA, FPR=2024, FYE=C1231, AE=A)", "currency=USD")/1000000000</f>
        <v>25.454993010381319</v>
      </c>
      <c r="BO11" s="43" cm="1">
        <f t="array" ref="BO11">_xll.BQL($C11, "SALES_REV_TURN(FPT=BA, FPR=2025, FYE=C1231, AE=E)", "currency=USD")/1000000000</f>
        <v>26.137290987996622</v>
      </c>
      <c r="BP11" s="43" cm="1">
        <f t="array" ref="BP11">_xll.BQL($C11, "SALES_REV_TURN(FPT=BA, FPR=2026, FYE=C1231, AE=E)", "currency=USD")/1000000000</f>
        <v>25.573443637769742</v>
      </c>
      <c r="BQ11" s="43" cm="1">
        <f t="array" ref="BQ11">_xll.BQL($C11, "SALES_REV_TURN(FPT=BA, FPR=2027, FYE=C1231, AE=E)", "currency=USD")/1000000000</f>
        <v>27.046615010546688</v>
      </c>
      <c r="BR11" s="43" cm="1">
        <f t="array" ref="BR11">_xll.BQL($C11, "EBITDA(FPT=BA, FPR=2022, FYE=C1231, AE=A)", "currency=USD")/1000000000</f>
        <v>2.3553044384752742</v>
      </c>
      <c r="BS11" s="43" cm="1">
        <f t="array" ref="BS11">_xll.BQL($C11, "EBITDA(FPT=BA, FPR=2023, FYE=C1231, AE=A)", "currency=USD")/1000000000</f>
        <v>2.9400949455322682</v>
      </c>
      <c r="BT11" s="43" cm="1">
        <f t="array" ref="BT11">_xll.BQL($C11, "EBITDA(FPT=BA, FPR=2024, FYE=C1231, AE=A)", "currency=USD")/1000000000</f>
        <v>3.3878779446633831</v>
      </c>
      <c r="BU11" s="43" cm="1">
        <f t="array" ref="BU11">_xll.BQL($C11, "EBITDA(FPT=BA, FPR=2025, FYE=C1231, AE=E)", "currency=USD")/1000000000</f>
        <v>3.5387547337278171</v>
      </c>
      <c r="BV11" s="43" cm="1">
        <f t="array" ref="BV11">_xll.BQL($C11, "EBITDA(FPT=BA, FPR=2026, FYE=C1231, AE=E)", "currency=USD")/1000000000</f>
        <v>3.4475272551618961</v>
      </c>
      <c r="BW11" s="43" cm="1">
        <f t="array" ref="BW11">_xll.BQL($C11, "EBITDA(FPT=BA, FPR=2027, FYE=C1231, AE=E)", "currency=USD")/1000000000</f>
        <v>3.606352064847262</v>
      </c>
      <c r="BX11" s="43" cm="1">
        <f t="array" ref="BX11">_xll.BQL($C11, "NET_INCOME(FPT=BA, FPR=2022, FYE=C1231, AE=A)", "currency=USD")/1000000000</f>
        <v>0.89085900379807648</v>
      </c>
      <c r="BY11" s="43" cm="1">
        <f t="array" ref="BY11">_xll.BQL($C11, "NET_INCOME(FPT=BA, FPR=2023, FYE=C1231, AE=A)", "currency=USD")/1000000000</f>
        <v>1.419310667746829</v>
      </c>
      <c r="BZ11" s="43" cm="1">
        <f t="array" ref="BZ11">_xll.BQL($C11, "NET_INCOME(FPT=BA, FPR=2024, FYE=C1231, AE=A)", "currency=USD")/1000000000</f>
        <v>1.7471448044198141</v>
      </c>
      <c r="CA11" s="43" cm="1">
        <f t="array" ref="CA11">_xll.BQL($C11, "NET_INCOME(FPT=BA, FPR=2025, FYE=C1231, AE=E)", "currency=USD")/1000000000</f>
        <v>1.5377899438644689</v>
      </c>
      <c r="CB11" s="43" cm="1">
        <f t="array" ref="CB11">_xll.BQL($C11, "NET_INCOME(FPT=BA, FPR=2026, FYE=C1231, AE=E)", "currency=USD")/1000000000</f>
        <v>1.3917500124403899</v>
      </c>
      <c r="CC11" s="43" cm="1">
        <f t="array" ref="CC11">_xll.BQL($C11, "NET_INCOME(FPT=BA, FPR=2027, FYE=C1231, AE=E)", "currency=USD")/1000000000</f>
        <v>1.4961077611859841</v>
      </c>
      <c r="CD11" s="43" cm="1">
        <f t="array" ref="CD11">-_xll.BQL($C11, "CF_DVD_PAID(FPT=BA, FPR=2024, FYE=C1231, AE=A)", "currency=USD")/1000000000</f>
        <v>0.77610423333333334</v>
      </c>
      <c r="CE11" s="43" cm="1">
        <f t="array" ref="CE11">-_xll.BQL($C11, "CF_DVD_PAID(FPT=BA, FPR=2025, FYE=C1231, AE=E)", "currency=USD")/1000000000</f>
        <v>0.49583444796958115</v>
      </c>
      <c r="CF11" s="43" cm="1">
        <f t="array" ref="CF11">-_xll.BQL($C11, "CF_DVD_PAID(FPT=BA, FPR=2026, FYE=C1231, AE=E)", "currency=USD")/1000000000</f>
        <v>0.55177702616167912</v>
      </c>
      <c r="CG11" s="43" cm="1">
        <f t="array" ref="CG11">-_xll.BQL($C11, "CF_DVD_PAID(FPT=BA, FPR=2027, FYE=C1231, AE=E)", "currency=USD")/1000000000</f>
        <v>0.47900223425027483</v>
      </c>
      <c r="CH11" s="44">
        <f t="shared" ref="CH11:CH14" si="13">CD11/$F11</f>
        <v>4.4933463125500723E-5</v>
      </c>
      <c r="CI11" s="44">
        <f t="shared" si="3"/>
        <v>2.8706915807564223E-5</v>
      </c>
      <c r="CJ11" s="44">
        <f t="shared" si="3"/>
        <v>3.194577686047186E-5</v>
      </c>
      <c r="CK11" s="44">
        <f t="shared" si="3"/>
        <v>2.7732395089865525E-5</v>
      </c>
      <c r="CL11" s="41" cm="1">
        <f t="array" ref="CL11">_xll.BDP($C11,"INTERVAL_AVG", "MARKET_DATA_OVERRIDE=turnover", "CALC_INTERVAL=5D","CRNCY=HKD")/1000000</f>
        <v>129.29820265016164</v>
      </c>
      <c r="CM11" s="41" cm="1">
        <f t="array" ref="CM11">_xll.BDP($C11,"INTERVAL_AVG", "MARKET_DATA_OVERRIDE=turnover", "CALC_INTERVAL=10D","CRNCY=HKD")/1000000</f>
        <v>135.8617277206815</v>
      </c>
      <c r="CN11" s="41" cm="1">
        <f t="array" ref="CN11">_xll.BDP($C11,"INTERVAL_AVG", "MARKET_DATA_OVERRIDE=turnover", "CALC_INTERVAL=20D","CRNCY=HKD")/1000000</f>
        <v>149.59611564624336</v>
      </c>
      <c r="CO11" s="41" cm="1">
        <f t="array" ref="CO11">_xll.BDP($C11,"INTERVAL_AVG", "MARKET_DATA_OVERRIDE=turnover", "CALC_INTERVAL=1m","CRNCY=HKD")/1000000</f>
        <v>163.17554024451138</v>
      </c>
      <c r="CP11" s="41" cm="1">
        <f t="array" ref="CP11">_xll.BDP($C11,"INTERVAL_AVG", "MARKET_DATA_OVERRIDE=turnover", "CALC_INTERVAL=3M","CRNCY=HKD")/1000000</f>
        <v>160.58720074141482</v>
      </c>
      <c r="CQ11" s="41" cm="1">
        <f t="array" ref="CQ11">_xll.BDP($C11,"INTERVAL_AVG", "MARKET_DATA_OVERRIDE=turnover", "CALC_INTERVAL=6M","CRNCY=HKD")/1000000</f>
        <v>154.51915294171889</v>
      </c>
      <c r="CR11" s="45">
        <f>_xll.BDP($C11,"chg pct 1m")/100</f>
        <v>-2.7586210000000003E-2</v>
      </c>
      <c r="CS11" s="45">
        <f>_xll.BDP($C11,"chg pct 3m")/100</f>
        <v>-6.1684159999999995E-2</v>
      </c>
      <c r="CT11" s="45">
        <f>_xll.BDP($C11,"chg pct 6m")/100</f>
        <v>-0.12672700000000001</v>
      </c>
      <c r="CU11" s="45">
        <f>_xll.BDP($C11,"chg pct 1yr")/100</f>
        <v>-0.1390324</v>
      </c>
      <c r="CV11" s="45">
        <f>_xll.BDP($C11,"chg pct ytd")/100</f>
        <v>-0.13822279999999998</v>
      </c>
      <c r="CW11" s="39" cm="1">
        <f t="array" ref="CW11">_xll.BQL($C11, "volatility(calc_interval=range(-1M, 0D))")</f>
        <v>0.21825152881108781</v>
      </c>
      <c r="CX11" s="39" cm="1">
        <f t="array" ref="CX11">_xll.BQL($C11, "volatility(calc_interval=range(-3M, 0D))")</f>
        <v>0.21275674971744929</v>
      </c>
      <c r="CY11" s="39" cm="1">
        <f t="array" ref="CY11">_xll.BQL($C11, "volatility(calc_interval=range(-6M, 0D))")</f>
        <v>0.2706093987392667</v>
      </c>
      <c r="CZ11" s="46" t="str">
        <f>_xll.BDP($C11,CZ$1)</f>
        <v>Associated British Foods PLC operates as a group company. The Company, through its subsidiaries, offers groceries, clothing, and household products, as well as produces sugar and baker's yeast ingredients including emulsifiers, enzymes, and lactose. Associated British Foods serves customers worldwide.</v>
      </c>
    </row>
    <row r="12" spans="1:116" s="47" customFormat="1" ht="31.5" x14ac:dyDescent="0.25">
      <c r="A12" s="35" t="str">
        <f>_xll.BDP($C12,"security name")</f>
        <v>Manhattan Associates Inc</v>
      </c>
      <c r="B12" s="35" t="str">
        <f>_xll.BDP($C12,"NAME_CHINESE_SIMPLIFIED")</f>
        <v>曼哈顿联合软件公司</v>
      </c>
      <c r="C12" s="36" t="s">
        <v>135</v>
      </c>
      <c r="D12" s="37" t="str">
        <f>_xll.BDP($C12,"LISTING_DATE")</f>
        <v>4/23/1998</v>
      </c>
      <c r="E12" s="37">
        <f>_xll.BDP($C12,E$1,"EQY_FUND_CRNCY="&amp;$B$1)</f>
        <v>62764.157357330703</v>
      </c>
      <c r="F12" s="37">
        <f>_xll.BDP($C12,F$1,"EQY_FUND_CRNCY="&amp;$C$1)</f>
        <v>8012.0704028399987</v>
      </c>
      <c r="G12" s="38">
        <f>_xll.BDP($C12,G$1)</f>
        <v>135.41999999999999</v>
      </c>
      <c r="H12" s="37">
        <f>_xll.BDP($C12,H$1,"EQY_FUND_CRNCY="&amp;$B$1)</f>
        <v>2450.0992834999997</v>
      </c>
      <c r="I12" s="37">
        <f>_xll.BDP($C12,I$1,"EQY_FUND_CRNCY="&amp;$C$1)</f>
        <v>314.76499999999999</v>
      </c>
      <c r="J12" s="37">
        <f>_xll.BDP($C12,J$1,"EQY_FUND_CRNCY="&amp;$B$1)</f>
        <v>8430.3509713471176</v>
      </c>
      <c r="K12" s="37">
        <f>_xll.BDP($C12,K$1,"EQY_FUND_CRNCY="&amp;$C$1)</f>
        <v>1081.3920000000001</v>
      </c>
      <c r="L12" s="37">
        <f>_xll.BDP($C12,L$1,"EQY_FUND_CRNCY="&amp;$B$1)</f>
        <v>1714.6777814574696</v>
      </c>
      <c r="M12" s="37">
        <f>_xll.BDP($C12,M$1,"EQY_FUND_CRNCY="&amp;$C$1)</f>
        <v>219.94800000000001</v>
      </c>
      <c r="N12" s="39">
        <f>_xll.BDP($C12,N$1)/100</f>
        <v>0.56321204521579593</v>
      </c>
      <c r="O12" s="39">
        <f>_xll.BDP($C12,O$1)/100</f>
        <v>0.26997702960628522</v>
      </c>
      <c r="P12" s="39">
        <f>_xll.BDP($C12,P$1)/100</f>
        <v>0.20339340405699322</v>
      </c>
      <c r="Q12" s="39">
        <f>_xll.BDP($C12,Q$1)/100</f>
        <v>3.7453758423258134E-2</v>
      </c>
      <c r="R12" s="39">
        <f>_xll.BDP($C12,R$1)/100</f>
        <v>7.2539429576303927E-3</v>
      </c>
      <c r="S12" s="39">
        <f>_xll.BDP($C12,S$1)/100</f>
        <v>0.19399552046765048</v>
      </c>
      <c r="T12" s="39">
        <f>_xll.BDP($C12,T$1)/100</f>
        <v>0.19399552046765048</v>
      </c>
      <c r="U12" s="39">
        <f>_xll.BDP($C12,U$1)/100</f>
        <v>-0.85042492017854598</v>
      </c>
      <c r="V12" s="39">
        <f>_xll.BDP($C12,V$1)/100</f>
        <v>7.274704904049141E-2</v>
      </c>
      <c r="W12" s="39">
        <f>_xll.BDP($C12,W$1)/100</f>
        <v>0.29909874589217395</v>
      </c>
      <c r="X12" s="40" cm="1">
        <f t="array" ref="X12">_xll.BDP($C12,"CRNCY_ADJ_CURR_EV", "EQY_FUND_CRNCY=HKD")</f>
        <v>61427.690191527698</v>
      </c>
      <c r="Y12" s="40" cm="1">
        <f t="array" ref="Y12">_xll.BDP($C12,"CRNCY_ADJ_CURR_EV", "EQY_FUND_CRNCY=USD")</f>
        <v>7841.6224028399984</v>
      </c>
      <c r="Z12" s="39">
        <f>_xll.BDP($C12,Z$1)/100</f>
        <v>0.96236036156084137</v>
      </c>
      <c r="AA12" s="40">
        <f>_xll.BDP($C12,"TRAIL_12M_NET_SALES","EQY_FUND_CRNCY=HKD")</f>
        <v>8590.7452934252906</v>
      </c>
      <c r="AB12" s="40">
        <f>_xll.BDP($C12,"TRAIL_12M_NET_INC","EQY_FUND_CRNCY=HKD")</f>
        <v>1690.8118184796942</v>
      </c>
      <c r="AC12" s="40">
        <f>_xll.BDP($C12,"TRAIL_12M_EBITDA","EQY_FUND_CRNCY=HKD")</f>
        <v>2248.8957633287368</v>
      </c>
      <c r="AD12" s="41">
        <f t="shared" si="9"/>
        <v>37.12072311735173</v>
      </c>
      <c r="AE12" s="41" cm="1">
        <f t="array" ref="AE12">_xll.BQL($C12, "PE_RATIO(FPT=BA, FPR=2026, FYE=C1231, AE=E)")</f>
        <v>25.272783484095548</v>
      </c>
      <c r="AF12" s="41" cm="1">
        <f t="array" ref="AF12">_xll.BQL($C12, "PE_RATIO(FPT=BA, FPR=2027, FYE=C1231, AE=E)")</f>
        <v>22.705602599236325</v>
      </c>
      <c r="AG12" s="41">
        <f t="shared" si="0"/>
        <v>7.3060200498978434</v>
      </c>
      <c r="AH12" s="41" cm="1">
        <f t="array" ref="AH12">_xll.BQL($C12, "PX_TO_SALES_RATIO(FPT=BA, FPR=2026, FYE=C1231, AE=E)")</f>
        <v>6.9463798521838402</v>
      </c>
      <c r="AI12" s="41" cm="1">
        <f t="array" ref="AI12">_xll.BQL($C12, "PX_TO_SALES_RATIO(FPT=BA, FPR=2027, FYE=C1231, AE=E)")</f>
        <v>6.3989912501881223</v>
      </c>
      <c r="AJ12" s="41">
        <f t="shared" si="1"/>
        <v>27.314600877990262</v>
      </c>
      <c r="AK12" s="41" cm="1">
        <f t="array" ref="AK12">IF(_xll.BQL($C12, "CURR_ENTP_VAL(FPT=A,FPO=0)/EBITDA(FPT=BA, FPR=2026, FYE=C1231, AE=E)")&lt;0,"N/A",_xll.BQL($C12, "CURR_ENTP_VAL(FPT=A,FPO=0)/EBITDA(FPT=BA, FPR=2026, FYE=C1231, AE=E)"))</f>
        <v>22.767814938659544</v>
      </c>
      <c r="AL12" s="41" cm="1">
        <f t="array" ref="AL12">IF(_xll.BQL($C12, "CURR_ENTP_VAL(FPT=A,FPO=0)/EBITDA(FPT=BA, FPR=2027, FYE=C1231, AE=E)")&lt;0,"N/A",_xll.BQL($C12, "CURR_ENTP_VAL(FPT=A,FPO=0)/EBITDA(FPT=BA, FPR=2027, FYE=C1231, AE=E)"))</f>
        <v>20.55592587714008</v>
      </c>
      <c r="AM12" s="41">
        <f>_xll.BDP($C12,AM$1)</f>
        <v>39.049861817017572</v>
      </c>
      <c r="AN12" s="41" cm="1">
        <f t="array" ref="AN12">_xll.BQL($C12, "PX_TO_BOOK_RATIO(FPT=BA, FPR=2026, FYE=C1231, AE=E)")</f>
        <v>28.509473298725329</v>
      </c>
      <c r="AO12" s="41" cm="1">
        <f t="array" ref="AO12">_xll.BQL($C12, "PX_TO_BOOK_RATIO(FPT=BA, FPR=2027, FYE=C1231, AE=E)")</f>
        <v>12.603071025495142</v>
      </c>
      <c r="AP12" s="41">
        <f>_xll.BDP($C12,"BEST Px bps ratio","BEST fperiod override","27Y")</f>
        <v>26.244186046511626</v>
      </c>
      <c r="AQ12" s="39">
        <f t="shared" si="2"/>
        <v>0.96236036156084137</v>
      </c>
      <c r="AR12" s="39">
        <f>_xll.BDP($C12,"BEST_ROE","BEST fperiod override","26Y")/100</f>
        <v>1.0577300000000001</v>
      </c>
      <c r="AS12" s="39">
        <f>_xll.BDP($C12,"BEST_ROE","BEST fperiod override","27Y")/100</f>
        <v>1.47583</v>
      </c>
      <c r="AT12" s="42" t="str">
        <f>_xll.BDP($C12,AT$1)</f>
        <v>#N/A N/A</v>
      </c>
      <c r="AU12" s="42">
        <f>_xll.BDP($C12,$AU$1,"BEST fperiod override","26Y")</f>
        <v>0</v>
      </c>
      <c r="AV12" s="42">
        <f>_xll.BDP($C12,$AU$1,"BEST fperiod override","27Y")</f>
        <v>0</v>
      </c>
      <c r="AW12" s="42">
        <f t="shared" si="10"/>
        <v>5.1927743394516446E-2</v>
      </c>
      <c r="AX12" s="42">
        <f t="shared" si="11"/>
        <v>0.21950629346792261</v>
      </c>
      <c r="AY12" s="42">
        <f t="shared" si="12"/>
        <v>7.3823963904575685E-3</v>
      </c>
      <c r="AZ12" s="43" cm="1">
        <f t="array" ref="AZ12">_xll.BQL($C12, "CF_CASH_FROM_OPER(FPT=BA, FPR=2022, FYE=C1231, AE=A)", "currency=USD")/1000000000</f>
        <v>0.17963000000000001</v>
      </c>
      <c r="BA12" s="43" cm="1">
        <f t="array" ref="BA12">_xll.BQL($C12, "CF_CASH_FROM_OPER(FPT=BA, FPR=2023, FYE=C1231, AE=A)", "currency=USD")/1000000000</f>
        <v>0.24621799999999999</v>
      </c>
      <c r="BB12" s="43" cm="1">
        <f t="array" ref="BB12">_xll.BQL($C12, "CF_CASH_FROM_OPER(FPT=BA, FPR=2024, FYE=C1231, AE=A)", "currency=USD")/1000000000</f>
        <v>0.29500300000000002</v>
      </c>
      <c r="BC12" s="43" cm="1">
        <f t="array" ref="BC12">_xll.BQL($C12, "CF_CASH_FROM_OPER(FPT=BA, FPR=2025, FYE=C1231, AE=E)", "currency=USD")/1000000000</f>
        <v>0.33073012518</v>
      </c>
      <c r="BD12" s="43" cm="1">
        <f t="array" ref="BD12">_xll.BQL($C12, "CF_CASH_FROM_OPER(FPT=BA, FPR=2026, FYE=C1231, AE=E)", "currency=USD")/1000000000</f>
        <v>0.38220332892000003</v>
      </c>
      <c r="BE12" s="43" cm="1">
        <f t="array" ref="BE12">_xll.BQL($C12, "CF_CASH_FROM_OPER(FPT=BA, FPR=2027, FYE=C1231, AE=E)", "currency=USD")/1000000000</f>
        <v>0.41356056798000002</v>
      </c>
      <c r="BF12" s="43" cm="1">
        <f t="array" ref="BF12">_xll.BQL($C12, "CF_FREE_CASH_FLOW(FPT=BA, FPR=2022, FYE=C1231, AE=A)", "currency=USD")/1000000000</f>
        <v>0.173043</v>
      </c>
      <c r="BG12" s="43" cm="1">
        <f t="array" ref="BG12">_xll.BQL($C12, "CF_FREE_CASH_FLOW(FPT=BA, FPR=2023, FYE=C1231, AE=A)", "currency=USD")/1000000000</f>
        <v>0.24148800000000001</v>
      </c>
      <c r="BH12" s="43" cm="1">
        <f t="array" ref="BH12">_xll.BQL($C12, "CF_FREE_CASH_FLOW(FPT=BA, FPR=2024, FYE=C1231, AE=A)", "currency=USD")/1000000000</f>
        <v>0.28632800000000003</v>
      </c>
      <c r="BI12" s="43" cm="1">
        <f t="array" ref="BI12">_xll.BQL($C12, "CF_FREE_CASH_FLOW(FPT=BA, FPR=2025, FYE=C1231, AE=E)", "currency=USD")/1000000000</f>
        <v>0.31997960154057903</v>
      </c>
      <c r="BJ12" s="43" cm="1">
        <f t="array" ref="BJ12">_xll.BQL($C12, "CF_FREE_CASH_FLOW(FPT=BA, FPR=2026, FYE=C1231, AE=E)", "currency=USD")/1000000000</f>
        <v>0.37471903830393999</v>
      </c>
      <c r="BK12" s="43" cm="1">
        <f t="array" ref="BK12">_xll.BQL($C12, "CF_FREE_CASH_FLOW(FPT=BA, FPR=2027, FYE=C1231, AE=E)", "currency=USD")/1000000000</f>
        <v>0.41477037664316702</v>
      </c>
      <c r="BL12" s="43" cm="1">
        <f t="array" ref="BL12">_xll.BQL($C12, "SALES_REV_TURN(FPT=BA, FPR=2022, FYE=C1231, AE=A)", "currency=USD")/1000000000</f>
        <v>0.76708399999999999</v>
      </c>
      <c r="BM12" s="43" cm="1">
        <f t="array" ref="BM12">_xll.BQL($C12, "SALES_REV_TURN(FPT=BA, FPR=2023, FYE=C1231, AE=A)", "currency=USD")/1000000000</f>
        <v>0.92872500000000002</v>
      </c>
      <c r="BN12" s="43" cm="1">
        <f t="array" ref="BN12">_xll.BQL($C12, "SALES_REV_TURN(FPT=BA, FPR=2024, FYE=C1231, AE=A)", "currency=USD")/1000000000</f>
        <v>1.0423520000000002</v>
      </c>
      <c r="BO12" s="43" cm="1">
        <f t="array" ref="BO12">_xll.BQL($C12, "SALES_REV_TURN(FPT=BA, FPR=2025, FYE=C1231, AE=E)", "currency=USD")/1000000000</f>
        <v>1.0758333333333332</v>
      </c>
      <c r="BP12" s="43" cm="1">
        <f t="array" ref="BP12">_xll.BQL($C12, "SALES_REV_TURN(FPT=BA, FPR=2026, FYE=C1231, AE=E)", "currency=USD")/1000000000</f>
        <v>1.1534166666666668</v>
      </c>
      <c r="BQ12" s="43" cm="1">
        <f t="array" ref="BQ12">_xll.BQL($C12, "SALES_REV_TURN(FPT=BA, FPR=2027, FYE=C1231, AE=E)", "currency=USD")/1000000000</f>
        <v>1.2520833333333332</v>
      </c>
      <c r="BR12" s="43" cm="1">
        <f t="array" ref="BR12">_xll.BQL($C12, "EBITDA(FPT=BA, FPR=2022, FYE=C1231, AE=A)", "currency=USD")/1000000000</f>
        <v>0.16666300000000001</v>
      </c>
      <c r="BS12" s="43" cm="1">
        <f t="array" ref="BS12">_xll.BQL($C12, "EBITDA(FPT=BA, FPR=2023, FYE=C1231, AE=A)", "currency=USD")/1000000000</f>
        <v>0.22343300000000002</v>
      </c>
      <c r="BT12" s="43" cm="1">
        <f t="array" ref="BT12">_xll.BQL($C12, "EBITDA(FPT=BA, FPR=2024, FYE=C1231, AE=A)", "currency=USD")/1000000000</f>
        <v>0.276897</v>
      </c>
      <c r="BU12" s="43" cm="1">
        <f t="array" ref="BU12">_xll.BQL($C12, "EBITDA(FPT=BA, FPR=2025, FYE=C1231, AE=E)", "currency=USD")/1000000000</f>
        <v>0.39100000000000001</v>
      </c>
      <c r="BV12" s="43" cm="1">
        <f t="array" ref="BV12">_xll.BQL($C12, "EBITDA(FPT=BA, FPR=2026, FYE=C1231, AE=E)", "currency=USD")/1000000000</f>
        <v>0.4118</v>
      </c>
      <c r="BW12" s="43" cm="1">
        <f t="array" ref="BW12">_xll.BQL($C12, "EBITDA(FPT=BA, FPR=2027, FYE=C1231, AE=E)", "currency=USD")/1000000000</f>
        <v>0.45611111111111097</v>
      </c>
      <c r="BX12" s="43" cm="1">
        <f t="array" ref="BX12">_xll.BQL($C12, "NET_INCOME(FPT=BA, FPR=2022, FYE=C1231, AE=A)", "currency=USD")/1000000000</f>
        <v>0.12895899999999999</v>
      </c>
      <c r="BY12" s="43" cm="1">
        <f t="array" ref="BY12">_xll.BQL($C12, "NET_INCOME(FPT=BA, FPR=2023, FYE=C1231, AE=A)", "currency=USD")/1000000000</f>
        <v>0.176568</v>
      </c>
      <c r="BZ12" s="43" cm="1">
        <f t="array" ref="BZ12">_xll.BQL($C12, "NET_INCOME(FPT=BA, FPR=2024, FYE=C1231, AE=A)", "currency=USD")/1000000000</f>
        <v>0.218364</v>
      </c>
      <c r="CA12" s="43" cm="1">
        <f t="array" ref="CA12">_xll.BQL($C12, "NET_INCOME(FPT=BA, FPR=2025, FYE=C1231, AE=E)", "currency=USD")/1000000000</f>
        <v>0.21440000000000001</v>
      </c>
      <c r="CB12" s="43" cm="1">
        <f t="array" ref="CB12">_xll.BQL($C12, "NET_INCOME(FPT=BA, FPR=2026, FYE=C1231, AE=E)", "currency=USD")/1000000000</f>
        <v>0.22159999999999999</v>
      </c>
      <c r="CC12" s="43" cm="1">
        <f t="array" ref="CC12">_xll.BQL($C12, "NET_INCOME(FPT=BA, FPR=2027, FYE=C1231, AE=E)", "currency=USD")/1000000000</f>
        <v>0.25369999999999998</v>
      </c>
      <c r="CD12" s="43" cm="1">
        <f t="array" ref="CD12">-_xll.BQL($C12, "CF_DVD_PAID(FPT=BA, FPR=2024, FYE=C1231, AE=A)", "currency=USD")/1000000000</f>
        <v>0</v>
      </c>
      <c r="CE12" s="43" t="e" cm="1">
        <f t="array" ref="CE12">-_xll.BQL($C12, "CF_DVD_PAID(FPT=BA, FPR=2025, FYE=C1231, AE=E)", "currency=USD")/1000000000</f>
        <v>#VALUE!</v>
      </c>
      <c r="CF12" s="43" t="e" cm="1">
        <f t="array" ref="CF12">-_xll.BQL($C12, "CF_DVD_PAID(FPT=BA, FPR=2026, FYE=C1231, AE=E)", "currency=USD")/1000000000</f>
        <v>#VALUE!</v>
      </c>
      <c r="CG12" s="43" t="e" cm="1">
        <f t="array" ref="CG12">-_xll.BQL($C12, "CF_DVD_PAID(FPT=BA, FPR=2027, FYE=C1231, AE=E)", "currency=USD")/1000000000</f>
        <v>#VALUE!</v>
      </c>
      <c r="CH12" s="44">
        <f t="shared" si="13"/>
        <v>0</v>
      </c>
      <c r="CI12" s="44" t="e">
        <f t="shared" si="3"/>
        <v>#VALUE!</v>
      </c>
      <c r="CJ12" s="44" t="e">
        <f t="shared" si="3"/>
        <v>#VALUE!</v>
      </c>
      <c r="CK12" s="44" t="e">
        <f t="shared" si="3"/>
        <v>#VALUE!</v>
      </c>
      <c r="CL12" s="41" cm="1">
        <f t="array" ref="CL12">_xll.BDP($C12,"INTERVAL_AVG", "MARKET_DATA_OVERRIDE=turnover", "CALC_INTERVAL=5D","CRNCY=HKD")/1000000</f>
        <v>570.01421772369611</v>
      </c>
      <c r="CM12" s="41" cm="1">
        <f t="array" ref="CM12">_xll.BDP($C12,"INTERVAL_AVG", "MARKET_DATA_OVERRIDE=turnover", "CALC_INTERVAL=10D","CRNCY=HKD")/1000000</f>
        <v>599.99187536164277</v>
      </c>
      <c r="CN12" s="41" cm="1">
        <f t="array" ref="CN12">_xll.BDP($C12,"INTERVAL_AVG", "MARKET_DATA_OVERRIDE=turnover", "CALC_INTERVAL=20D","CRNCY=HKD")/1000000</f>
        <v>758.0417022825676</v>
      </c>
      <c r="CO12" s="41" cm="1">
        <f t="array" ref="CO12">_xll.BDP($C12,"INTERVAL_AVG", "MARKET_DATA_OVERRIDE=turnover", "CALC_INTERVAL=1m","CRNCY=HKD")/1000000</f>
        <v>801.78105716139942</v>
      </c>
      <c r="CP12" s="41" cm="1">
        <f t="array" ref="CP12">_xll.BDP($C12,"INTERVAL_AVG", "MARKET_DATA_OVERRIDE=turnover", "CALC_INTERVAL=3M","CRNCY=HKD")/1000000</f>
        <v>751.70416812377073</v>
      </c>
      <c r="CQ12" s="41" cm="1">
        <f t="array" ref="CQ12">_xll.BDP($C12,"INTERVAL_AVG", "MARKET_DATA_OVERRIDE=turnover", "CALC_INTERVAL=6M","CRNCY=HKD")/1000000</f>
        <v>834.43367871048611</v>
      </c>
      <c r="CR12" s="45">
        <f>_xll.BDP($C12,"chg pct 1m")/100</f>
        <v>1.1880729999999999E-2</v>
      </c>
      <c r="CS12" s="45">
        <f>_xll.BDP($C12,"chg pct 3m")/100</f>
        <v>-6.1343339999999996E-2</v>
      </c>
      <c r="CT12" s="45">
        <f>_xll.BDP($C12,"chg pct 6m")/100</f>
        <v>-0.19713049999999999</v>
      </c>
      <c r="CU12" s="45">
        <f>_xll.BDP($C12,"chg pct 1yr")/100</f>
        <v>-0.29413610000000001</v>
      </c>
      <c r="CV12" s="45">
        <f>_xll.BDP($C12,"chg pct ytd")/100</f>
        <v>-0.21862559999999998</v>
      </c>
      <c r="CW12" s="39" cm="1">
        <f t="array" ref="CW12">_xll.BQL($C12, "volatility(calc_interval=range(-1M, 0D))")</f>
        <v>0.51654274752128804</v>
      </c>
      <c r="CX12" s="39" cm="1">
        <f t="array" ref="CX12">_xll.BQL($C12, "volatility(calc_interval=range(-3M, 0D))")</f>
        <v>0.49307173940773724</v>
      </c>
      <c r="CY12" s="39" cm="1">
        <f t="array" ref="CY12">_xll.BQL($C12, "volatility(calc_interval=range(-6M, 0D))")</f>
        <v>0.43677486073631505</v>
      </c>
      <c r="CZ12" s="46" t="str">
        <f>_xll.BDP($C12,CZ$1)</f>
        <v>Manhattan Associates, Inc. provides information technology solutions for distribution centers. The solutions are designed to enable the efficient movement of goods through the supply chain. The Company offers solutions optimize the receipt, storage, and distribution of inventory, as well as manage equipment and personnel within a distribution center.</v>
      </c>
    </row>
    <row r="13" spans="1:116" s="47" customFormat="1" ht="31.5" x14ac:dyDescent="0.25">
      <c r="A13" s="35" t="str">
        <f>_xll.BDP($C13,"security name")</f>
        <v>CH Robinson Worldwide Inc</v>
      </c>
      <c r="B13" s="35" t="str">
        <f>_xll.BDP($C13,"NAME_CHINESE_SIMPLIFIED")</f>
        <v>罗宾逊全球物流有限公司</v>
      </c>
      <c r="C13" s="36" t="s">
        <v>136</v>
      </c>
      <c r="D13" s="37" t="str">
        <f>_xll.BDP($C13,"LISTING_DATE")</f>
        <v>10/15/1997</v>
      </c>
      <c r="E13" s="37">
        <f>_xll.BDP($C13,E$1,"EQY_FUND_CRNCY="&amp;$B$1)</f>
        <v>159732.89476201899</v>
      </c>
      <c r="F13" s="37">
        <f>_xll.BDP($C13,F$1,"EQY_FUND_CRNCY="&amp;$C$1)</f>
        <v>20390.47845726</v>
      </c>
      <c r="G13" s="38">
        <f>_xll.BDP($C13,G$1)</f>
        <v>173.02</v>
      </c>
      <c r="H13" s="37">
        <f>_xll.BDP($C13,H$1,"EQY_FUND_CRNCY="&amp;$B$1)</f>
        <v>14366.331683299999</v>
      </c>
      <c r="I13" s="37">
        <f>_xll.BDP($C13,I$1,"EQY_FUND_CRNCY="&amp;$C$1)</f>
        <v>1845.6469999999999</v>
      </c>
      <c r="J13" s="37">
        <f>_xll.BDP($C13,J$1,"EQY_FUND_CRNCY="&amp;$B$1)</f>
        <v>126547.90244860103</v>
      </c>
      <c r="K13" s="37">
        <f>_xll.BDP($C13,K$1,"EQY_FUND_CRNCY="&amp;$C$1)</f>
        <v>16232.763000000001</v>
      </c>
      <c r="L13" s="37">
        <f>_xll.BDP($C13,L$1,"EQY_FUND_CRNCY="&amp;$B$1)</f>
        <v>4576.7851792961646</v>
      </c>
      <c r="M13" s="37">
        <f>_xll.BDP($C13,M$1,"EQY_FUND_CRNCY="&amp;$C$1)</f>
        <v>587.08100000000002</v>
      </c>
      <c r="N13" s="39">
        <f>_xll.BDP($C13,N$1)/100</f>
        <v>8.3735097962065977E-2</v>
      </c>
      <c r="O13" s="39">
        <f>_xll.BDP($C13,O$1)/100</f>
        <v>6.3262366363631375E-2</v>
      </c>
      <c r="P13" s="39">
        <f>_xll.BDP($C13,P$1)/100</f>
        <v>3.6166424656110606E-2</v>
      </c>
      <c r="Q13" s="39">
        <f>_xll.BDP($C13,Q$1)/100</f>
        <v>-8.4185991773406812E-2</v>
      </c>
      <c r="R13" s="39">
        <f>_xll.BDP($C13,R$1)/100</f>
        <v>0.26066911464708287</v>
      </c>
      <c r="S13" s="39">
        <f>_xll.BDP($C13,S$1)/100</f>
        <v>0.75604164826751807</v>
      </c>
      <c r="T13" s="39">
        <f>_xll.BDP($C13,T$1)/100</f>
        <v>0.75604164826751807</v>
      </c>
      <c r="U13" s="39">
        <f>_xll.BDP($C13,U$1)/100</f>
        <v>0.66887926022690136</v>
      </c>
      <c r="V13" s="39">
        <f>_xll.BDP($C13,V$1)/100</f>
        <v>0.27585624728544567</v>
      </c>
      <c r="W13" s="39">
        <f>_xll.BDP($C13,W$1)/100</f>
        <v>0.1145170597846415</v>
      </c>
      <c r="X13" s="40" cm="1">
        <f t="array" ref="X13">_xll.BDP($C13,"CRNCY_ADJ_CURR_EV", "EQY_FUND_CRNCY=HKD")</f>
        <v>171375.22406953768</v>
      </c>
      <c r="Y13" s="40" cm="1">
        <f t="array" ref="Y13">_xll.BDP($C13,"CRNCY_ADJ_CURR_EV", "EQY_FUND_CRNCY=USD")</f>
        <v>21875.29945726</v>
      </c>
      <c r="Z13" s="39">
        <f>_xll.BDP($C13,Z$1)/100</f>
        <v>0.348379659920799</v>
      </c>
      <c r="AA13" s="40">
        <f>_xll.BDP($C13,"TRAIL_12M_NET_SALES","EQY_FUND_CRNCY=HKD")</f>
        <v>126415.8659963924</v>
      </c>
      <c r="AB13" s="40">
        <f>_xll.BDP($C13,"TRAIL_12M_NET_INC","EQY_FUND_CRNCY=HKD")</f>
        <v>4674.6602711662854</v>
      </c>
      <c r="AC13" s="40">
        <f>_xll.BDP($C13,"TRAIL_12M_EBITDA","EQY_FUND_CRNCY=HKD")</f>
        <v>7712.5744960888924</v>
      </c>
      <c r="AD13" s="41">
        <f t="shared" ref="AD13" si="14">IF(AB13&lt;0,"N/A",$E13/AB13)</f>
        <v>34.169947225312924</v>
      </c>
      <c r="AE13" s="41" cm="1">
        <f t="array" ref="AE13">_xll.BQL($C13, "PE_RATIO(FPT=BA, FPR=2026, FYE=C1231, AE=E)")</f>
        <v>28.120531184576279</v>
      </c>
      <c r="AF13" s="41" cm="1">
        <f t="array" ref="AF13">_xll.BQL($C13, "PE_RATIO(FPT=BA, FPR=2027, FYE=C1231, AE=E)")</f>
        <v>23.718265651211951</v>
      </c>
      <c r="AG13" s="41">
        <f t="shared" ref="AG13" si="15">$E13/AA13</f>
        <v>1.2635510068536602</v>
      </c>
      <c r="AH13" s="41" cm="1">
        <f t="array" ref="AH13">_xll.BQL($C13, "PX_TO_SALES_RATIO(FPT=BA, FPR=2026, FYE=C1231, AE=E)")</f>
        <v>1.2081684715160554</v>
      </c>
      <c r="AI13" s="41" cm="1">
        <f t="array" ref="AI13">_xll.BQL($C13, "PX_TO_SALES_RATIO(FPT=BA, FPR=2027, FYE=C1231, AE=E)")</f>
        <v>1.1362245373370561</v>
      </c>
      <c r="AJ13" s="41">
        <f t="shared" ref="AJ13" si="16">IF(AC13&lt;0,"N/A",$X13/AC13)</f>
        <v>22.220235818330625</v>
      </c>
      <c r="AK13" s="41" cm="1">
        <f t="array" ref="AK13">IF(_xll.BQL($C13, "CURR_ENTP_VAL(FPT=A,FPO=0)/EBITDA(FPT=BA, FPR=2026, FYE=C1231, AE=E)")&lt;0,"N/A",_xll.BQL($C13, "CURR_ENTP_VAL(FPT=A,FPO=0)/EBITDA(FPT=BA, FPR=2026, FYE=C1231, AE=E)"))</f>
        <v>21.826218369867174</v>
      </c>
      <c r="AL13" s="41" cm="1">
        <f t="array" ref="AL13">IF(_xll.BQL($C13, "CURR_ENTP_VAL(FPT=A,FPO=0)/EBITDA(FPT=BA, FPR=2027, FYE=C1231, AE=E)")&lt;0,"N/A",_xll.BQL($C13, "CURR_ENTP_VAL(FPT=A,FPO=0)/EBITDA(FPT=BA, FPR=2027, FYE=C1231, AE=E)"))</f>
        <v>18.8130969819168</v>
      </c>
      <c r="AM13" s="41">
        <f>_xll.BDP($C13,AM$1)</f>
        <v>11.996521752164993</v>
      </c>
      <c r="AN13" s="41" cm="1">
        <f t="array" ref="AN13">_xll.BQL($C13, "PX_TO_BOOK_RATIO(FPT=BA, FPR=2026, FYE=C1231, AE=E)")</f>
        <v>11.525446594222018</v>
      </c>
      <c r="AO13" s="41" cm="1">
        <f t="array" ref="AO13">_xll.BQL($C13, "PX_TO_BOOK_RATIO(FPT=BA, FPR=2027, FYE=C1231, AE=E)")</f>
        <v>10.786783308756917</v>
      </c>
      <c r="AP13" s="41">
        <f>_xll.BDP($C13,"BEST Px bps ratio","BEST fperiod override","27Y")</f>
        <v>11.037958532695376</v>
      </c>
      <c r="AQ13" s="39">
        <f t="shared" ref="AQ13" si="17">Z13</f>
        <v>0.348379659920799</v>
      </c>
      <c r="AR13" s="39">
        <f>_xll.BDP($C13,"BEST_ROE","BEST fperiod override","26Y")/100</f>
        <v>0.39701000000000003</v>
      </c>
      <c r="AS13" s="39">
        <f>_xll.BDP($C13,"BEST_ROE","BEST fperiod override","27Y")/100</f>
        <v>0.46160000000000001</v>
      </c>
      <c r="AT13" s="42">
        <f>_xll.BDP($C13,AT$1)</f>
        <v>1.4563948338013717</v>
      </c>
      <c r="AU13" s="42">
        <f>_xll.BDP($C13,$AU$1,"BEST fperiod override","26Y")</f>
        <v>1.4524332447115937</v>
      </c>
      <c r="AV13" s="42">
        <f>_xll.BDP($C13,$AU$1,"BEST fperiod override","27Y")</f>
        <v>1.4784417986359959</v>
      </c>
      <c r="AW13" s="42">
        <f t="shared" ref="AW13" si="18">(BP13/BN13)^(1/2)-1</f>
        <v>-2.4207711480053073E-2</v>
      </c>
      <c r="AX13" s="42">
        <f t="shared" ref="AX13" si="19">(BV13/BT13)^(1/2)-1</f>
        <v>9.7445036927798379E-2</v>
      </c>
      <c r="AY13" s="42">
        <f t="shared" ref="AY13" si="20">(CB13/BZ13)^(1/2)-1</f>
        <v>0.25302499973189541</v>
      </c>
      <c r="AZ13" s="43" cm="1">
        <f t="array" ref="AZ13">_xll.BQL($C13, "CF_CASH_FROM_OPER(FPT=BA, FPR=2022, FYE=C1231, AE=A)", "currency=USD")/1000000000</f>
        <v>1.6501710000000001</v>
      </c>
      <c r="BA13" s="43" cm="1">
        <f t="array" ref="BA13">_xll.BQL($C13, "CF_CASH_FROM_OPER(FPT=BA, FPR=2023, FYE=C1231, AE=A)", "currency=USD")/1000000000</f>
        <v>0.73194599999999999</v>
      </c>
      <c r="BB13" s="43" cm="1">
        <f t="array" ref="BB13">_xll.BQL($C13, "CF_CASH_FROM_OPER(FPT=BA, FPR=2024, FYE=C1231, AE=A)", "currency=USD")/1000000000</f>
        <v>0.50908399999999998</v>
      </c>
      <c r="BC13" s="43" cm="1">
        <f t="array" ref="BC13">_xll.BQL($C13, "CF_CASH_FROM_OPER(FPT=BA, FPR=2025, FYE=C1231, AE=E)", "currency=USD")/1000000000</f>
        <v>0.83654122758739569</v>
      </c>
      <c r="BD13" s="43" cm="1">
        <f t="array" ref="BD13">_xll.BQL($C13, "CF_CASH_FROM_OPER(FPT=BA, FPR=2026, FYE=C1231, AE=E)", "currency=USD")/1000000000</f>
        <v>0.81848957959924118</v>
      </c>
      <c r="BE13" s="43" cm="1">
        <f t="array" ref="BE13">_xll.BQL($C13, "CF_CASH_FROM_OPER(FPT=BA, FPR=2027, FYE=C1231, AE=E)", "currency=USD")/1000000000</f>
        <v>0.97863258266178166</v>
      </c>
      <c r="BF13" s="43" cm="1">
        <f t="array" ref="BF13">_xll.BQL($C13, "CF_FREE_CASH_FLOW(FPT=BA, FPR=2022, FYE=C1231, AE=A)", "currency=USD")/1000000000</f>
        <v>1.5882559999999999</v>
      </c>
      <c r="BG13" s="43" cm="1">
        <f t="array" ref="BG13">_xll.BQL($C13, "CF_FREE_CASH_FLOW(FPT=BA, FPR=2023, FYE=C1231, AE=A)", "currency=USD")/1000000000</f>
        <v>0.70195700000000005</v>
      </c>
      <c r="BH13" s="43" cm="1">
        <f t="array" ref="BH13">_xll.BQL($C13, "CF_FREE_CASH_FLOW(FPT=BA, FPR=2024, FYE=C1231, AE=A)", "currency=USD")/1000000000</f>
        <v>0.486431</v>
      </c>
      <c r="BI13" s="43" cm="1">
        <f t="array" ref="BI13">_xll.BQL($C13, "CF_FREE_CASH_FLOW(FPT=BA, FPR=2025, FYE=C1231, AE=E)", "currency=USD")/1000000000</f>
        <v>0.74980138801137097</v>
      </c>
      <c r="BJ13" s="43" cm="1">
        <f t="array" ref="BJ13">_xll.BQL($C13, "CF_FREE_CASH_FLOW(FPT=BA, FPR=2026, FYE=C1231, AE=E)", "currency=USD")/1000000000</f>
        <v>0.74545011129629002</v>
      </c>
      <c r="BK13" s="43" cm="1">
        <f t="array" ref="BK13">_xll.BQL($C13, "CF_FREE_CASH_FLOW(FPT=BA, FPR=2027, FYE=C1231, AE=E)", "currency=USD")/1000000000</f>
        <v>0.88281302670574802</v>
      </c>
      <c r="BL13" s="43" cm="1">
        <f t="array" ref="BL13">_xll.BQL($C13, "SALES_REV_TURN(FPT=BA, FPR=2022, FYE=C1231, AE=A)", "currency=USD")/1000000000</f>
        <v>24.696625000000001</v>
      </c>
      <c r="BM13" s="43" cm="1">
        <f t="array" ref="BM13">_xll.BQL($C13, "SALES_REV_TURN(FPT=BA, FPR=2023, FYE=C1231, AE=A)", "currency=USD")/1000000000</f>
        <v>17.596443000000001</v>
      </c>
      <c r="BN13" s="43" cm="1">
        <f t="array" ref="BN13">_xll.BQL($C13, "SALES_REV_TURN(FPT=BA, FPR=2024, FYE=C1231, AE=A)", "currency=USD")/1000000000</f>
        <v>17.724955999999999</v>
      </c>
      <c r="BO13" s="43" cm="1">
        <f t="array" ref="BO13">_xll.BQL($C13, "SALES_REV_TURN(FPT=BA, FPR=2025, FYE=C1231, AE=E)", "currency=USD")/1000000000</f>
        <v>16.298708333333334</v>
      </c>
      <c r="BP13" s="43" cm="1">
        <f t="array" ref="BP13">_xll.BQL($C13, "SALES_REV_TURN(FPT=BA, FPR=2026, FYE=C1231, AE=E)", "currency=USD")/1000000000</f>
        <v>16.877181818181818</v>
      </c>
      <c r="BQ13" s="43" cm="1">
        <f t="array" ref="BQ13">_xll.BQL($C13, "SALES_REV_TURN(FPT=BA, FPR=2027, FYE=C1231, AE=E)", "currency=USD")/1000000000</f>
        <v>17.945818181818179</v>
      </c>
      <c r="BR13" s="43" cm="1">
        <f t="array" ref="BR13">_xll.BQL($C13, "EBITDA(FPT=BA, FPR=2022, FYE=C1231, AE=A)", "currency=USD")/1000000000</f>
        <v>1.4515899999999999</v>
      </c>
      <c r="BS13" s="43" cm="1">
        <f t="array" ref="BS13">_xll.BQL($C13, "EBITDA(FPT=BA, FPR=2023, FYE=C1231, AE=A)", "currency=USD")/1000000000</f>
        <v>0.71422699999999995</v>
      </c>
      <c r="BT13" s="43" cm="1">
        <f t="array" ref="BT13">_xll.BQL($C13, "EBITDA(FPT=BA, FPR=2024, FYE=C1231, AE=A)", "currency=USD")/1000000000</f>
        <v>0.875135</v>
      </c>
      <c r="BU13" s="43" cm="1">
        <f t="array" ref="BU13">_xll.BQL($C13, "EBITDA(FPT=BA, FPR=2025, FYE=C1231, AE=E)", "currency=USD")/1000000000</f>
        <v>0.91273913043478294</v>
      </c>
      <c r="BV13" s="43" cm="1">
        <f t="array" ref="BV13">_xll.BQL($C13, "EBITDA(FPT=BA, FPR=2026, FYE=C1231, AE=E)", "currency=USD")/1000000000</f>
        <v>1.054</v>
      </c>
      <c r="BW13" s="43" cm="1">
        <f t="array" ref="BW13">_xll.BQL($C13, "EBITDA(FPT=BA, FPR=2027, FYE=C1231, AE=E)", "currency=USD")/1000000000</f>
        <v>1.22280952380952</v>
      </c>
      <c r="BX13" s="43" cm="1">
        <f t="array" ref="BX13">_xll.BQL($C13, "NET_INCOME(FPT=BA, FPR=2022, FYE=C1231, AE=A)", "currency=USD")/1000000000</f>
        <v>0.94052400000000003</v>
      </c>
      <c r="BY13" s="43" cm="1">
        <f t="array" ref="BY13">_xll.BQL($C13, "NET_INCOME(FPT=BA, FPR=2023, FYE=C1231, AE=A)", "currency=USD")/1000000000</f>
        <v>0.325129</v>
      </c>
      <c r="BZ13" s="43" cm="1">
        <f t="array" ref="BZ13">_xll.BQL($C13, "NET_INCOME(FPT=BA, FPR=2024, FYE=C1231, AE=A)", "currency=USD")/1000000000</f>
        <v>0.46568999999999999</v>
      </c>
      <c r="CA13" s="43" cm="1">
        <f t="array" ref="CA13">_xll.BQL($C13, "NET_INCOME(FPT=BA, FPR=2025, FYE=C1231, AE=E)", "currency=USD")/1000000000</f>
        <v>0.59589999999999999</v>
      </c>
      <c r="CB13" s="43" cm="1">
        <f t="array" ref="CB13">_xll.BQL($C13, "NET_INCOME(FPT=BA, FPR=2026, FYE=C1231, AE=E)", "currency=USD")/1000000000</f>
        <v>0.73116666666666663</v>
      </c>
      <c r="CC13" s="43" cm="1">
        <f t="array" ref="CC13">_xll.BQL($C13, "NET_INCOME(FPT=BA, FPR=2027, FYE=C1231, AE=E)", "currency=USD")/1000000000</f>
        <v>0.88388888888888884</v>
      </c>
      <c r="CD13" s="43" cm="1">
        <f t="array" ref="CD13">-_xll.BQL($C13, "CF_DVD_PAID(FPT=BA, FPR=2024, FYE=C1231, AE=A)", "currency=USD")/1000000000</f>
        <v>0.29477199999999998</v>
      </c>
      <c r="CE13" s="43" cm="1">
        <f t="array" ref="CE13">-_xll.BQL($C13, "CF_DVD_PAID(FPT=BA, FPR=2025, FYE=C1231, AE=E)", "currency=USD")/1000000000</f>
        <v>0.30527601618839395</v>
      </c>
      <c r="CF13" s="43" cm="1">
        <f t="array" ref="CF13">-_xll.BQL($C13, "CF_DVD_PAID(FPT=BA, FPR=2026, FYE=C1231, AE=E)", "currency=USD")/1000000000</f>
        <v>0.30768054238719411</v>
      </c>
      <c r="CG13" s="43" cm="1">
        <f t="array" ref="CG13">-_xll.BQL($C13, "CF_DVD_PAID(FPT=BA, FPR=2027, FYE=C1231, AE=E)", "currency=USD")/1000000000</f>
        <v>0.32098167369792813</v>
      </c>
      <c r="CH13" s="44">
        <f t="shared" ref="CH13" si="21">CD13/$F13</f>
        <v>1.4456355235501934E-5</v>
      </c>
      <c r="CI13" s="44">
        <f t="shared" ref="CI13" si="22">CE13/$F13</f>
        <v>1.4971498428949365E-5</v>
      </c>
      <c r="CJ13" s="44">
        <f t="shared" ref="CJ13" si="23">CF13/$F13</f>
        <v>1.5089422400367702E-5</v>
      </c>
      <c r="CK13" s="44">
        <f t="shared" ref="CK13" si="24">CG13/$F13</f>
        <v>1.5741743106751037E-5</v>
      </c>
      <c r="CL13" s="41" cm="1">
        <f t="array" ref="CL13">_xll.BDP($C13,"INTERVAL_AVG", "MARKET_DATA_OVERRIDE=turnover", "CALC_INTERVAL=5D","CRNCY=HKD")/1000000</f>
        <v>3712.5822223771261</v>
      </c>
      <c r="CM13" s="41" cm="1">
        <f t="array" ref="CM13">_xll.BDP($C13,"INTERVAL_AVG", "MARKET_DATA_OVERRIDE=turnover", "CALC_INTERVAL=10D","CRNCY=HKD")/1000000</f>
        <v>2629.6554793098339</v>
      </c>
      <c r="CN13" s="41" cm="1">
        <f t="array" ref="CN13">_xll.BDP($C13,"INTERVAL_AVG", "MARKET_DATA_OVERRIDE=turnover", "CALC_INTERVAL=20D","CRNCY=HKD")/1000000</f>
        <v>2914.8679789741327</v>
      </c>
      <c r="CO13" s="41" cm="1">
        <f t="array" ref="CO13">_xll.BDP($C13,"INTERVAL_AVG", "MARKET_DATA_OVERRIDE=turnover", "CALC_INTERVAL=1m","CRNCY=HKD")/1000000</f>
        <v>2854.8894814635682</v>
      </c>
      <c r="CP13" s="41" cm="1">
        <f t="array" ref="CP13">_xll.BDP($C13,"INTERVAL_AVG", "MARKET_DATA_OVERRIDE=turnover", "CALC_INTERVAL=3M","CRNCY=HKD")/1000000</f>
        <v>2562.9612373307828</v>
      </c>
      <c r="CQ13" s="41" cm="1">
        <f t="array" ref="CQ13">_xll.BDP($C13,"INTERVAL_AVG", "MARKET_DATA_OVERRIDE=turnover", "CALC_INTERVAL=6M","CRNCY=HKD")/1000000</f>
        <v>2752.9249708257366</v>
      </c>
      <c r="CR13" s="45">
        <f>_xll.BDP($C13,"chg pct 1m")/100</f>
        <v>-5.9418300000000007E-2</v>
      </c>
      <c r="CS13" s="45">
        <f>_xll.BDP($C13,"chg pct 3m")/100</f>
        <v>-8.9655890000000002E-2</v>
      </c>
      <c r="CT13" s="45">
        <f>_xll.BDP($C13,"chg pct 6m")/100</f>
        <v>0.16456880000000002</v>
      </c>
      <c r="CU13" s="45">
        <f>_xll.BDP($C13,"chg pct 1yr")/100</f>
        <v>0.72898970000000007</v>
      </c>
      <c r="CV13" s="45">
        <f>_xll.BDP($C13,"chg pct ytd")/100</f>
        <v>7.6262789999999997E-2</v>
      </c>
      <c r="CW13" s="39" cm="1">
        <f t="array" ref="CW13">_xll.BQL($C13, "volatility(calc_interval=range(-1M, 0D))")</f>
        <v>0.44536684969687473</v>
      </c>
      <c r="CX13" s="39" cm="1">
        <f t="array" ref="CX13">_xll.BQL($C13, "volatility(calc_interval=range(-3M, 0D))")</f>
        <v>0.42336610813705761</v>
      </c>
      <c r="CY13" s="39" cm="1">
        <f t="array" ref="CY13">_xll.BQL($C13, "volatility(calc_interval=range(-6M, 0D))")</f>
        <v>0.41262463713821496</v>
      </c>
      <c r="CZ13" s="46" t="str">
        <f>_xll.BDP($C13,CZ$1)</f>
        <v>C.H. Robinson Worldwide, Inc. operates as a logistics company. The Company freight, supply chain, and logistics services. C.H. Robinson Worldwide serves clients worldwide.</v>
      </c>
    </row>
    <row r="14" spans="1:116" s="47" customFormat="1" ht="31.5" x14ac:dyDescent="0.25">
      <c r="A14" s="35" t="str">
        <f>_xll.BDP($C14,"security name")</f>
        <v>CVS Health Corp</v>
      </c>
      <c r="B14" s="35" t="str">
        <f>_xll.BDP($C14,"NAME_CHINESE_SIMPLIFIED")</f>
        <v>CVS健康公司</v>
      </c>
      <c r="C14" s="36" t="s">
        <v>102</v>
      </c>
      <c r="D14" s="37" t="str">
        <f>_xll.BDP($C14,"LISTING_DATE")</f>
        <v>10/1/1952</v>
      </c>
      <c r="E14" s="37">
        <f>_xll.BDP($C14,E$1,"EQY_FUND_CRNCY="&amp;$B$1)</f>
        <v>941386.98907332157</v>
      </c>
      <c r="F14" s="37">
        <f>_xll.BDP($C14,F$1,"EQY_FUND_CRNCY="&amp;$C$1)</f>
        <v>120166.83377326</v>
      </c>
      <c r="G14" s="38">
        <f>_xll.BDP($C14,G$1)</f>
        <v>94.18</v>
      </c>
      <c r="H14" s="37">
        <f>_xll.BDP($C14,H$1,"EQY_FUND_CRNCY="&amp;$B$1)</f>
        <v>586765.94980000006</v>
      </c>
      <c r="I14" s="37">
        <f>_xll.BDP($C14,I$1,"EQY_FUND_CRNCY="&amp;$C$1)</f>
        <v>75382</v>
      </c>
      <c r="J14" s="37">
        <f>_xll.BDP($C14,J$1,"EQY_FUND_CRNCY="&amp;$B$1)</f>
        <v>3134447.0127360122</v>
      </c>
      <c r="K14" s="37">
        <f>_xll.BDP($C14,K$1,"EQY_FUND_CRNCY="&amp;$C$1)</f>
        <v>402067</v>
      </c>
      <c r="L14" s="37">
        <f>_xll.BDP($C14,L$1,"EQY_FUND_CRNCY="&amp;$B$1)</f>
        <v>13783.031978544048</v>
      </c>
      <c r="M14" s="37">
        <f>_xll.BDP($C14,M$1,"EQY_FUND_CRNCY="&amp;$C$1)</f>
        <v>1768</v>
      </c>
      <c r="N14" s="39">
        <f>_xll.BDP($C14,N$1)/100</f>
        <v>0.13769346899894794</v>
      </c>
      <c r="O14" s="39">
        <f>_xll.BDP($C14,O$1)/100</f>
        <v>4.8268074723864428E-2</v>
      </c>
      <c r="P14" s="39">
        <f>_xll.BDP($C14,P$1)/100</f>
        <v>4.3972770707369664E-3</v>
      </c>
      <c r="Q14" s="39">
        <f>_xll.BDP($C14,Q$1)/100</f>
        <v>7.8479865024717751E-2</v>
      </c>
      <c r="R14" s="39">
        <f>_xll.BDP($C14,R$1)/100</f>
        <v>-0.61681837884698743</v>
      </c>
      <c r="S14" s="39">
        <f>_xll.BDP($C14,S$1)/100</f>
        <v>1.0605980207476586</v>
      </c>
      <c r="T14" s="39">
        <f>_xll.BDP($C14,T$1)/100</f>
        <v>1.0629670008243146</v>
      </c>
      <c r="U14" s="39">
        <f>_xll.BDP($C14,U$1)/100</f>
        <v>0.92000742882916342</v>
      </c>
      <c r="V14" s="39">
        <f>_xll.BDP($C14,V$1)/100</f>
        <v>0.3153373458810908</v>
      </c>
      <c r="W14" s="39">
        <f>_xll.BDP($C14,W$1)/100</f>
        <v>1.1530618866247575E-2</v>
      </c>
      <c r="X14" s="40" cm="1">
        <f t="array" ref="X14">_xll.BDP($C14,"CRNCY_ADJ_CURR_EV", "EQY_FUND_CRNCY=HKD")</f>
        <v>1464563.1873797188</v>
      </c>
      <c r="Y14" s="40" cm="1">
        <f t="array" ref="Y14">_xll.BDP($C14,"CRNCY_ADJ_CURR_EV", "EQY_FUND_CRNCY=USD")</f>
        <v>186890.83377326</v>
      </c>
      <c r="Z14" s="39">
        <f>_xll.BDP($C14,Z$1)/100</f>
        <v>3.798296466625644E-2</v>
      </c>
      <c r="AA14" s="40">
        <f>_xll.BDP($C14,"TRAIL_12M_NET_SALES","EQY_FUND_CRNCY=HKD")</f>
        <v>3183270.6154636028</v>
      </c>
      <c r="AB14" s="40">
        <f>_xll.BDP($C14,"TRAIL_12M_NET_INC","EQY_FUND_CRNCY=HKD")</f>
        <v>22881.184208429131</v>
      </c>
      <c r="AC14" s="40">
        <f>_xll.BDP($C14,"TRAIL_12M_EBITDA","EQY_FUND_CRNCY=HKD")</f>
        <v>82199.015439080496</v>
      </c>
      <c r="AD14" s="41">
        <f t="shared" si="9"/>
        <v>41.142406813303253</v>
      </c>
      <c r="AE14" s="41" cm="1">
        <f t="array" ref="AE14">_xll.BQL($C14, "PE_RATIO(FPT=BA, FPR=2026, FYE=C1231, AE=E)")</f>
        <v>12.755116413722638</v>
      </c>
      <c r="AF14" s="41" cm="1">
        <f t="array" ref="AF14">_xll.BQL($C14, "PE_RATIO(FPT=BA, FPR=2027, FYE=C1231, AE=E)")</f>
        <v>11.256228776016226</v>
      </c>
      <c r="AG14" s="41">
        <f t="shared" si="0"/>
        <v>0.29572948793617426</v>
      </c>
      <c r="AH14" s="41" cm="1">
        <f t="array" ref="AH14">_xll.BQL($C14, "PX_TO_SALES_RATIO(FPT=BA, FPR=2026, FYE=C1231, AE=E)")</f>
        <v>0.29503719562031333</v>
      </c>
      <c r="AI14" s="41" cm="1">
        <f t="array" ref="AI14">_xll.BQL($C14, "PX_TO_SALES_RATIO(FPT=BA, FPR=2027, FYE=C1231, AE=E)")</f>
        <v>0.28275297013182682</v>
      </c>
      <c r="AJ14" s="41">
        <f t="shared" si="1"/>
        <v>17.817283814854679</v>
      </c>
      <c r="AK14" s="41" cm="1">
        <f t="array" ref="AK14">IF(_xll.BQL($C14, "CURR_ENTP_VAL(FPT=A,FPO=0)/EBITDA(FPT=BA, FPR=2026, FYE=C1231, AE=E)")&lt;0,"N/A",_xll.BQL($C14, "CURR_ENTP_VAL(FPT=A,FPO=0)/EBITDA(FPT=BA, FPR=2026, FYE=C1231, AE=E)"))</f>
        <v>9.0639446193857971</v>
      </c>
      <c r="AL14" s="41" cm="1">
        <f t="array" ref="AL14">IF(_xll.BQL($C14, "CURR_ENTP_VAL(FPT=A,FPO=0)/EBITDA(FPT=BA, FPR=2027, FYE=C1231, AE=E)")&lt;0,"N/A",_xll.BQL($C14, "CURR_ENTP_VAL(FPT=A,FPO=0)/EBITDA(FPT=BA, FPR=2027, FYE=C1231, AE=E)"))</f>
        <v>8.726606872363412</v>
      </c>
      <c r="AM14" s="41">
        <f>_xll.BDP($C14,AM$1)</f>
        <v>1.5478612423632614</v>
      </c>
      <c r="AN14" s="41" cm="1">
        <f t="array" ref="AN14">_xll.BQL($C14, "PX_TO_BOOK_RATIO(FPT=BA, FPR=2026, FYE=C1231, AE=E)")</f>
        <v>1.5070608521850748</v>
      </c>
      <c r="AO14" s="41" cm="1">
        <f t="array" ref="AO14">_xll.BQL($C14, "PX_TO_BOOK_RATIO(FPT=BA, FPR=2027, FYE=C1231, AE=E)")</f>
        <v>1.4279432992976391</v>
      </c>
      <c r="AP14" s="41">
        <f>_xll.BDP($C14,"BEST Px bps ratio","BEST fperiod override","27Y")</f>
        <v>1.3983875038976079</v>
      </c>
      <c r="AQ14" s="39">
        <f t="shared" si="2"/>
        <v>3.798296466625644E-2</v>
      </c>
      <c r="AR14" s="39">
        <f>_xll.BDP($C14,"BEST_ROE","BEST fperiod override","26Y")/100</f>
        <v>0.1066</v>
      </c>
      <c r="AS14" s="39">
        <f>_xll.BDP($C14,"BEST_ROE","BEST fperiod override","27Y")/100</f>
        <v>0.11405</v>
      </c>
      <c r="AT14" s="42">
        <f>_xll.BDP($C14,AT$1)</f>
        <v>2.8243789401472585</v>
      </c>
      <c r="AU14" s="42">
        <f>_xll.BDP($C14,$AU$1,"BEST fperiod override","26Y")</f>
        <v>2.8073901040560632</v>
      </c>
      <c r="AV14" s="42">
        <f>_xll.BDP($C14,$AU$1,"BEST fperiod override","27Y")</f>
        <v>2.9868337226587385</v>
      </c>
      <c r="AW14" s="42">
        <f t="shared" si="10"/>
        <v>4.5227265538093198E-2</v>
      </c>
      <c r="AX14" s="42">
        <f t="shared" si="11"/>
        <v>8.7519531224577785E-2</v>
      </c>
      <c r="AY14" s="42">
        <f t="shared" si="12"/>
        <v>0.30704780728345615</v>
      </c>
      <c r="AZ14" s="43" cm="1">
        <f t="array" ref="AZ14">_xll.BQL($C14, "CF_CASH_FROM_OPER(FPT=BA, FPR=2022, FYE=C1231, AE=A)", "currency=USD")/1000000000</f>
        <v>16.177</v>
      </c>
      <c r="BA14" s="43" cm="1">
        <f t="array" ref="BA14">_xll.BQL($C14, "CF_CASH_FROM_OPER(FPT=BA, FPR=2023, FYE=C1231, AE=A)", "currency=USD")/1000000000</f>
        <v>13.426</v>
      </c>
      <c r="BB14" s="43" cm="1">
        <f t="array" ref="BB14">_xll.BQL($C14, "CF_CASH_FROM_OPER(FPT=BA, FPR=2024, FYE=C1231, AE=A)", "currency=USD")/1000000000</f>
        <v>9.1069999999999993</v>
      </c>
      <c r="BC14" s="43" cm="1">
        <f t="array" ref="BC14">_xll.BQL($C14, "CF_CASH_FROM_OPER(FPT=BA, FPR=2025, FYE=C1231, AE=E)", "currency=USD")/1000000000</f>
        <v>6.8931972760675002</v>
      </c>
      <c r="BD14" s="43" cm="1">
        <f t="array" ref="BD14">_xll.BQL($C14, "CF_CASH_FROM_OPER(FPT=BA, FPR=2026, FYE=C1231, AE=E)", "currency=USD")/1000000000</f>
        <v>9.5035318916383318</v>
      </c>
      <c r="BE14" s="43" cm="1">
        <f t="array" ref="BE14">_xll.BQL($C14, "CF_CASH_FROM_OPER(FPT=BA, FPR=2027, FYE=C1231, AE=E)", "currency=USD")/1000000000</f>
        <v>12.567883973949998</v>
      </c>
      <c r="BF14" s="43" cm="1">
        <f t="array" ref="BF14">_xll.BQL($C14, "CF_FREE_CASH_FLOW(FPT=BA, FPR=2022, FYE=C1231, AE=A)", "currency=USD")/1000000000</f>
        <v>13.45</v>
      </c>
      <c r="BG14" s="43" cm="1">
        <f t="array" ref="BG14">_xll.BQL($C14, "CF_FREE_CASH_FLOW(FPT=BA, FPR=2023, FYE=C1231, AE=A)", "currency=USD")/1000000000</f>
        <v>10.395</v>
      </c>
      <c r="BH14" s="43" cm="1">
        <f t="array" ref="BH14">_xll.BQL($C14, "CF_FREE_CASH_FLOW(FPT=BA, FPR=2024, FYE=C1231, AE=A)", "currency=USD")/1000000000</f>
        <v>6.3259999999999996</v>
      </c>
      <c r="BI14" s="43" cm="1">
        <f t="array" ref="BI14">_xll.BQL($C14, "CF_FREE_CASH_FLOW(FPT=BA, FPR=2025, FYE=C1231, AE=E)", "currency=USD")/1000000000</f>
        <v>5.5684130505766296</v>
      </c>
      <c r="BJ14" s="43" cm="1">
        <f t="array" ref="BJ14">_xll.BQL($C14, "CF_FREE_CASH_FLOW(FPT=BA, FPR=2026, FYE=C1231, AE=E)", "currency=USD")/1000000000</f>
        <v>7.2600572906160403</v>
      </c>
      <c r="BK14" s="43" cm="1">
        <f t="array" ref="BK14">_xll.BQL($C14, "CF_FREE_CASH_FLOW(FPT=BA, FPR=2027, FYE=C1231, AE=E)", "currency=USD")/1000000000</f>
        <v>10.751111908798402</v>
      </c>
      <c r="BL14" s="43" cm="1">
        <f t="array" ref="BL14">_xll.BQL($C14, "SALES_REV_TURN(FPT=BA, FPR=2022, FYE=C1231, AE=A)", "currency=USD")/1000000000</f>
        <v>322.46699999999998</v>
      </c>
      <c r="BM14" s="43" cm="1">
        <f t="array" ref="BM14">_xll.BQL($C14, "SALES_REV_TURN(FPT=BA, FPR=2023, FYE=C1231, AE=A)", "currency=USD")/1000000000</f>
        <v>357.77600000000001</v>
      </c>
      <c r="BN14" s="43" cm="1">
        <f t="array" ref="BN14">_xll.BQL($C14, "SALES_REV_TURN(FPT=BA, FPR=2024, FYE=C1231, AE=A)", "currency=USD")/1000000000</f>
        <v>372.80900000000003</v>
      </c>
      <c r="BO14" s="43" cm="1">
        <f t="array" ref="BO14">_xll.BQL($C14, "SALES_REV_TURN(FPT=BA, FPR=2025, FYE=C1231, AE=E)", "currency=USD")/1000000000</f>
        <v>400.12447826086958</v>
      </c>
      <c r="BP14" s="43" cm="1">
        <f t="array" ref="BP14">_xll.BQL($C14, "SALES_REV_TURN(FPT=BA, FPR=2026, FYE=C1231, AE=E)", "currency=USD")/1000000000</f>
        <v>407.29384615384612</v>
      </c>
      <c r="BQ14" s="43" cm="1">
        <f t="array" ref="BQ14">_xll.BQL($C14, "SALES_REV_TURN(FPT=BA, FPR=2027, FYE=C1231, AE=E)", "currency=USD")/1000000000</f>
        <v>424.98876000000001</v>
      </c>
      <c r="BR14" s="43" cm="1">
        <f t="array" ref="BR14">_xll.BQL($C14, "EBITDA(FPT=BA, FPR=2022, FYE=C1231, AE=A)", "currency=USD")/1000000000</f>
        <v>14.696</v>
      </c>
      <c r="BS14" s="43" cm="1">
        <f t="array" ref="BS14">_xll.BQL($C14, "EBITDA(FPT=BA, FPR=2023, FYE=C1231, AE=A)", "currency=USD")/1000000000</f>
        <v>20.577999999999999</v>
      </c>
      <c r="BT14" s="43" cm="1">
        <f t="array" ref="BT14">_xll.BQL($C14, "EBITDA(FPT=BA, FPR=2024, FYE=C1231, AE=A)", "currency=USD")/1000000000</f>
        <v>15.468999999999999</v>
      </c>
      <c r="BU14" s="43" cm="1">
        <f t="array" ref="BU14">_xll.BQL($C14, "EBITDA(FPT=BA, FPR=2025, FYE=C1231, AE=E)", "currency=USD")/1000000000</f>
        <v>17.375388888888899</v>
      </c>
      <c r="BV14" s="43" cm="1">
        <f t="array" ref="BV14">_xll.BQL($C14, "EBITDA(FPT=BA, FPR=2026, FYE=C1231, AE=E)", "currency=USD")/1000000000</f>
        <v>18.295166666666699</v>
      </c>
      <c r="BW14" s="43" cm="1">
        <f t="array" ref="BW14">_xll.BQL($C14, "EBITDA(FPT=BA, FPR=2027, FYE=C1231, AE=E)", "currency=USD")/1000000000</f>
        <v>19.002388888888902</v>
      </c>
      <c r="BX14" s="43" cm="1">
        <f t="array" ref="BX14">_xll.BQL($C14, "NET_INCOME(FPT=BA, FPR=2022, FYE=C1231, AE=A)", "currency=USD")/1000000000</f>
        <v>4.3109999999999999</v>
      </c>
      <c r="BY14" s="43" cm="1">
        <f t="array" ref="BY14">_xll.BQL($C14, "NET_INCOME(FPT=BA, FPR=2023, FYE=C1231, AE=A)", "currency=USD")/1000000000</f>
        <v>8.3439999999999994</v>
      </c>
      <c r="BZ14" s="43" cm="1">
        <f t="array" ref="BZ14">_xll.BQL($C14, "NET_INCOME(FPT=BA, FPR=2024, FYE=C1231, AE=A)", "currency=USD")/1000000000</f>
        <v>4.6139999999999999</v>
      </c>
      <c r="CA14" s="43" cm="1">
        <f t="array" ref="CA14">_xll.BQL($C14, "NET_INCOME(FPT=BA, FPR=2025, FYE=C1231, AE=E)", "currency=USD")/1000000000</f>
        <v>-0.3418181818181818</v>
      </c>
      <c r="CB14" s="43" cm="1">
        <f t="array" ref="CB14">_xll.BQL($C14, "NET_INCOME(FPT=BA, FPR=2026, FYE=C1231, AE=E)", "currency=USD")/1000000000</f>
        <v>7.8824375</v>
      </c>
      <c r="CC14" s="43" cm="1">
        <f t="array" ref="CC14">_xll.BQL($C14, "NET_INCOME(FPT=BA, FPR=2027, FYE=C1231, AE=E)", "currency=USD")/1000000000</f>
        <v>9.1240625000000009</v>
      </c>
      <c r="CD14" s="43" cm="1">
        <f t="array" ref="CD14">-_xll.BQL($C14, "CF_DVD_PAID(FPT=BA, FPR=2024, FYE=C1231, AE=A)", "currency=USD")/1000000000</f>
        <v>3.3730000000000002</v>
      </c>
      <c r="CE14" s="43" cm="1">
        <f t="array" ref="CE14">-_xll.BQL($C14, "CF_DVD_PAID(FPT=BA, FPR=2025, FYE=C1231, AE=E)", "currency=USD")/1000000000</f>
        <v>3.3487049889721718</v>
      </c>
      <c r="CF14" s="43" cm="1">
        <f t="array" ref="CF14">-_xll.BQL($C14, "CF_DVD_PAID(FPT=BA, FPR=2026, FYE=C1231, AE=E)", "currency=USD")/1000000000</f>
        <v>3.4198384884769988</v>
      </c>
      <c r="CG14" s="43" cm="1">
        <f t="array" ref="CG14">-_xll.BQL($C14, "CF_DVD_PAID(FPT=BA, FPR=2027, FYE=C1231, AE=E)", "currency=USD")/1000000000</f>
        <v>3.5900269417875652</v>
      </c>
      <c r="CH14" s="44">
        <f t="shared" si="13"/>
        <v>2.806930909375906E-5</v>
      </c>
      <c r="CI14" s="44">
        <f t="shared" si="3"/>
        <v>2.7867131751933859E-5</v>
      </c>
      <c r="CJ14" s="44">
        <f t="shared" si="3"/>
        <v>2.8459087928785844E-5</v>
      </c>
      <c r="CK14" s="44">
        <f t="shared" si="3"/>
        <v>2.9875356028448775E-5</v>
      </c>
      <c r="CL14" s="41" cm="1">
        <f t="array" ref="CL14">_xll.BDP($C14,"INTERVAL_AVG", "MARKET_DATA_OVERRIDE=turnover", "CALC_INTERVAL=5D","CRNCY=HKD")/1000000</f>
        <v>7181.2995638570492</v>
      </c>
      <c r="CM14" s="41" cm="1">
        <f t="array" ref="CM14">_xll.BDP($C14,"INTERVAL_AVG", "MARKET_DATA_OVERRIDE=turnover", "CALC_INTERVAL=10D","CRNCY=HKD")/1000000</f>
        <v>7847.3575195575759</v>
      </c>
      <c r="CN14" s="41" cm="1">
        <f t="array" ref="CN14">_xll.BDP($C14,"INTERVAL_AVG", "MARKET_DATA_OVERRIDE=turnover", "CALC_INTERVAL=20D","CRNCY=HKD")/1000000</f>
        <v>6391.7575974967467</v>
      </c>
      <c r="CO14" s="41" cm="1">
        <f t="array" ref="CO14">_xll.BDP($C14,"INTERVAL_AVG", "MARKET_DATA_OVERRIDE=turnover", "CALC_INTERVAL=1m","CRNCY=HKD")/1000000</f>
        <v>6069.4641772708283</v>
      </c>
      <c r="CP14" s="41" cm="1">
        <f t="array" ref="CP14">_xll.BDP($C14,"INTERVAL_AVG", "MARKET_DATA_OVERRIDE=turnover", "CALC_INTERVAL=3M","CRNCY=HKD")/1000000</f>
        <v>5187.3016851294897</v>
      </c>
      <c r="CQ14" s="41" cm="1">
        <f t="array" ref="CQ14">_xll.BDP($C14,"INTERVAL_AVG", "MARKET_DATA_OVERRIDE=turnover", "CALC_INTERVAL=6M","CRNCY=HKD")/1000000</f>
        <v>5116.5102505445384</v>
      </c>
      <c r="CR14" s="45">
        <f>_xll.BDP($C14,"chg pct 1m")/100</f>
        <v>0.22982500000000003</v>
      </c>
      <c r="CS14" s="45">
        <f>_xll.BDP($C14,"chg pct 3m")/100</f>
        <v>0.22806100000000001</v>
      </c>
      <c r="CT14" s="45">
        <f>_xll.BDP($C14,"chg pct 6m")/100</f>
        <v>0.23855860000000001</v>
      </c>
      <c r="CU14" s="45">
        <f>_xll.BDP($C14,"chg pct 1yr")/100</f>
        <v>0.47756509999999996</v>
      </c>
      <c r="CV14" s="45">
        <f>_xll.BDP($C14,"chg pct ytd")/100</f>
        <v>0.18674389999999999</v>
      </c>
      <c r="CW14" s="39" cm="1">
        <f t="array" ref="CW14">_xll.BQL($C14, "volatility(calc_interval=range(-1M, 0D))")</f>
        <v>0.4013341478609565</v>
      </c>
      <c r="CX14" s="39" cm="1">
        <f t="array" ref="CX14">_xll.BQL($C14, "volatility(calc_interval=range(-3M, 0D))")</f>
        <v>0.35036859287323585</v>
      </c>
      <c r="CY14" s="39" cm="1">
        <f t="array" ref="CY14">_xll.BQL($C14, "volatility(calc_interval=range(-6M, 0D))")</f>
        <v>0.36396735364381139</v>
      </c>
      <c r="CZ14" s="46" t="str">
        <f>_xll.BDP($C14,CZ$1)</f>
        <v>CVS Health Corporation provides health care and retail pharmacy services. The Company offers prescription medications, beauty, personal care, cosmetics, and health care products, as well as pharmacy benefit management (PBM), disease management, and administrative services. CVS Health operates in the United States and Puerto Rico.</v>
      </c>
    </row>
    <row r="15" spans="1:116" s="47" customFormat="1" ht="31.5" x14ac:dyDescent="0.25">
      <c r="A15" s="35" t="str">
        <f>_xll.BDP($C15,"security name")</f>
        <v>H &amp; M Hennes &amp; Mauritz AB</v>
      </c>
      <c r="B15" s="35" t="str">
        <f>_xll.BDP($C15,"NAME_CHINESE_SIMPLIFIED")</f>
        <v>海恩斯莫里斯公司</v>
      </c>
      <c r="C15" s="36" t="s">
        <v>103</v>
      </c>
      <c r="D15" s="37" t="str">
        <f>_xll.BDP($C15,"LISTING_DATE")</f>
        <v>#N/A Field Not Applicable</v>
      </c>
      <c r="E15" s="37">
        <f>_xll.BDP($C15,E$1,"EQY_FUND_CRNCY="&amp;$B$1)</f>
        <v>217702.582878327</v>
      </c>
      <c r="F15" s="37">
        <f>_xll.BDP($C15,F$1,"EQY_FUND_CRNCY="&amp;$C$1)</f>
        <v>27789.453638509669</v>
      </c>
      <c r="G15" s="38">
        <f>_xll.BDP($C15,G$1)</f>
        <v>163</v>
      </c>
      <c r="H15" s="37">
        <f>_xll.BDP($C15,H$1,"EQY_FUND_CRNCY="&amp;$B$1)</f>
        <v>35412.183249843787</v>
      </c>
      <c r="I15" s="37">
        <f>_xll.BDP($C15,I$1,"EQY_FUND_CRNCY="&amp;$C$1)</f>
        <v>4548.3621575251791</v>
      </c>
      <c r="J15" s="37">
        <f>_xll.BDP($C15,J$1,"EQY_FUND_CRNCY="&amp;$B$1)</f>
        <v>179395.13319230775</v>
      </c>
      <c r="K15" s="37">
        <f>_xll.BDP($C15,K$1,"EQY_FUND_CRNCY="&amp;$C$1)</f>
        <v>23011.543303096158</v>
      </c>
      <c r="L15" s="37">
        <f>_xll.BDP($C15,L$1,"EQY_FUND_CRNCY="&amp;$B$1)</f>
        <v>9554.224015384616</v>
      </c>
      <c r="M15" s="37">
        <f>_xll.BDP($C15,M$1,"EQY_FUND_CRNCY="&amp;$C$1)</f>
        <v>1225.5485182076925</v>
      </c>
      <c r="N15" s="39">
        <f>_xll.BDP($C15,N$1)/100</f>
        <v>0.53395098232472571</v>
      </c>
      <c r="O15" s="39">
        <f>_xll.BDP($C15,O$1)/100</f>
        <v>0.17376963006767857</v>
      </c>
      <c r="P15" s="39">
        <f>_xll.BDP($C15,P$1)/100</f>
        <v>5.3257988917362067E-2</v>
      </c>
      <c r="Q15" s="39">
        <f>_xll.BDP($C15,Q$1)/100</f>
        <v>-2.6411859534796443E-2</v>
      </c>
      <c r="R15" s="39">
        <f>_xll.BDP($C15,R$1)/100</f>
        <v>4.620944841235694E-2</v>
      </c>
      <c r="S15" s="39">
        <f>_xll.BDP($C15,S$1)/100</f>
        <v>1.8056441660651501</v>
      </c>
      <c r="T15" s="39">
        <f>_xll.BDP($C15,T$1)/100</f>
        <v>1.8067379604389457</v>
      </c>
      <c r="U15" s="39">
        <f>_xll.BDP($C15,U$1)/100</f>
        <v>1.3188115584324869</v>
      </c>
      <c r="V15" s="39">
        <f>_xll.BDP($C15,V$1)/100</f>
        <v>0.45542746060737754</v>
      </c>
      <c r="W15" s="39" t="e">
        <f>_xll.BDP($C15,W$1)/100</f>
        <v>#VALUE!</v>
      </c>
      <c r="X15" s="40" cm="1">
        <f t="array" ref="X15">_xll.BDP($C15,"CRNCY_ADJ_CURR_EV", "EQY_FUND_CRNCY=HKD")</f>
        <v>268039.39487015572</v>
      </c>
      <c r="Y15" s="40" cm="1">
        <f t="array" ref="Y15">_xll.BDP($C15,"CRNCY_ADJ_CURR_EV", "EQY_FUND_CRNCY=USD")</f>
        <v>34224.905370120861</v>
      </c>
      <c r="Z15" s="39" t="e">
        <f>_xll.BDP($C15,Z$1)/100</f>
        <v>#VALUE!</v>
      </c>
      <c r="AA15" s="40">
        <f>_xll.BDP($C15,"TRAIL_12M_NET_SALES","EQY_FUND_CRNCY=HKD")</f>
        <v>182918.5885119231</v>
      </c>
      <c r="AB15" s="40">
        <f>_xll.BDP($C15,"TRAIL_12M_NET_INC","EQY_FUND_CRNCY=HKD")</f>
        <v>10102.648241538462</v>
      </c>
      <c r="AC15" s="40">
        <f>_xll.BDP($C15,"TRAIL_12M_EBITDA","EQY_FUND_CRNCY=HKD")</f>
        <v>31672.278932307694</v>
      </c>
      <c r="AD15" s="41">
        <f t="shared" ref="AD15" si="25">IF(AB15&lt;0,"N/A",$E15/AB15)</f>
        <v>21.549060966332782</v>
      </c>
      <c r="AE15" s="41" cm="1">
        <f t="array" ref="AE15">_xll.BQL($C15, "PE_RATIO(FPT=BA, FPR=2026, FYE=C1231, AE=E)")</f>
        <v>19.094264335944104</v>
      </c>
      <c r="AF15" s="41" cm="1">
        <f t="array" ref="AF15">_xll.BQL($C15, "PE_RATIO(FPT=BA, FPR=2027, FYE=C1231, AE=E)")</f>
        <v>18.103522744434581</v>
      </c>
      <c r="AG15" s="41">
        <f t="shared" ref="AG15" si="26">$E15/AA15</f>
        <v>1.190161069191372</v>
      </c>
      <c r="AH15" s="41" cm="1">
        <f t="array" ref="AH15">_xll.BQL($C15, "PX_TO_SALES_RATIO(FPT=BA, FPR=2026, FYE=C1231, AE=E)")</f>
        <v>1.1749797076948465</v>
      </c>
      <c r="AI15" s="41" cm="1">
        <f t="array" ref="AI15">_xll.BQL($C15, "PX_TO_SALES_RATIO(FPT=BA, FPR=2027, FYE=C1231, AE=E)")</f>
        <v>1.1540057330357829</v>
      </c>
      <c r="AJ15" s="41">
        <f t="shared" ref="AJ15" si="27">IF(AC15&lt;0,"N/A",$X15/AC15)</f>
        <v>8.4629020678628493</v>
      </c>
      <c r="AK15" s="41" cm="1">
        <f t="array" ref="AK15">IF(_xll.BQL($C15, "CURR_ENTP_VAL(FPT=A,FPO=0)/EBITDA(FPT=BA, FPR=2026, FYE=C1231, AE=E)")&lt;0,"N/A",_xll.BQL($C15, "CURR_ENTP_VAL(FPT=A,FPO=0)/EBITDA(FPT=BA, FPR=2026, FYE=C1231, AE=E)"))</f>
        <v>8.3000655734975535</v>
      </c>
      <c r="AL15" s="41" cm="1">
        <f t="array" ref="AL15">IF(_xll.BQL($C15, "CURR_ENTP_VAL(FPT=A,FPO=0)/EBITDA(FPT=BA, FPR=2027, FYE=C1231, AE=E)")&lt;0,"N/A",_xll.BQL($C15, "CURR_ENTP_VAL(FPT=A,FPO=0)/EBITDA(FPT=BA, FPR=2027, FYE=C1231, AE=E)"))</f>
        <v>8.0155369268439003</v>
      </c>
      <c r="AM15" s="41">
        <f>_xll.BDP($C15,AM$1)</f>
        <v>6.2869522993361491</v>
      </c>
      <c r="AN15" s="41" cm="1">
        <f t="array" ref="AN15">_xll.BQL($C15, "PX_TO_BOOK_RATIO(FPT=BA, FPR=2026, FYE=C1231, AE=E)")</f>
        <v>5.9329139895981911</v>
      </c>
      <c r="AO15" s="41" cm="1">
        <f t="array" ref="AO15">_xll.BQL($C15, "PX_TO_BOOK_RATIO(FPT=BA, FPR=2027, FYE=C1231, AE=E)")</f>
        <v>5.6001815787714513</v>
      </c>
      <c r="AP15" s="41">
        <f>_xll.BDP($C15,"BEST Px bps ratio","BEST fperiod override","27Y")</f>
        <v>5.5768441220747222</v>
      </c>
      <c r="AQ15" s="39" t="e">
        <f t="shared" ref="AQ15" si="28">Z15</f>
        <v>#VALUE!</v>
      </c>
      <c r="AR15" s="39">
        <f>_xll.BDP($C15,"BEST_ROE","BEST fperiod override","26Y")/100</f>
        <v>0.30292999999999998</v>
      </c>
      <c r="AS15" s="39">
        <f>_xll.BDP($C15,"BEST_ROE","BEST fperiod override","27Y")/100</f>
        <v>0.32374000000000003</v>
      </c>
      <c r="AT15" s="42">
        <f>_xll.BDP($C15,AT$1)</f>
        <v>4.3585020900138538</v>
      </c>
      <c r="AU15" s="42">
        <f>_xll.BDP($C15,$AU$1,"BEST fperiod override","26Y")</f>
        <v>4.5024539877300622</v>
      </c>
      <c r="AV15" s="42">
        <f>_xll.BDP($C15,$AU$1,"BEST fperiod override","27Y")</f>
        <v>4.7865030674846629</v>
      </c>
      <c r="AW15" s="42">
        <f t="shared" ref="AW15" si="29">(BP15/BN15)^(1/2)-1</f>
        <v>3.6145043250063846E-2</v>
      </c>
      <c r="AX15" s="42">
        <f t="shared" ref="AX15" si="30">(BV15/BT15)^(1/2)-1</f>
        <v>9.3730151557475549E-2</v>
      </c>
      <c r="AY15" s="42">
        <f t="shared" ref="AY15" si="31">(CB15/BZ15)^(1/2)-1</f>
        <v>0.15880726097959874</v>
      </c>
      <c r="AZ15" s="43" cm="1">
        <f t="array" ref="AZ15">_xll.BQL($C15, "CF_CASH_FROM_OPER(FPT=BA, FPR=2022, FYE=C1231, AE=A)", "currency=USD")/1000000000</f>
        <v>2.4241186449427867</v>
      </c>
      <c r="BA15" s="43" cm="1">
        <f t="array" ref="BA15">_xll.BQL($C15, "CF_CASH_FROM_OPER(FPT=BA, FPR=2023, FYE=C1231, AE=A)", "currency=USD")/1000000000</f>
        <v>3.1688053119305071</v>
      </c>
      <c r="BB15" s="43" cm="1">
        <f t="array" ref="BB15">_xll.BQL($C15, "CF_CASH_FROM_OPER(FPT=BA, FPR=2024, FYE=C1231, AE=A)", "currency=USD")/1000000000</f>
        <v>2.9881701285861042</v>
      </c>
      <c r="BC15" s="43" cm="1">
        <f t="array" ref="BC15">_xll.BQL($C15, "CF_CASH_FROM_OPER(FPT=BA, FPR=2025, FYE=C1231, AE=E)", "currency=USD")/1000000000</f>
        <v>4.6864970079382591</v>
      </c>
      <c r="BD15" s="43" cm="1">
        <f t="array" ref="BD15">_xll.BQL($C15, "CF_CASH_FROM_OPER(FPT=BA, FPR=2026, FYE=C1231, AE=E)", "currency=USD")/1000000000</f>
        <v>3.9173809230679515</v>
      </c>
      <c r="BE15" s="43" cm="1">
        <f t="array" ref="BE15">_xll.BQL($C15, "CF_CASH_FROM_OPER(FPT=BA, FPR=2027, FYE=C1231, AE=E)", "currency=USD")/1000000000</f>
        <v>3.9331037495860151</v>
      </c>
      <c r="BF15" s="43" cm="1">
        <f t="array" ref="BF15">_xll.BQL($C15, "CF_FREE_CASH_FLOW(FPT=BA, FPR=2022, FYE=C1231, AE=A)", "currency=USD")/1000000000</f>
        <v>1.9597793945390827</v>
      </c>
      <c r="BG15" s="43" cm="1">
        <f t="array" ref="BG15">_xll.BQL($C15, "CF_FREE_CASH_FLOW(FPT=BA, FPR=2023, FYE=C1231, AE=A)", "currency=USD")/1000000000</f>
        <v>2.4125135029752336</v>
      </c>
      <c r="BH15" s="43" cm="1">
        <f t="array" ref="BH15">_xll.BQL($C15, "CF_FREE_CASH_FLOW(FPT=BA, FPR=2024, FYE=C1231, AE=A)", "currency=USD")/1000000000</f>
        <v>2.0299633763161697</v>
      </c>
      <c r="BI15" s="43" cm="1">
        <f t="array" ref="BI15">_xll.BQL($C15, "CF_FREE_CASH_FLOW(FPT=BA, FPR=2025, FYE=C1231, AE=E)", "currency=USD")/1000000000</f>
        <v>3.9477055970309505</v>
      </c>
      <c r="BJ15" s="43" cm="1">
        <f t="array" ref="BJ15">_xll.BQL($C15, "CF_FREE_CASH_FLOW(FPT=BA, FPR=2026, FYE=C1231, AE=E)", "currency=USD")/1000000000</f>
        <v>2.8950644133666987</v>
      </c>
      <c r="BK15" s="43" cm="1">
        <f t="array" ref="BK15">_xll.BQL($C15, "CF_FREE_CASH_FLOW(FPT=BA, FPR=2027, FYE=C1231, AE=E)", "currency=USD")/1000000000</f>
        <v>2.8533000863968208</v>
      </c>
      <c r="BL15" s="43" cm="1">
        <f t="array" ref="BL15">_xll.BQL($C15, "SALES_REV_TURN(FPT=BA, FPR=2022, FYE=C1231, AE=A)", "currency=USD")/1000000000</f>
        <v>21.915431395475888</v>
      </c>
      <c r="BM15" s="43" cm="1">
        <f t="array" ref="BM15">_xll.BQL($C15, "SALES_REV_TURN(FPT=BA, FPR=2023, FYE=C1231, AE=A)", "currency=USD")/1000000000</f>
        <v>22.213390476446126</v>
      </c>
      <c r="BN15" s="43" cm="1">
        <f t="array" ref="BN15">_xll.BQL($C15, "SALES_REV_TURN(FPT=BA, FPR=2024, FYE=C1231, AE=A)", "currency=USD")/1000000000</f>
        <v>22.070461908760528</v>
      </c>
      <c r="BO15" s="43" cm="1">
        <f t="array" ref="BO15">_xll.BQL($C15, "SALES_REV_TURN(FPT=BA, FPR=2025, FYE=C1231, AE=E)", "currency=USD")/1000000000</f>
        <v>24.319544402367772</v>
      </c>
      <c r="BP15" s="43" cm="1">
        <f t="array" ref="BP15">_xll.BQL($C15, "SALES_REV_TURN(FPT=BA, FPR=2026, FYE=C1231, AE=E)", "currency=USD")/1000000000</f>
        <v>23.69477177653452</v>
      </c>
      <c r="BQ15" s="43" cm="1">
        <f t="array" ref="BQ15">_xll.BQL($C15, "SALES_REV_TURN(FPT=BA, FPR=2027, FYE=C1231, AE=E)", "currency=USD")/1000000000</f>
        <v>24.125422620431081</v>
      </c>
      <c r="BR15" s="43" cm="1">
        <f t="array" ref="BR15">_xll.BQL($C15, "EBITDA(FPT=BA, FPR=2022, FYE=C1231, AE=A)", "currency=USD")/1000000000</f>
        <v>2.8700988080161802</v>
      </c>
      <c r="BS15" s="43" cm="1">
        <f t="array" ref="BS15">_xll.BQL($C15, "EBITDA(FPT=BA, FPR=2023, FYE=C1231, AE=A)", "currency=USD")/1000000000</f>
        <v>3.5157686016181211</v>
      </c>
      <c r="BT15" s="43" cm="1">
        <f t="array" ref="BT15">_xll.BQL($C15, "EBITDA(FPT=BA, FPR=2024, FYE=C1231, AE=A)", "currency=USD")/1000000000</f>
        <v>3.6334669608876036</v>
      </c>
      <c r="BU15" s="43" cm="1">
        <f t="array" ref="BU15">_xll.BQL($C15, "EBITDA(FPT=BA, FPR=2025, FYE=C1231, AE=E)", "currency=USD")/1000000000</f>
        <v>4.1734309665614129</v>
      </c>
      <c r="BV15" s="43" cm="1">
        <f t="array" ref="BV15">_xll.BQL($C15, "EBITDA(FPT=BA, FPR=2026, FYE=C1231, AE=E)", "currency=USD")/1000000000</f>
        <v>4.3465190261273481</v>
      </c>
      <c r="BW15" s="43" cm="1">
        <f t="array" ref="BW15">_xll.BQL($C15, "EBITDA(FPT=BA, FPR=2027, FYE=C1231, AE=E)", "currency=USD")/1000000000</f>
        <v>4.5008080260340986</v>
      </c>
      <c r="BX15" s="43" cm="1">
        <f t="array" ref="BX15">_xll.BQL($C15, "NET_INCOME(FPT=BA, FPR=2022, FYE=C1231, AE=A)", "currency=USD")/1000000000</f>
        <v>0.35738188325210768</v>
      </c>
      <c r="BY15" s="43" cm="1">
        <f t="array" ref="BY15">_xll.BQL($C15, "NET_INCOME(FPT=BA, FPR=2023, FYE=C1231, AE=A)", "currency=USD")/1000000000</f>
        <v>0.847398877650825</v>
      </c>
      <c r="BZ15" s="43" cm="1">
        <f t="array" ref="BZ15">_xll.BQL($C15, "NET_INCOME(FPT=BA, FPR=2024, FYE=C1231, AE=A)", "currency=USD")/1000000000</f>
        <v>1.0725105946779867</v>
      </c>
      <c r="CA15" s="43" cm="1">
        <f t="array" ref="CA15">_xll.BQL($C15, "NET_INCOME(FPT=BA, FPR=2025, FYE=C1231, AE=E)", "currency=USD")/1000000000</f>
        <v>1.1936199896359307</v>
      </c>
      <c r="CB15" s="43" cm="1">
        <f t="array" ref="CB15">_xll.BQL($C15, "NET_INCOME(FPT=BA, FPR=2026, FYE=C1231, AE=E)", "currency=USD")/1000000000</f>
        <v>1.4402039794328803</v>
      </c>
      <c r="CC15" s="43" cm="1">
        <f t="array" ref="CC15">_xll.BQL($C15, "NET_INCOME(FPT=BA, FPR=2027, FYE=C1231, AE=E)", "currency=USD")/1000000000</f>
        <v>1.5787606995621086</v>
      </c>
      <c r="CD15" s="43" cm="1">
        <f t="array" ref="CD15">-_xll.BQL($C15, "CF_DVD_PAID(FPT=BA, FPR=2024, FYE=C1231, AE=A)", "currency=USD")/1000000000</f>
        <v>0.98093319184732841</v>
      </c>
      <c r="CE15" s="43" cm="1">
        <f t="array" ref="CE15">-_xll.BQL($C15, "CF_DVD_PAID(FPT=BA, FPR=2025, FYE=C1231, AE=E)", "currency=USD")/1000000000</f>
        <v>1.5864487963418576</v>
      </c>
      <c r="CF15" s="43" cm="1">
        <f t="array" ref="CF15">-_xll.BQL($C15, "CF_DVD_PAID(FPT=BA, FPR=2026, FYE=C1231, AE=E)", "currency=USD")/1000000000</f>
        <v>1.3871056337500109</v>
      </c>
      <c r="CG15" s="43" cm="1">
        <f t="array" ref="CG15">-_xll.BQL($C15, "CF_DVD_PAID(FPT=BA, FPR=2027, FYE=C1231, AE=E)", "currency=USD")/1000000000</f>
        <v>1.3481862095728026</v>
      </c>
      <c r="CH15" s="44">
        <f t="shared" ref="CH15" si="32">CD15/$F15</f>
        <v>3.5298757744844071E-5</v>
      </c>
      <c r="CI15" s="44">
        <f t="shared" ref="CI15" si="33">CE15/$F15</f>
        <v>5.7088160745391966E-5</v>
      </c>
      <c r="CJ15" s="44">
        <f t="shared" ref="CJ15" si="34">CF15/$F15</f>
        <v>4.991482206860691E-5</v>
      </c>
      <c r="CK15" s="44">
        <f t="shared" ref="CK15" si="35">CG15/$F15</f>
        <v>4.8514311476226095E-5</v>
      </c>
      <c r="CL15" s="41" cm="1">
        <f t="array" ref="CL15">_xll.BDP($C15,"INTERVAL_AVG", "MARKET_DATA_OVERRIDE=turnover", "CALC_INTERVAL=5D","CRNCY=HKD")/1000000</f>
        <v>309.90781600386026</v>
      </c>
      <c r="CM15" s="41" cm="1">
        <f t="array" ref="CM15">_xll.BDP($C15,"INTERVAL_AVG", "MARKET_DATA_OVERRIDE=turnover", "CALC_INTERVAL=10D","CRNCY=HKD")/1000000</f>
        <v>351.31867118373094</v>
      </c>
      <c r="CN15" s="41" cm="1">
        <f t="array" ref="CN15">_xll.BDP($C15,"INTERVAL_AVG", "MARKET_DATA_OVERRIDE=turnover", "CALC_INTERVAL=20D","CRNCY=HKD")/1000000</f>
        <v>295.32087187542226</v>
      </c>
      <c r="CO15" s="41" cm="1">
        <f t="array" ref="CO15">_xll.BDP($C15,"INTERVAL_AVG", "MARKET_DATA_OVERRIDE=turnover", "CALC_INTERVAL=1m","CRNCY=HKD")/1000000</f>
        <v>291.7601942406971</v>
      </c>
      <c r="CP15" s="41" cm="1">
        <f t="array" ref="CP15">_xll.BDP($C15,"INTERVAL_AVG", "MARKET_DATA_OVERRIDE=turnover", "CALC_INTERVAL=3M","CRNCY=HKD")/1000000</f>
        <v>304.36468794394864</v>
      </c>
      <c r="CQ15" s="41" cm="1">
        <f t="array" ref="CQ15">_xll.BDP($C15,"INTERVAL_AVG", "MARKET_DATA_OVERRIDE=turnover", "CALC_INTERVAL=6M","CRNCY=HKD")/1000000</f>
        <v>315.80158671993951</v>
      </c>
      <c r="CR15" s="45">
        <f>_xll.BDP($C15,"chg pct 1m")/100</f>
        <v>-8.3239610000000006E-2</v>
      </c>
      <c r="CS15" s="45">
        <f>_xll.BDP($C15,"chg pct 3m")/100</f>
        <v>-0.1090462</v>
      </c>
      <c r="CT15" s="45">
        <f>_xll.BDP($C15,"chg pct 6m")/100</f>
        <v>-4.9008130000000004E-2</v>
      </c>
      <c r="CU15" s="45">
        <f>_xll.BDP($C15,"chg pct 1yr")/100</f>
        <v>0.1470795</v>
      </c>
      <c r="CV15" s="45">
        <f>_xll.BDP($C15,"chg pct ytd")/100</f>
        <v>-0.1231845</v>
      </c>
      <c r="CW15" s="39" cm="1">
        <f t="array" ref="CW15">_xll.BQL($C15, "volatility(calc_interval=range(-1M, 0D))")</f>
        <v>0.30626581047188917</v>
      </c>
      <c r="CX15" s="39" cm="1">
        <f t="array" ref="CX15">_xll.BQL($C15, "volatility(calc_interval=range(-3M, 0D))")</f>
        <v>0.28051778989268206</v>
      </c>
      <c r="CY15" s="39" cm="1">
        <f t="array" ref="CY15">_xll.BQL($C15, "volatility(calc_interval=range(-6M, 0D))")</f>
        <v>0.24983431148856514</v>
      </c>
      <c r="CZ15" s="46" t="str">
        <f>_xll.BDP($C15,CZ$1)</f>
        <v>H &amp; M Hennes &amp; Mauritz AB designs and retails fashions for women, men, teens, and children. The Company sells a variety trendy, sporty, and classic garments in addition to accessories such as jewelery, bags, scarves, and cosmetics. H &amp; M Hennes &amp; Mauritz serves customers worldwide.</v>
      </c>
    </row>
    <row r="16" spans="1:116" s="48" customFormat="1" ht="15" x14ac:dyDescent="0.25"/>
    <row r="17" spans="1:116" s="26" customFormat="1" ht="15.75" x14ac:dyDescent="0.25">
      <c r="A17" s="49"/>
      <c r="B17" s="49" t="s">
        <v>104</v>
      </c>
      <c r="C17" s="50">
        <v>13.732419316599362</v>
      </c>
      <c r="D17" s="49"/>
      <c r="E17" s="50" cm="1">
        <f t="array" ref="E17">_xll.BDP("HSI Index", "PE_RATIO")</f>
        <v>13.424773832876559</v>
      </c>
      <c r="F17" s="51"/>
      <c r="G17" s="52"/>
      <c r="L17" s="53" t="s">
        <v>105</v>
      </c>
      <c r="M17" s="53" t="s">
        <v>105</v>
      </c>
      <c r="N17" s="54" t="e">
        <f>MAX(N7:N11)</f>
        <v>#VALUE!</v>
      </c>
      <c r="O17" s="54">
        <f>MAX(O7:O11)</f>
        <v>0.17345971939899438</v>
      </c>
      <c r="P17" s="54">
        <f>MAX(P7:P11)</f>
        <v>5.2674854822961095E-2</v>
      </c>
      <c r="Q17" s="54">
        <f>MAX(Q7:Q11)</f>
        <v>8.3469248235208279E-2</v>
      </c>
      <c r="R17" s="54" t="e">
        <f>MAX(#REF!)</f>
        <v>#REF!</v>
      </c>
      <c r="S17" s="54" t="e">
        <f>MAX(#REF!)</f>
        <v>#REF!</v>
      </c>
      <c r="T17" s="54" t="e">
        <f>MAX(#REF!)</f>
        <v>#REF!</v>
      </c>
      <c r="U17" s="54" t="e">
        <f>MAX(#REF!)</f>
        <v>#REF!</v>
      </c>
      <c r="V17" s="54" t="e">
        <f>MAX(#REF!)</f>
        <v>#REF!</v>
      </c>
      <c r="W17" s="54" t="e">
        <f>MAX(#REF!)</f>
        <v>#REF!</v>
      </c>
      <c r="X17" s="55" t="e">
        <f>MAX(#REF!)</f>
        <v>#REF!</v>
      </c>
      <c r="Y17" s="55" t="e">
        <f>MAX(#REF!)</f>
        <v>#REF!</v>
      </c>
      <c r="Z17" s="54" t="e">
        <f>MAX(#REF!)</f>
        <v>#REF!</v>
      </c>
      <c r="AA17" s="54"/>
      <c r="AB17" s="54"/>
      <c r="AC17" s="54"/>
      <c r="AD17" s="56">
        <f>MAX(AD7:AD11)</f>
        <v>57.053171158863464</v>
      </c>
      <c r="AE17" s="56">
        <f t="shared" ref="AE17:AV17" si="36">MAX(AE7:AE9)</f>
        <v>46.576104375821821</v>
      </c>
      <c r="AF17" s="56">
        <f t="shared" si="36"/>
        <v>40.852409661610785</v>
      </c>
      <c r="AG17" s="56">
        <f t="shared" si="36"/>
        <v>1.507089295795351</v>
      </c>
      <c r="AH17" s="56">
        <f t="shared" si="36"/>
        <v>1.4334049709871868</v>
      </c>
      <c r="AI17" s="56">
        <f t="shared" si="36"/>
        <v>1.3671794603197607</v>
      </c>
      <c r="AJ17" s="56">
        <f t="shared" si="36"/>
        <v>24.489648492382557</v>
      </c>
      <c r="AK17" s="56">
        <f t="shared" si="36"/>
        <v>21.698404558722835</v>
      </c>
      <c r="AL17" s="56">
        <f t="shared" si="36"/>
        <v>19.712839487909726</v>
      </c>
      <c r="AM17" s="56">
        <f t="shared" si="36"/>
        <v>10.735514778406717</v>
      </c>
      <c r="AN17" s="56">
        <f t="shared" si="36"/>
        <v>9.7242298765684296</v>
      </c>
      <c r="AO17" s="56">
        <f t="shared" si="36"/>
        <v>8.8181213490270576</v>
      </c>
      <c r="AP17" s="56">
        <f t="shared" si="36"/>
        <v>9.7232285176061435</v>
      </c>
      <c r="AQ17" s="56">
        <f t="shared" si="36"/>
        <v>0.22969102449771805</v>
      </c>
      <c r="AR17" s="56">
        <f t="shared" si="36"/>
        <v>0.21592</v>
      </c>
      <c r="AS17" s="56">
        <f t="shared" si="36"/>
        <v>0.21426999999999999</v>
      </c>
      <c r="AT17" s="56">
        <f t="shared" si="36"/>
        <v>3.2552083333333335</v>
      </c>
      <c r="AU17" s="56">
        <f t="shared" si="36"/>
        <v>3.2747395833333335</v>
      </c>
      <c r="AV17" s="56">
        <f t="shared" si="36"/>
        <v>3.2356770833333335</v>
      </c>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8">
        <f t="shared" ref="CL17:CY17" si="37">MAX(CL7:CL9)</f>
        <v>19123.992726929151</v>
      </c>
      <c r="CM17" s="58">
        <f t="shared" si="37"/>
        <v>17589.413088146284</v>
      </c>
      <c r="CN17" s="58">
        <f t="shared" si="37"/>
        <v>16368.911965053505</v>
      </c>
      <c r="CO17" s="58">
        <f t="shared" si="37"/>
        <v>16610.733457109847</v>
      </c>
      <c r="CP17" s="58">
        <f t="shared" si="37"/>
        <v>18447.681637282531</v>
      </c>
      <c r="CQ17" s="58">
        <f t="shared" si="37"/>
        <v>23745.78858813347</v>
      </c>
      <c r="CR17" s="59">
        <f t="shared" si="37"/>
        <v>4.9093200000000004E-2</v>
      </c>
      <c r="CS17" s="59">
        <f t="shared" si="37"/>
        <v>9.114564E-2</v>
      </c>
      <c r="CT17" s="59">
        <f t="shared" si="37"/>
        <v>0.25291760000000002</v>
      </c>
      <c r="CU17" s="59">
        <f t="shared" si="37"/>
        <v>0.37218809999999997</v>
      </c>
      <c r="CV17" s="59">
        <f t="shared" si="37"/>
        <v>0.20455970000000001</v>
      </c>
      <c r="CW17" s="59">
        <f t="shared" si="37"/>
        <v>0.37298253319275859</v>
      </c>
      <c r="CX17" s="59">
        <f t="shared" si="37"/>
        <v>0.53793434103625726</v>
      </c>
      <c r="CY17" s="59">
        <f t="shared" si="37"/>
        <v>0.54402539551794327</v>
      </c>
      <c r="CZ17" s="60"/>
    </row>
    <row r="18" spans="1:116" s="26" customFormat="1" ht="15.75" x14ac:dyDescent="0.25">
      <c r="A18" s="49"/>
      <c r="B18" s="49" t="s">
        <v>106</v>
      </c>
      <c r="C18" s="50">
        <v>20.580118722898447</v>
      </c>
      <c r="D18" s="49"/>
      <c r="E18" s="50" cm="1">
        <f t="array" ref="E18">_xll.BDP("NYA Index", "PE_RATIO")</f>
        <v>20.316363769535421</v>
      </c>
      <c r="F18" s="51"/>
      <c r="G18" s="52"/>
      <c r="L18" s="61" t="s">
        <v>107</v>
      </c>
      <c r="M18" s="61" t="s">
        <v>107</v>
      </c>
      <c r="N18" s="62" t="e">
        <f>MEDIAN(N7:N11)</f>
        <v>#VALUE!</v>
      </c>
      <c r="O18" s="62">
        <f>MEDIAN(O7:O11)</f>
        <v>6.575916024807793E-2</v>
      </c>
      <c r="P18" s="62">
        <f>MEDIAN(P7:P11)</f>
        <v>3.0698451826581021E-2</v>
      </c>
      <c r="Q18" s="62">
        <f>MEDIAN(Q7:Q11)</f>
        <v>4.7252142117667789E-2</v>
      </c>
      <c r="R18" s="62" t="e">
        <f>MEDIAN(#REF!)</f>
        <v>#REF!</v>
      </c>
      <c r="S18" s="62" t="e">
        <f>MEDIAN(#REF!)</f>
        <v>#REF!</v>
      </c>
      <c r="T18" s="62" t="e">
        <f>MEDIAN(#REF!)</f>
        <v>#REF!</v>
      </c>
      <c r="U18" s="62" t="e">
        <f>MEDIAN(#REF!)</f>
        <v>#REF!</v>
      </c>
      <c r="V18" s="62" t="e">
        <f>MEDIAN(#REF!)</f>
        <v>#REF!</v>
      </c>
      <c r="W18" s="62" t="e">
        <f>MEDIAN(#REF!)</f>
        <v>#REF!</v>
      </c>
      <c r="X18" s="63" t="e">
        <f>MEDIAN(#REF!)</f>
        <v>#REF!</v>
      </c>
      <c r="Y18" s="63" t="e">
        <f>MEDIAN(#REF!)</f>
        <v>#REF!</v>
      </c>
      <c r="Z18" s="62" t="e">
        <f>MEDIAN(#REF!)</f>
        <v>#REF!</v>
      </c>
      <c r="AA18" s="62"/>
      <c r="AB18" s="62"/>
      <c r="AC18" s="62"/>
      <c r="AD18" s="64">
        <f t="shared" ref="AD18:AV18" si="38">MEDIAN(AD7:AD9)</f>
        <v>34.063096865437196</v>
      </c>
      <c r="AE18" s="64">
        <f t="shared" si="38"/>
        <v>34.159526008982901</v>
      </c>
      <c r="AF18" s="64">
        <f t="shared" si="38"/>
        <v>27.694362975718853</v>
      </c>
      <c r="AG18" s="64">
        <f t="shared" si="38"/>
        <v>0.46605902797788096</v>
      </c>
      <c r="AH18" s="64">
        <f t="shared" si="38"/>
        <v>0.44585488254475486</v>
      </c>
      <c r="AI18" s="64">
        <f t="shared" si="38"/>
        <v>0.43027256869314134</v>
      </c>
      <c r="AJ18" s="64">
        <f t="shared" si="38"/>
        <v>10.671301882211159</v>
      </c>
      <c r="AK18" s="64">
        <f t="shared" si="38"/>
        <v>15.015242514399615</v>
      </c>
      <c r="AL18" s="64">
        <f t="shared" si="38"/>
        <v>13.661339410521913</v>
      </c>
      <c r="AM18" s="64">
        <f t="shared" si="38"/>
        <v>2.3563055873706333</v>
      </c>
      <c r="AN18" s="64">
        <f t="shared" si="38"/>
        <v>2.2737623720389801</v>
      </c>
      <c r="AO18" s="64">
        <f t="shared" si="38"/>
        <v>2.1338397518707923</v>
      </c>
      <c r="AP18" s="64">
        <f t="shared" si="38"/>
        <v>2.2325227963525838</v>
      </c>
      <c r="AQ18" s="64">
        <f t="shared" si="38"/>
        <v>0.11097241542156054</v>
      </c>
      <c r="AR18" s="64">
        <f t="shared" si="38"/>
        <v>0.13893</v>
      </c>
      <c r="AS18" s="64">
        <f t="shared" si="38"/>
        <v>0.17071999999999998</v>
      </c>
      <c r="AT18" s="64">
        <f t="shared" si="38"/>
        <v>1.1232130538857332</v>
      </c>
      <c r="AU18" s="64">
        <f t="shared" si="38"/>
        <v>1.9849852909215102</v>
      </c>
      <c r="AV18" s="64">
        <f t="shared" si="38"/>
        <v>1.9833377965101837</v>
      </c>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6">
        <f t="shared" ref="CL18:CY18" si="39">MEDIAN(CL7:CL9)</f>
        <v>554.6798305828404</v>
      </c>
      <c r="CM18" s="66">
        <f t="shared" si="39"/>
        <v>543.59402436892901</v>
      </c>
      <c r="CN18" s="66">
        <f t="shared" si="39"/>
        <v>540.687251639019</v>
      </c>
      <c r="CO18" s="66">
        <f t="shared" si="39"/>
        <v>563.99768178215265</v>
      </c>
      <c r="CP18" s="66">
        <f t="shared" si="39"/>
        <v>780.81676237908653</v>
      </c>
      <c r="CQ18" s="66">
        <f t="shared" si="39"/>
        <v>1081.936716104133</v>
      </c>
      <c r="CR18" s="67">
        <f t="shared" si="39"/>
        <v>-3.4023100000000003E-4</v>
      </c>
      <c r="CS18" s="67">
        <f t="shared" si="39"/>
        <v>-3.8769819999999997E-2</v>
      </c>
      <c r="CT18" s="67">
        <f t="shared" si="39"/>
        <v>-0.12428739999999999</v>
      </c>
      <c r="CU18" s="67">
        <f t="shared" si="39"/>
        <v>0.33914559999999999</v>
      </c>
      <c r="CV18" s="67">
        <f t="shared" si="39"/>
        <v>-0.21328160000000002</v>
      </c>
      <c r="CW18" s="67">
        <f t="shared" si="39"/>
        <v>0.36384717501464547</v>
      </c>
      <c r="CX18" s="67">
        <f t="shared" si="39"/>
        <v>0.43541756063218162</v>
      </c>
      <c r="CY18" s="67">
        <f t="shared" si="39"/>
        <v>0.43323303973048882</v>
      </c>
      <c r="CZ18" s="60"/>
    </row>
    <row r="19" spans="1:116" s="26" customFormat="1" ht="15.75" x14ac:dyDescent="0.25">
      <c r="A19" s="49"/>
      <c r="B19" s="49" t="s">
        <v>108</v>
      </c>
      <c r="C19" s="50">
        <v>16.720077912188227</v>
      </c>
      <c r="D19" s="49"/>
      <c r="E19" s="50" cm="1">
        <f t="array" ref="E19">_xll.BDP("UKX Index", "PE_RATIO")</f>
        <v>16.688295795102583</v>
      </c>
      <c r="F19" s="51"/>
      <c r="G19" s="52"/>
      <c r="L19" s="61" t="s">
        <v>109</v>
      </c>
      <c r="M19" s="61" t="s">
        <v>109</v>
      </c>
      <c r="N19" s="62" t="e">
        <f>AVERAGE(N7:N11)</f>
        <v>#VALUE!</v>
      </c>
      <c r="O19" s="62">
        <f>AVERAGE(O7:O11)</f>
        <v>8.9645857361228473E-2</v>
      </c>
      <c r="P19" s="62">
        <f>AVERAGE(P7:P11)</f>
        <v>3.1185472957902353E-2</v>
      </c>
      <c r="Q19" s="62">
        <f>AVERAGE(Q7:Q11)</f>
        <v>4.5243842360930084E-2</v>
      </c>
      <c r="R19" s="62" t="e">
        <f>AVERAGE(#REF!)</f>
        <v>#REF!</v>
      </c>
      <c r="S19" s="62" t="e">
        <f>AVERAGE(#REF!)</f>
        <v>#REF!</v>
      </c>
      <c r="T19" s="62" t="e">
        <f>AVERAGE(#REF!)</f>
        <v>#REF!</v>
      </c>
      <c r="U19" s="62" t="e">
        <f>AVERAGE(#REF!)</f>
        <v>#REF!</v>
      </c>
      <c r="V19" s="62" t="e">
        <f>AVERAGE(#REF!)</f>
        <v>#REF!</v>
      </c>
      <c r="W19" s="62" t="e">
        <f>AVERAGE(#REF!)</f>
        <v>#REF!</v>
      </c>
      <c r="X19" s="63" t="e">
        <f>AVERAGE(#REF!)</f>
        <v>#REF!</v>
      </c>
      <c r="Y19" s="63" t="e">
        <f>AVERAGE(#REF!)</f>
        <v>#REF!</v>
      </c>
      <c r="Z19" s="62" t="e">
        <f>AVERAGE(#REF!)</f>
        <v>#REF!</v>
      </c>
      <c r="AA19" s="62"/>
      <c r="AB19" s="62"/>
      <c r="AC19" s="62"/>
      <c r="AD19" s="64">
        <f t="shared" ref="AD19:AV19" si="40">AVERAGE(AD7:AD9)</f>
        <v>32.207643651517849</v>
      </c>
      <c r="AE19" s="64">
        <f t="shared" si="40"/>
        <v>29.854207252985034</v>
      </c>
      <c r="AF19" s="64">
        <f t="shared" si="40"/>
        <v>25.443381150029634</v>
      </c>
      <c r="AG19" s="64">
        <f t="shared" si="40"/>
        <v>0.75444993672440841</v>
      </c>
      <c r="AH19" s="64">
        <f t="shared" si="40"/>
        <v>0.72544066798566831</v>
      </c>
      <c r="AI19" s="64">
        <f t="shared" si="40"/>
        <v>0.69225095678043569</v>
      </c>
      <c r="AJ19" s="64">
        <f t="shared" si="40"/>
        <v>13.28798541503928</v>
      </c>
      <c r="AK19" s="64">
        <f t="shared" si="40"/>
        <v>15.015242514399615</v>
      </c>
      <c r="AL19" s="64">
        <f t="shared" si="40"/>
        <v>13.661339410521913</v>
      </c>
      <c r="AM19" s="64">
        <f t="shared" si="40"/>
        <v>4.8748596552841343</v>
      </c>
      <c r="AN19" s="64">
        <f t="shared" si="40"/>
        <v>4.4192426696792433</v>
      </c>
      <c r="AO19" s="64">
        <f t="shared" si="40"/>
        <v>4.0321660009317339</v>
      </c>
      <c r="AP19" s="64">
        <f t="shared" si="40"/>
        <v>4.4081812161127916</v>
      </c>
      <c r="AQ19" s="64">
        <f t="shared" si="40"/>
        <v>0.13542508715024415</v>
      </c>
      <c r="AR19" s="64">
        <f t="shared" si="40"/>
        <v>0.13678333333333334</v>
      </c>
      <c r="AS19" s="64">
        <f t="shared" si="40"/>
        <v>0.15162999999999999</v>
      </c>
      <c r="AT19" s="64">
        <f t="shared" si="40"/>
        <v>1.7053754374527399</v>
      </c>
      <c r="AU19" s="64">
        <f t="shared" si="40"/>
        <v>1.9849852909215104</v>
      </c>
      <c r="AV19" s="64">
        <f t="shared" si="40"/>
        <v>1.9833377965101839</v>
      </c>
      <c r="AW19" s="65"/>
      <c r="AX19" s="65"/>
      <c r="AY19" s="65"/>
      <c r="AZ19" s="65"/>
      <c r="BA19" s="65"/>
      <c r="BB19" s="65"/>
      <c r="BC19" s="65"/>
      <c r="BD19" s="65"/>
      <c r="BE19" s="65"/>
      <c r="BF19" s="65"/>
      <c r="BG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6">
        <f t="shared" ref="CL19:CY19" si="41">AVERAGE(CL7:CL9)</f>
        <v>6561.9724750043606</v>
      </c>
      <c r="CM19" s="66">
        <f t="shared" si="41"/>
        <v>6045.7564787493748</v>
      </c>
      <c r="CN19" s="66">
        <f t="shared" si="41"/>
        <v>5637.6813974405241</v>
      </c>
      <c r="CO19" s="66">
        <f t="shared" si="41"/>
        <v>5726.0162369040545</v>
      </c>
      <c r="CP19" s="66">
        <f t="shared" si="41"/>
        <v>6412.8589925467468</v>
      </c>
      <c r="CQ19" s="66">
        <f t="shared" si="41"/>
        <v>8278.4223505244936</v>
      </c>
      <c r="CR19" s="67">
        <f t="shared" si="41"/>
        <v>-5.9537076999999994E-2</v>
      </c>
      <c r="CS19" s="67">
        <f t="shared" si="41"/>
        <v>-0.11318272666666666</v>
      </c>
      <c r="CT19" s="67">
        <f t="shared" si="41"/>
        <v>-5.007039999999998E-2</v>
      </c>
      <c r="CU19" s="67">
        <f t="shared" si="41"/>
        <v>0.14220353333333333</v>
      </c>
      <c r="CV19" s="67">
        <f t="shared" si="41"/>
        <v>-0.1420806</v>
      </c>
      <c r="CW19" s="67">
        <f t="shared" si="41"/>
        <v>0.31423146790577233</v>
      </c>
      <c r="CX19" s="67">
        <f t="shared" si="41"/>
        <v>0.4006458365595213</v>
      </c>
      <c r="CY19" s="67">
        <f t="shared" si="41"/>
        <v>0.40518517961787426</v>
      </c>
      <c r="CZ19" s="60"/>
    </row>
    <row r="20" spans="1:116" s="26" customFormat="1" ht="15.75" x14ac:dyDescent="0.25">
      <c r="A20" s="49"/>
      <c r="B20" s="49" t="s">
        <v>110</v>
      </c>
      <c r="C20" s="50">
        <v>21.956181805521982</v>
      </c>
      <c r="D20" s="49"/>
      <c r="E20" s="50" cm="1">
        <f t="array" ref="E20">_xll.BDP("NIFTY Index", "PE_RATIO")</f>
        <v>21.825203256754975</v>
      </c>
      <c r="F20" s="51"/>
      <c r="G20" s="52"/>
      <c r="L20" s="68" t="s">
        <v>111</v>
      </c>
      <c r="M20" s="68" t="s">
        <v>111</v>
      </c>
      <c r="N20" s="69" t="e">
        <f>MIN(N7:N11)</f>
        <v>#VALUE!</v>
      </c>
      <c r="O20" s="69">
        <f>MIN(O7:O11)</f>
        <v>2.9377398921930434E-2</v>
      </c>
      <c r="P20" s="69">
        <f>MIN(P7:P11)</f>
        <v>8.5195273802145706E-3</v>
      </c>
      <c r="Q20" s="69">
        <f>MIN(Q7:Q11)</f>
        <v>-2.7195920611908213E-2</v>
      </c>
      <c r="R20" s="69" t="e">
        <f>MIN(#REF!)</f>
        <v>#REF!</v>
      </c>
      <c r="S20" s="69" t="e">
        <f>MIN(#REF!)</f>
        <v>#REF!</v>
      </c>
      <c r="T20" s="69" t="e">
        <f>MIN(#REF!)</f>
        <v>#REF!</v>
      </c>
      <c r="U20" s="69" t="e">
        <f>MIN(#REF!)</f>
        <v>#REF!</v>
      </c>
      <c r="V20" s="69" t="e">
        <f>MIN(#REF!)</f>
        <v>#REF!</v>
      </c>
      <c r="W20" s="69" t="e">
        <f>MIN(#REF!)</f>
        <v>#REF!</v>
      </c>
      <c r="X20" s="70" t="e">
        <f>MIN(#REF!)</f>
        <v>#REF!</v>
      </c>
      <c r="Y20" s="70" t="e">
        <f>MIN(#REF!)</f>
        <v>#REF!</v>
      </c>
      <c r="Z20" s="69" t="e">
        <f>MIN(#REF!)</f>
        <v>#REF!</v>
      </c>
      <c r="AA20" s="69"/>
      <c r="AB20" s="69"/>
      <c r="AC20" s="69"/>
      <c r="AD20" s="71">
        <f>MIN(AD7:AD9)</f>
        <v>13.466501815910307</v>
      </c>
      <c r="AE20" s="71">
        <f t="shared" ref="AE20:AV20" si="42">MIN(AE7:AE9)</f>
        <v>8.8269913741503849</v>
      </c>
      <c r="AF20" s="71">
        <f t="shared" si="42"/>
        <v>7.7833708127592569</v>
      </c>
      <c r="AG20" s="71">
        <f t="shared" si="42"/>
        <v>0.29020148639999332</v>
      </c>
      <c r="AH20" s="71">
        <f t="shared" si="42"/>
        <v>0.29706215042506329</v>
      </c>
      <c r="AI20" s="71">
        <f t="shared" si="42"/>
        <v>0.27930084132840494</v>
      </c>
      <c r="AJ20" s="71">
        <f>MIN(AJ7:AJ9)</f>
        <v>4.7030058705241258</v>
      </c>
      <c r="AK20" s="71">
        <f t="shared" si="42"/>
        <v>8.3320804700763951</v>
      </c>
      <c r="AL20" s="71">
        <f t="shared" si="42"/>
        <v>7.6098393331341008</v>
      </c>
      <c r="AM20" s="71">
        <f t="shared" si="42"/>
        <v>1.5327586000750517</v>
      </c>
      <c r="AN20" s="71">
        <f t="shared" si="42"/>
        <v>1.259735760430321</v>
      </c>
      <c r="AO20" s="71">
        <f t="shared" si="42"/>
        <v>1.1445369018973501</v>
      </c>
      <c r="AP20" s="71">
        <f t="shared" si="42"/>
        <v>1.2687923343796463</v>
      </c>
      <c r="AQ20" s="71">
        <f t="shared" si="42"/>
        <v>6.561182153145384E-2</v>
      </c>
      <c r="AR20" s="71">
        <f t="shared" si="42"/>
        <v>5.5500000000000001E-2</v>
      </c>
      <c r="AS20" s="71">
        <f t="shared" si="42"/>
        <v>6.9900000000000004E-2</v>
      </c>
      <c r="AT20" s="71">
        <f t="shared" si="42"/>
        <v>0.73770492513915298</v>
      </c>
      <c r="AU20" s="71">
        <f t="shared" si="42"/>
        <v>0.69523099850968717</v>
      </c>
      <c r="AV20" s="71">
        <f t="shared" si="42"/>
        <v>0.73099850968703428</v>
      </c>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3">
        <f t="shared" ref="CL20" si="43">MIN(CL7:CL9)</f>
        <v>7.2448675010885593</v>
      </c>
      <c r="CM20" s="73">
        <f>MIN(CM7:CM9)</f>
        <v>4.2623237329105299</v>
      </c>
      <c r="CN20" s="73">
        <f t="shared" ref="CN20:CY20" si="44">MIN(CN7:CN9)</f>
        <v>3.4449756290483684</v>
      </c>
      <c r="CO20" s="73">
        <f t="shared" si="44"/>
        <v>3.3175718201642828</v>
      </c>
      <c r="CP20" s="73">
        <f t="shared" si="44"/>
        <v>10.078577978624983</v>
      </c>
      <c r="CQ20" s="73">
        <f t="shared" si="44"/>
        <v>7.5417473358759395</v>
      </c>
      <c r="CR20" s="74">
        <f t="shared" si="44"/>
        <v>-0.22736419999999999</v>
      </c>
      <c r="CS20" s="74">
        <f t="shared" si="44"/>
        <v>-0.39192399999999999</v>
      </c>
      <c r="CT20" s="74">
        <f t="shared" si="44"/>
        <v>-0.27884139999999996</v>
      </c>
      <c r="CU20" s="74">
        <f t="shared" si="44"/>
        <v>-0.28472310000000001</v>
      </c>
      <c r="CV20" s="74">
        <f t="shared" si="44"/>
        <v>-0.4175199</v>
      </c>
      <c r="CW20" s="74">
        <f t="shared" si="44"/>
        <v>0.20586469550991307</v>
      </c>
      <c r="CX20" s="74">
        <f t="shared" si="44"/>
        <v>0.22858560801012487</v>
      </c>
      <c r="CY20" s="74">
        <f t="shared" si="44"/>
        <v>0.23829710360519069</v>
      </c>
      <c r="CZ20" s="60"/>
    </row>
    <row r="21" spans="1:116" s="26" customFormat="1" ht="15.75" x14ac:dyDescent="0.25">
      <c r="A21" s="49"/>
      <c r="B21" s="49" t="s">
        <v>112</v>
      </c>
      <c r="C21" s="50">
        <v>14.847859502615252</v>
      </c>
      <c r="D21" s="49"/>
      <c r="E21" s="50" cm="1">
        <f t="array" ref="E21">_xll.BDP("OMX Index", "PE_RATIO")</f>
        <v>14.913889490605669</v>
      </c>
      <c r="F21" s="51"/>
      <c r="G21" s="52"/>
      <c r="H21" s="51"/>
      <c r="I21" s="51"/>
      <c r="J21" s="51"/>
      <c r="K21" s="51"/>
      <c r="L21" s="51"/>
      <c r="M21" s="51"/>
      <c r="N21" s="75"/>
      <c r="O21" s="75"/>
      <c r="P21" s="75"/>
      <c r="Q21" s="75"/>
      <c r="R21" s="75"/>
      <c r="S21" s="75"/>
      <c r="T21" s="75"/>
      <c r="U21" s="75"/>
      <c r="V21" s="75"/>
      <c r="W21" s="75"/>
      <c r="X21" s="75"/>
      <c r="Y21" s="75"/>
      <c r="Z21" s="75"/>
      <c r="AA21" s="75"/>
      <c r="AB21" s="75"/>
      <c r="AC21" s="75"/>
      <c r="AD21" s="76"/>
      <c r="AE21" s="76"/>
      <c r="AF21" s="76"/>
      <c r="AG21" s="76"/>
      <c r="AH21" s="76"/>
      <c r="AI21" s="76"/>
      <c r="AJ21" s="76"/>
      <c r="AK21" s="76"/>
      <c r="AL21" s="76"/>
      <c r="AM21" s="76"/>
      <c r="AN21" s="76"/>
      <c r="AO21" s="76"/>
      <c r="AP21" s="76"/>
      <c r="AQ21" s="75"/>
      <c r="AR21" s="75"/>
      <c r="AS21" s="75"/>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7"/>
      <c r="CD21" s="77"/>
      <c r="CE21" s="77"/>
      <c r="CF21" s="77"/>
      <c r="CG21" s="77"/>
      <c r="CH21" s="77"/>
      <c r="CI21" s="77"/>
      <c r="CJ21" s="77"/>
      <c r="CK21" s="77"/>
      <c r="CL21" s="76"/>
      <c r="CM21" s="76"/>
      <c r="CN21" s="76"/>
      <c r="CO21" s="76"/>
      <c r="CP21" s="76"/>
      <c r="CQ21" s="76"/>
      <c r="CR21" s="78"/>
      <c r="CS21" s="78"/>
      <c r="CT21" s="78"/>
      <c r="CU21" s="78"/>
      <c r="CV21" s="78"/>
      <c r="CW21" s="76"/>
      <c r="CX21" s="76"/>
      <c r="CY21" s="76"/>
      <c r="CZ21" s="60"/>
    </row>
    <row r="22" spans="1:116" s="79" customFormat="1" ht="15" x14ac:dyDescent="0.25">
      <c r="A22" s="9"/>
      <c r="B22" s="9" t="s">
        <v>113</v>
      </c>
      <c r="C22" s="50">
        <v>40.245419383884062</v>
      </c>
      <c r="D22" s="9"/>
      <c r="E22" s="50" cm="1">
        <f t="array" ref="E22">_xll.BDP("ndx Index", "PE_RATIO")</f>
        <v>39.209416468293199</v>
      </c>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9"/>
      <c r="CM22" s="9"/>
      <c r="CN22" s="9"/>
      <c r="CO22" s="9"/>
      <c r="CP22" s="9"/>
      <c r="CQ22" s="9"/>
      <c r="CR22" s="11"/>
      <c r="CS22" s="11"/>
      <c r="CT22" s="11"/>
      <c r="CU22" s="11"/>
      <c r="CV22" s="11"/>
      <c r="CW22" s="9"/>
      <c r="CX22" s="9"/>
      <c r="CY22" s="9"/>
      <c r="DB22" s="9"/>
      <c r="DC22" s="9"/>
      <c r="DD22" s="9"/>
      <c r="DE22" s="9"/>
      <c r="DF22" s="9"/>
      <c r="DG22" s="9"/>
      <c r="DH22" s="9"/>
      <c r="DI22" s="9"/>
      <c r="DJ22" s="9"/>
      <c r="DK22" s="9"/>
      <c r="DL22" s="12"/>
    </row>
    <row r="23" spans="1:116" s="79" customFormat="1" ht="15" x14ac:dyDescent="0.25">
      <c r="A23" s="9"/>
      <c r="B23" s="9"/>
      <c r="C23" s="4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9"/>
      <c r="CM23" s="9"/>
      <c r="CN23" s="9"/>
      <c r="CO23" s="9"/>
      <c r="CP23" s="9"/>
      <c r="CQ23" s="9"/>
      <c r="CR23" s="11"/>
      <c r="CS23" s="11"/>
      <c r="CT23" s="11"/>
      <c r="CU23" s="11"/>
      <c r="CV23" s="11"/>
      <c r="CW23" s="9"/>
      <c r="CX23" s="9"/>
      <c r="CY23" s="9"/>
      <c r="DB23" s="9"/>
      <c r="DC23" s="9"/>
      <c r="DD23" s="9"/>
      <c r="DE23" s="9"/>
      <c r="DF23" s="9"/>
      <c r="DG23" s="9"/>
      <c r="DH23" s="9"/>
      <c r="DI23" s="9"/>
      <c r="DJ23" s="9"/>
      <c r="DK23" s="9"/>
      <c r="DL23" s="12"/>
    </row>
    <row r="24" spans="1:116" s="79" customFormat="1" ht="15" x14ac:dyDescent="0.25">
      <c r="A24" s="9"/>
      <c r="B24" s="9"/>
      <c r="C24" s="4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9"/>
      <c r="CM24" s="9"/>
      <c r="CN24" s="9"/>
      <c r="CO24" s="9"/>
      <c r="CP24" s="9"/>
      <c r="CQ24" s="9"/>
      <c r="CR24" s="11"/>
      <c r="CS24" s="11"/>
      <c r="CT24" s="11"/>
      <c r="CU24" s="11"/>
      <c r="CV24" s="11"/>
      <c r="CW24" s="9"/>
      <c r="CX24" s="9"/>
      <c r="CY24" s="9"/>
      <c r="DB24" s="9"/>
      <c r="DC24" s="9"/>
      <c r="DD24" s="9"/>
      <c r="DE24" s="9"/>
      <c r="DF24" s="9"/>
      <c r="DG24" s="9"/>
      <c r="DH24" s="9"/>
      <c r="DI24" s="9"/>
      <c r="DJ24" s="9"/>
      <c r="DK24" s="9"/>
      <c r="DL24" s="12"/>
    </row>
    <row r="25" spans="1:116" s="79" customFormat="1" ht="15.75" x14ac:dyDescent="0.25">
      <c r="A25" s="9"/>
      <c r="B25" s="9"/>
      <c r="C25" s="4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9"/>
      <c r="CM25" s="9"/>
      <c r="CN25" s="9"/>
      <c r="CO25" s="9"/>
      <c r="CP25" s="9"/>
      <c r="CQ25" s="9"/>
      <c r="CR25" s="11"/>
      <c r="CS25" s="11"/>
      <c r="CT25" s="11"/>
      <c r="CU25" s="11"/>
      <c r="CV25" s="11"/>
      <c r="CW25" s="9"/>
      <c r="CX25" s="9"/>
      <c r="CY25" s="9"/>
      <c r="DB25" s="9"/>
      <c r="DC25" s="9"/>
      <c r="DD25" s="9"/>
      <c r="DE25" s="9"/>
      <c r="DF25" s="9"/>
      <c r="DG25" s="9"/>
      <c r="DH25" s="9"/>
      <c r="DI25" s="9"/>
      <c r="DJ25" s="9"/>
      <c r="DK25" s="9"/>
      <c r="DL25" s="12"/>
    </row>
    <row r="26" spans="1:116" s="79" customFormat="1" ht="15.75" x14ac:dyDescent="0.25">
      <c r="A26" s="9"/>
      <c r="B26" s="9"/>
      <c r="C26" s="4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9"/>
      <c r="CM26" s="9"/>
      <c r="CN26" s="9"/>
      <c r="CO26" s="9"/>
      <c r="CP26" s="9"/>
      <c r="CQ26" s="9"/>
      <c r="CR26" s="11"/>
      <c r="CS26" s="11"/>
      <c r="CT26" s="11"/>
      <c r="CU26" s="11"/>
      <c r="CV26" s="11"/>
      <c r="CW26" s="9"/>
      <c r="CX26" s="9"/>
      <c r="CY26" s="9"/>
      <c r="DB26" s="9"/>
      <c r="DC26" s="9"/>
      <c r="DD26" s="9"/>
      <c r="DE26" s="9"/>
      <c r="DF26" s="9"/>
      <c r="DG26" s="9"/>
      <c r="DH26" s="9"/>
      <c r="DI26" s="9"/>
      <c r="DJ26" s="9"/>
      <c r="DK26" s="9"/>
      <c r="DL26" s="12"/>
    </row>
    <row r="27" spans="1:116" s="79" customFormat="1" ht="15.75" x14ac:dyDescent="0.25">
      <c r="A27" s="9"/>
      <c r="B27" s="9"/>
      <c r="C27" s="4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9"/>
      <c r="CM27" s="9"/>
      <c r="CN27" s="9"/>
      <c r="CO27" s="9"/>
      <c r="CP27" s="9"/>
      <c r="CQ27" s="9"/>
      <c r="CR27" s="11"/>
      <c r="CS27" s="11"/>
      <c r="CT27" s="11"/>
      <c r="CU27" s="11"/>
      <c r="CV27" s="11"/>
      <c r="CW27" s="9"/>
      <c r="CX27" s="9"/>
      <c r="CY27" s="9"/>
      <c r="DB27" s="9"/>
      <c r="DC27" s="9"/>
      <c r="DD27" s="9"/>
      <c r="DE27" s="9"/>
      <c r="DF27" s="9"/>
      <c r="DG27" s="9"/>
      <c r="DH27" s="9"/>
      <c r="DI27" s="9"/>
      <c r="DJ27" s="9"/>
      <c r="DK27" s="9"/>
      <c r="DL27" s="12"/>
    </row>
    <row r="28" spans="1:116" s="79" customFormat="1" ht="15.75" x14ac:dyDescent="0.25">
      <c r="A28" s="9"/>
      <c r="B28" s="9"/>
      <c r="C28" s="4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9"/>
      <c r="CM28" s="9"/>
      <c r="CN28" s="9"/>
      <c r="CO28" s="9"/>
      <c r="CP28" s="9"/>
      <c r="CQ28" s="9"/>
      <c r="CR28" s="11"/>
      <c r="CS28" s="11"/>
      <c r="CT28" s="11"/>
      <c r="CU28" s="11"/>
      <c r="CV28" s="11"/>
      <c r="CW28" s="9"/>
      <c r="CX28" s="9"/>
      <c r="CY28" s="9"/>
      <c r="DB28" s="9"/>
      <c r="DC28" s="9"/>
      <c r="DD28" s="9"/>
      <c r="DE28" s="9"/>
      <c r="DF28" s="9"/>
      <c r="DG28" s="9"/>
      <c r="DH28" s="9"/>
      <c r="DI28" s="9"/>
      <c r="DJ28" s="9"/>
      <c r="DK28" s="9"/>
      <c r="DL28" s="12"/>
    </row>
    <row r="29" spans="1:116" s="79" customFormat="1" ht="15.75" x14ac:dyDescent="0.25">
      <c r="A29" s="9"/>
      <c r="B29" s="9"/>
      <c r="C29" s="4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9"/>
      <c r="CM29" s="9"/>
      <c r="CN29" s="9"/>
      <c r="CO29" s="9"/>
      <c r="CP29" s="9"/>
      <c r="CQ29" s="9"/>
      <c r="CR29" s="11"/>
      <c r="CS29" s="11"/>
      <c r="CT29" s="11"/>
      <c r="CU29" s="11"/>
      <c r="CV29" s="11"/>
      <c r="CW29" s="9"/>
      <c r="CX29" s="9"/>
      <c r="CY29" s="9"/>
      <c r="DB29" s="9"/>
      <c r="DC29" s="9"/>
      <c r="DD29" s="9"/>
      <c r="DE29" s="9"/>
      <c r="DF29" s="9"/>
      <c r="DG29" s="9"/>
      <c r="DH29" s="9"/>
      <c r="DI29" s="9"/>
      <c r="DJ29" s="9"/>
      <c r="DK29" s="9"/>
      <c r="DL29" s="12"/>
    </row>
    <row r="30" spans="1:116" s="79" customFormat="1" ht="15.75" x14ac:dyDescent="0.25">
      <c r="A30" s="9"/>
      <c r="B30" s="9"/>
      <c r="C30" s="4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9"/>
      <c r="CM30" s="9"/>
      <c r="CN30" s="9"/>
      <c r="CO30" s="9"/>
      <c r="CP30" s="9"/>
      <c r="CQ30" s="9"/>
      <c r="CR30" s="11"/>
      <c r="CS30" s="11"/>
      <c r="CT30" s="11"/>
      <c r="CU30" s="11"/>
      <c r="CV30" s="11"/>
      <c r="CW30" s="9"/>
      <c r="CX30" s="9"/>
      <c r="CY30" s="9"/>
      <c r="DB30" s="9"/>
      <c r="DC30" s="9"/>
      <c r="DD30" s="9"/>
      <c r="DE30" s="9"/>
      <c r="DF30" s="9"/>
      <c r="DG30" s="9"/>
      <c r="DH30" s="9"/>
      <c r="DI30" s="9"/>
      <c r="DJ30" s="9"/>
      <c r="DK30" s="9"/>
      <c r="DL30" s="12"/>
    </row>
    <row r="31" spans="1:116" s="79" customFormat="1" ht="15.75" x14ac:dyDescent="0.25">
      <c r="A31" s="9"/>
      <c r="B31" s="9"/>
      <c r="C31" s="4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9"/>
      <c r="CM31" s="9"/>
      <c r="CN31" s="9"/>
      <c r="CO31" s="9"/>
      <c r="CP31" s="9"/>
      <c r="CQ31" s="9"/>
      <c r="CR31" s="11"/>
      <c r="CS31" s="11"/>
      <c r="CT31" s="11"/>
      <c r="CU31" s="11"/>
      <c r="CV31" s="11"/>
      <c r="CW31" s="9"/>
      <c r="CX31" s="9"/>
      <c r="CY31" s="9"/>
      <c r="DB31" s="9"/>
      <c r="DC31" s="9"/>
      <c r="DD31" s="9"/>
      <c r="DE31" s="9"/>
      <c r="DF31" s="9"/>
      <c r="DG31" s="9"/>
      <c r="DH31" s="9"/>
      <c r="DI31" s="9"/>
      <c r="DJ31" s="9"/>
      <c r="DK31" s="9"/>
      <c r="DL31" s="12"/>
    </row>
    <row r="32" spans="1:116" s="79" customFormat="1" ht="15.75" x14ac:dyDescent="0.25">
      <c r="A32" s="9"/>
      <c r="B32" s="9"/>
      <c r="C32" s="4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9"/>
      <c r="CM32" s="9"/>
      <c r="CN32" s="9"/>
      <c r="CO32" s="9"/>
      <c r="CP32" s="9"/>
      <c r="CQ32" s="9"/>
      <c r="CR32" s="11"/>
      <c r="CS32" s="11"/>
      <c r="CT32" s="11"/>
      <c r="CU32" s="11"/>
      <c r="CV32" s="11"/>
      <c r="CW32" s="9"/>
      <c r="CX32" s="9"/>
      <c r="CY32" s="9"/>
      <c r="DB32" s="9"/>
      <c r="DC32" s="9"/>
      <c r="DD32" s="9"/>
      <c r="DE32" s="9"/>
      <c r="DF32" s="9"/>
      <c r="DG32" s="9"/>
      <c r="DH32" s="9"/>
      <c r="DI32" s="9"/>
      <c r="DJ32" s="9"/>
      <c r="DK32" s="9"/>
      <c r="DL32" s="12"/>
    </row>
    <row r="33" spans="1:116" s="79" customFormat="1" ht="15.75" x14ac:dyDescent="0.25">
      <c r="A33" s="9"/>
      <c r="B33" s="9"/>
      <c r="C33" s="4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9"/>
      <c r="CM33" s="9"/>
      <c r="CN33" s="9"/>
      <c r="CO33" s="9"/>
      <c r="CP33" s="9"/>
      <c r="CQ33" s="9"/>
      <c r="CR33" s="11"/>
      <c r="CS33" s="11"/>
      <c r="CT33" s="11"/>
      <c r="CU33" s="11"/>
      <c r="CV33" s="11"/>
      <c r="CW33" s="9"/>
      <c r="CX33" s="9"/>
      <c r="CY33" s="9"/>
      <c r="DB33" s="9"/>
      <c r="DC33" s="9"/>
      <c r="DD33" s="9"/>
      <c r="DE33" s="9"/>
      <c r="DF33" s="9"/>
      <c r="DG33" s="9"/>
      <c r="DH33" s="9"/>
      <c r="DI33" s="9"/>
      <c r="DJ33" s="9"/>
      <c r="DK33" s="9"/>
      <c r="DL33" s="12"/>
    </row>
    <row r="34" spans="1:116" s="79" customFormat="1" ht="15.75" x14ac:dyDescent="0.25">
      <c r="A34" s="9"/>
      <c r="B34" s="9"/>
      <c r="C34" s="4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9"/>
      <c r="CM34" s="9"/>
      <c r="CN34" s="9"/>
      <c r="CO34" s="9"/>
      <c r="CP34" s="9"/>
      <c r="CQ34" s="9"/>
      <c r="CR34" s="11"/>
      <c r="CS34" s="11"/>
      <c r="CT34" s="11"/>
      <c r="CU34" s="11"/>
      <c r="CV34" s="11"/>
      <c r="CW34" s="9"/>
      <c r="CX34" s="9"/>
      <c r="CY34" s="9"/>
      <c r="DB34" s="9"/>
      <c r="DC34" s="9"/>
      <c r="DD34" s="9"/>
      <c r="DE34" s="9"/>
      <c r="DF34" s="9"/>
      <c r="DG34" s="9"/>
      <c r="DH34" s="9"/>
      <c r="DI34" s="9"/>
      <c r="DJ34" s="9"/>
      <c r="DK34" s="9"/>
      <c r="DL34" s="12"/>
    </row>
  </sheetData>
  <mergeCells count="61">
    <mergeCell ref="A3:A5"/>
    <mergeCell ref="B3:B5"/>
    <mergeCell ref="C3:C5"/>
    <mergeCell ref="E3:Z3"/>
    <mergeCell ref="AD3:AV3"/>
    <mergeCell ref="M4:M5"/>
    <mergeCell ref="N4:N5"/>
    <mergeCell ref="O4:O5"/>
    <mergeCell ref="P4:P5"/>
    <mergeCell ref="V4:V5"/>
    <mergeCell ref="AQ4:AS4"/>
    <mergeCell ref="W4:W5"/>
    <mergeCell ref="X4:X5"/>
    <mergeCell ref="Y4:Y5"/>
    <mergeCell ref="Z4:Z5"/>
    <mergeCell ref="AA4:AA5"/>
    <mergeCell ref="AZ3:CG3"/>
    <mergeCell ref="CO3:CV3"/>
    <mergeCell ref="E4:E5"/>
    <mergeCell ref="F4:F5"/>
    <mergeCell ref="G4:G5"/>
    <mergeCell ref="H4:H5"/>
    <mergeCell ref="I4:I5"/>
    <mergeCell ref="J4:J5"/>
    <mergeCell ref="K4:K5"/>
    <mergeCell ref="L4:L5"/>
    <mergeCell ref="AW3:AY3"/>
    <mergeCell ref="Q4:Q5"/>
    <mergeCell ref="R4:R5"/>
    <mergeCell ref="S4:S5"/>
    <mergeCell ref="T4:T5"/>
    <mergeCell ref="U4:U5"/>
    <mergeCell ref="AB4:AB5"/>
    <mergeCell ref="AC4:AC5"/>
    <mergeCell ref="AD4:AF4"/>
    <mergeCell ref="AG4:AI4"/>
    <mergeCell ref="AJ4:AL4"/>
    <mergeCell ref="AM4:AP4"/>
    <mergeCell ref="CO4:CO5"/>
    <mergeCell ref="AT4:AV4"/>
    <mergeCell ref="AZ4:BE4"/>
    <mergeCell ref="BF4:BK4"/>
    <mergeCell ref="BL4:BQ4"/>
    <mergeCell ref="BR4:BW4"/>
    <mergeCell ref="BX4:CC4"/>
    <mergeCell ref="CV4:CV5"/>
    <mergeCell ref="CW4:CW5"/>
    <mergeCell ref="CX4:CX5"/>
    <mergeCell ref="CY4:CY5"/>
    <mergeCell ref="AW5:AY5"/>
    <mergeCell ref="CP4:CP5"/>
    <mergeCell ref="CQ4:CQ5"/>
    <mergeCell ref="CR4:CR5"/>
    <mergeCell ref="CS4:CS5"/>
    <mergeCell ref="CT4:CT5"/>
    <mergeCell ref="CU4:CU5"/>
    <mergeCell ref="CD4:CG4"/>
    <mergeCell ref="CH4:CK4"/>
    <mergeCell ref="CL4:CL5"/>
    <mergeCell ref="CM4:CM5"/>
    <mergeCell ref="CN4:CN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439FF-41BE-4CB0-B1A5-BEACB58E6FC2}">
  <dimension ref="A2:H14"/>
  <sheetViews>
    <sheetView tabSelected="1" topLeftCell="B1" zoomScaleNormal="100" workbookViewId="0">
      <selection activeCell="E8" sqref="E8"/>
    </sheetView>
    <sheetView topLeftCell="B1" workbookViewId="1">
      <selection activeCell="D3" sqref="D3"/>
    </sheetView>
    <sheetView tabSelected="1" topLeftCell="B1" workbookViewId="2">
      <selection activeCell="F17" sqref="F17"/>
    </sheetView>
  </sheetViews>
  <sheetFormatPr defaultRowHeight="15" x14ac:dyDescent="0.25"/>
  <cols>
    <col min="1" max="1" width="27.28515625" hidden="1" customWidth="1"/>
    <col min="2" max="2" width="32.42578125" bestFit="1" customWidth="1"/>
    <col min="3" max="3" width="10.85546875" style="81" customWidth="1"/>
    <col min="4" max="4" width="16.7109375" style="81" customWidth="1"/>
    <col min="5" max="5" width="11" customWidth="1"/>
    <col min="6" max="6" width="16.5703125" customWidth="1"/>
    <col min="7" max="7" width="11" customWidth="1"/>
    <col min="8" max="8" width="16.5703125" customWidth="1"/>
  </cols>
  <sheetData>
    <row r="2" spans="2:8" ht="45" x14ac:dyDescent="0.25">
      <c r="C2" s="89" t="s">
        <v>114</v>
      </c>
      <c r="D2" s="90" t="s">
        <v>115</v>
      </c>
      <c r="E2" s="91" t="s">
        <v>116</v>
      </c>
      <c r="F2" s="90" t="s">
        <v>117</v>
      </c>
      <c r="G2" s="91" t="s">
        <v>118</v>
      </c>
      <c r="H2" s="90" t="s">
        <v>119</v>
      </c>
    </row>
    <row r="3" spans="2:8" x14ac:dyDescent="0.25">
      <c r="B3" s="83" t="s">
        <v>120</v>
      </c>
      <c r="C3" s="84">
        <v>32.920290156089607</v>
      </c>
      <c r="D3" s="84">
        <f>C3*Sheet1!$C$17/Sheet1!C20</f>
        <v>20.589883635133852</v>
      </c>
    </row>
    <row r="4" spans="2:8" x14ac:dyDescent="0.25">
      <c r="B4" s="83" t="s">
        <v>121</v>
      </c>
      <c r="C4" s="84">
        <v>48.448142145834922</v>
      </c>
      <c r="D4" s="84">
        <f>C4*Sheet1!$C$17/Sheet1!C22</f>
        <v>16.531327371960074</v>
      </c>
    </row>
    <row r="5" spans="2:8" x14ac:dyDescent="0.25">
      <c r="B5" s="83" t="s">
        <v>122</v>
      </c>
      <c r="C5" s="84">
        <v>13.613111931426602</v>
      </c>
      <c r="D5" s="84">
        <f>C5*Sheet1!$C$17/Sheet1!C18</f>
        <v>9.0835705936988713</v>
      </c>
    </row>
    <row r="6" spans="2:8" x14ac:dyDescent="0.25">
      <c r="B6" s="83" t="s">
        <v>123</v>
      </c>
      <c r="C6" s="84">
        <v>54.276626641891674</v>
      </c>
      <c r="D6" s="84">
        <f>C6*Sheet1!$C$17/Sheet1!C22</f>
        <v>18.520105083944873</v>
      </c>
    </row>
    <row r="7" spans="2:8" x14ac:dyDescent="0.25">
      <c r="B7" s="85" t="s">
        <v>124</v>
      </c>
      <c r="C7" s="86">
        <v>13.398424892169837</v>
      </c>
      <c r="D7" s="86">
        <f>C7*Sheet1!$C$17/Sheet1!C19</f>
        <v>11.004302119137606</v>
      </c>
    </row>
    <row r="8" spans="2:8" x14ac:dyDescent="0.25">
      <c r="B8" s="85" t="s">
        <v>125</v>
      </c>
      <c r="C8" s="86">
        <v>42.430638177217624</v>
      </c>
      <c r="D8" s="86">
        <f>C8*Sheet1!$C$17/Sheet1!C18</f>
        <v>28.312534206721974</v>
      </c>
    </row>
    <row r="9" spans="2:8" x14ac:dyDescent="0.25">
      <c r="B9" s="85" t="s">
        <v>126</v>
      </c>
      <c r="C9" s="86">
        <v>20.756868569899684</v>
      </c>
      <c r="D9" s="86">
        <f>C9*Sheet1!$C$17/Sheet1!C21</f>
        <v>19.197516170677549</v>
      </c>
    </row>
    <row r="10" spans="2:8" s="87" customFormat="1" x14ac:dyDescent="0.25">
      <c r="B10" s="87" t="s">
        <v>127</v>
      </c>
      <c r="C10" s="88">
        <v>40</v>
      </c>
      <c r="D10" s="88"/>
    </row>
    <row r="11" spans="2:8" s="87" customFormat="1" x14ac:dyDescent="0.25">
      <c r="B11" s="87" t="s">
        <v>128</v>
      </c>
      <c r="C11" s="88">
        <v>34.700000000000003</v>
      </c>
      <c r="D11" s="88"/>
    </row>
    <row r="12" spans="2:8" s="87" customFormat="1" x14ac:dyDescent="0.25">
      <c r="C12" s="88"/>
      <c r="D12" s="88"/>
    </row>
    <row r="13" spans="2:8" x14ac:dyDescent="0.25">
      <c r="B13" s="80" t="s">
        <v>129</v>
      </c>
      <c r="C13" s="82">
        <f>MEDIAN(C3:C11)</f>
        <v>34.700000000000003</v>
      </c>
      <c r="D13" s="82">
        <f>MEDIAN(D3:D11)</f>
        <v>18.520105083944873</v>
      </c>
      <c r="E13" s="82" t="e">
        <f t="shared" ref="E13:H13" si="0">MEDIAN(E3:E11)</f>
        <v>#NUM!</v>
      </c>
      <c r="F13" s="82" t="e">
        <f t="shared" si="0"/>
        <v>#NUM!</v>
      </c>
      <c r="G13" s="82" t="e">
        <f t="shared" si="0"/>
        <v>#NUM!</v>
      </c>
      <c r="H13" s="82" t="e">
        <f t="shared" si="0"/>
        <v>#NUM!</v>
      </c>
    </row>
    <row r="14" spans="2:8" x14ac:dyDescent="0.25">
      <c r="B14" t="s">
        <v>130</v>
      </c>
      <c r="C14" s="81">
        <f>AVERAGE(C3:C11)</f>
        <v>33.393789168281103</v>
      </c>
      <c r="D14" s="82">
        <f>MEDIAN(D4:D12)</f>
        <v>17.525716227952472</v>
      </c>
      <c r="E14" s="82" t="e">
        <f t="shared" ref="E14:H14" si="1">MEDIAN(E4:E12)</f>
        <v>#NUM!</v>
      </c>
      <c r="F14" s="82" t="e">
        <f t="shared" si="1"/>
        <v>#NUM!</v>
      </c>
      <c r="G14" s="82" t="e">
        <f t="shared" si="1"/>
        <v>#NUM!</v>
      </c>
      <c r="H14" s="82" t="e">
        <f t="shared" si="1"/>
        <v>#NUM!</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E4E5C-DAE6-440A-9D28-21EC41EBFC4D}">
  <dimension ref="A1:A25"/>
  <sheetViews>
    <sheetView workbookViewId="0">
      <selection activeCell="A25" sqref="A25"/>
    </sheetView>
    <sheetView workbookViewId="1"/>
    <sheetView workbookViewId="2"/>
  </sheetViews>
  <sheetFormatPr defaultRowHeight="15" x14ac:dyDescent="0.25"/>
  <sheetData>
    <row r="1" spans="1:1" x14ac:dyDescent="0.25">
      <c r="A1" t="s">
        <v>131</v>
      </c>
    </row>
    <row r="3" spans="1:1" x14ac:dyDescent="0.25">
      <c r="A3" t="s">
        <v>132</v>
      </c>
    </row>
    <row r="7" spans="1:1" x14ac:dyDescent="0.25">
      <c r="A7" t="s">
        <v>133</v>
      </c>
    </row>
    <row r="25" spans="1:1" x14ac:dyDescent="0.25">
      <c r="A25" t="s">
        <v>134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F3E2-63C9-4402-A187-51BAFE5379F9}">
  <dimension ref="A1:DL34"/>
  <sheetViews>
    <sheetView workbookViewId="0"/>
    <sheetView tabSelected="1" topLeftCell="B1" workbookViewId="1">
      <selection activeCell="AC8" sqref="AC8"/>
    </sheetView>
    <sheetView workbookViewId="2"/>
  </sheetViews>
  <sheetFormatPr defaultColWidth="10.28515625" defaultRowHeight="13.5" outlineLevelCol="1" x14ac:dyDescent="0.25"/>
  <cols>
    <col min="1" max="1" width="41.42578125" style="9" hidden="1" customWidth="1"/>
    <col min="2" max="2" width="27.28515625" style="9" customWidth="1"/>
    <col min="3" max="3" width="20.5703125" style="9" customWidth="1"/>
    <col min="4" max="4" width="20.5703125" style="9" hidden="1" customWidth="1"/>
    <col min="5" max="5" width="12.5703125" style="9" customWidth="1"/>
    <col min="6" max="6" width="12.5703125" style="9" hidden="1" customWidth="1" outlineLevel="1"/>
    <col min="7" max="7" width="12" style="9" hidden="1" customWidth="1" outlineLevel="1"/>
    <col min="8" max="8" width="12" style="9" hidden="1" customWidth="1" outlineLevel="1" collapsed="1"/>
    <col min="9" max="9" width="12" style="9" hidden="1" customWidth="1" outlineLevel="1"/>
    <col min="10" max="10" width="13.7109375" style="9" customWidth="1" collapsed="1"/>
    <col min="11" max="11" width="10.140625" style="9" hidden="1" customWidth="1" outlineLevel="1"/>
    <col min="12" max="12" width="10.140625" style="9" customWidth="1" collapsed="1"/>
    <col min="13" max="13" width="10.140625" style="9" hidden="1" customWidth="1" outlineLevel="1"/>
    <col min="14" max="14" width="10.140625" style="9" customWidth="1" collapsed="1"/>
    <col min="15" max="15" width="10.140625" style="9" hidden="1" customWidth="1" outlineLevel="1"/>
    <col min="16" max="16" width="10.140625" style="9" customWidth="1" collapsed="1"/>
    <col min="17" max="17" width="12.140625" style="9" customWidth="1"/>
    <col min="18" max="22" width="13.28515625" style="9" hidden="1" customWidth="1" outlineLevel="1"/>
    <col min="23" max="23" width="10.140625" style="9" hidden="1" customWidth="1" outlineLevel="1"/>
    <col min="24" max="25" width="12.140625" style="9" hidden="1" customWidth="1" outlineLevel="1"/>
    <col min="26" max="26" width="10.140625" style="9" hidden="1" customWidth="1" outlineLevel="1"/>
    <col min="27" max="27" width="13.140625" style="9" customWidth="1" collapsed="1"/>
    <col min="28" max="29" width="10.140625" style="9" customWidth="1"/>
    <col min="30" max="30" width="8.85546875" style="9" customWidth="1"/>
    <col min="31" max="35" width="9" style="9" customWidth="1"/>
    <col min="36" max="36" width="12.140625" style="9" customWidth="1"/>
    <col min="37" max="40" width="9" style="9" customWidth="1"/>
    <col min="41" max="41" width="9" style="9" customWidth="1" collapsed="1"/>
    <col min="42" max="42" width="9" style="9" hidden="1" customWidth="1"/>
    <col min="43" max="45" width="9" style="9" customWidth="1"/>
    <col min="46" max="46" width="10" style="10" hidden="1" customWidth="1"/>
    <col min="47" max="89" width="9" style="10" hidden="1" customWidth="1"/>
    <col min="90" max="95" width="12.28515625" style="9" hidden="1" customWidth="1"/>
    <col min="96" max="100" width="9" style="11" hidden="1" customWidth="1"/>
    <col min="101" max="103" width="10.5703125" style="9" hidden="1" customWidth="1"/>
    <col min="104" max="104" width="175.28515625" style="79" customWidth="1"/>
    <col min="105" max="105" width="9.85546875" style="79" customWidth="1"/>
    <col min="106" max="108" width="10.42578125" style="9" customWidth="1"/>
    <col min="109" max="110" width="9" style="9" customWidth="1"/>
    <col min="111" max="111" width="12.42578125" style="9" bestFit="1" customWidth="1"/>
    <col min="112" max="114" width="9" style="9" customWidth="1"/>
    <col min="115" max="115" width="9.85546875" style="9" customWidth="1"/>
    <col min="116" max="116" width="99.42578125" style="12" customWidth="1"/>
    <col min="117" max="16384" width="10.28515625" style="13"/>
  </cols>
  <sheetData>
    <row r="1" spans="1:116" s="2" customFormat="1" ht="15" x14ac:dyDescent="0.25">
      <c r="A1" s="1" t="s">
        <v>0</v>
      </c>
      <c r="B1" s="1" t="s">
        <v>1</v>
      </c>
      <c r="C1" s="1" t="s">
        <v>2</v>
      </c>
      <c r="D1" s="1"/>
      <c r="E1" s="2" t="s">
        <v>3</v>
      </c>
      <c r="F1" s="2" t="s">
        <v>4</v>
      </c>
      <c r="G1" s="2" t="s">
        <v>5</v>
      </c>
      <c r="H1" s="2" t="s">
        <v>6</v>
      </c>
      <c r="I1" s="2" t="s">
        <v>6</v>
      </c>
      <c r="J1" s="2" t="s">
        <v>7</v>
      </c>
      <c r="K1" s="2" t="s">
        <v>7</v>
      </c>
      <c r="L1" s="2" t="s">
        <v>8</v>
      </c>
      <c r="M1" s="2" t="s">
        <v>8</v>
      </c>
      <c r="N1" s="2" t="s">
        <v>9</v>
      </c>
      <c r="O1" s="2" t="s">
        <v>10</v>
      </c>
      <c r="P1" s="2" t="s">
        <v>11</v>
      </c>
      <c r="Q1" s="2" t="s">
        <v>12</v>
      </c>
      <c r="R1" s="3" t="s">
        <v>13</v>
      </c>
      <c r="S1" s="3" t="s">
        <v>14</v>
      </c>
      <c r="T1" s="3" t="s">
        <v>15</v>
      </c>
      <c r="U1" s="3" t="s">
        <v>16</v>
      </c>
      <c r="V1" s="3" t="s">
        <v>17</v>
      </c>
      <c r="W1" s="3" t="s">
        <v>18</v>
      </c>
      <c r="X1" s="3"/>
      <c r="Y1" s="3"/>
      <c r="Z1" s="3" t="s">
        <v>19</v>
      </c>
      <c r="AA1" s="3"/>
      <c r="AB1" s="3"/>
      <c r="AC1" s="3"/>
      <c r="AD1" s="2" t="s">
        <v>20</v>
      </c>
      <c r="AJ1" s="2" t="s">
        <v>21</v>
      </c>
      <c r="AM1" s="3" t="s">
        <v>22</v>
      </c>
      <c r="AT1" s="4" t="s">
        <v>23</v>
      </c>
      <c r="AU1" s="5" t="s">
        <v>24</v>
      </c>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6"/>
      <c r="CM1" s="6"/>
      <c r="CN1" s="6"/>
      <c r="CO1" s="6"/>
      <c r="CP1" s="6"/>
      <c r="CQ1" s="6"/>
      <c r="CR1" s="7"/>
      <c r="CS1" s="7"/>
      <c r="CT1" s="7"/>
      <c r="CU1" s="7"/>
      <c r="CV1" s="7"/>
      <c r="CW1" s="6"/>
      <c r="CX1" s="6"/>
      <c r="CY1" s="6"/>
      <c r="CZ1" s="8" t="s">
        <v>25</v>
      </c>
    </row>
    <row r="2" spans="1:116" x14ac:dyDescent="0.25">
      <c r="CZ2" s="12"/>
      <c r="DA2" s="13"/>
      <c r="DB2" s="13"/>
      <c r="DC2" s="13"/>
      <c r="DD2" s="13"/>
      <c r="DE2" s="13"/>
      <c r="DF2" s="13"/>
      <c r="DG2" s="13"/>
      <c r="DH2" s="13"/>
      <c r="DI2" s="13"/>
      <c r="DJ2" s="13"/>
      <c r="DK2" s="13"/>
      <c r="DL2" s="13"/>
    </row>
    <row r="3" spans="1:116" s="18" customFormat="1" ht="16.5" thickBot="1" x14ac:dyDescent="0.3">
      <c r="A3" s="115" t="s">
        <v>26</v>
      </c>
      <c r="B3" s="118" t="s">
        <v>27</v>
      </c>
      <c r="C3" s="118" t="s">
        <v>28</v>
      </c>
      <c r="D3" s="14"/>
      <c r="E3" s="121" t="s">
        <v>29</v>
      </c>
      <c r="F3" s="112"/>
      <c r="G3" s="112"/>
      <c r="H3" s="112"/>
      <c r="I3" s="112"/>
      <c r="J3" s="112"/>
      <c r="K3" s="112"/>
      <c r="L3" s="112"/>
      <c r="M3" s="112"/>
      <c r="N3" s="112"/>
      <c r="O3" s="112"/>
      <c r="P3" s="112"/>
      <c r="Q3" s="112"/>
      <c r="R3" s="112"/>
      <c r="S3" s="112"/>
      <c r="T3" s="112"/>
      <c r="U3" s="112"/>
      <c r="V3" s="112"/>
      <c r="W3" s="112"/>
      <c r="X3" s="112"/>
      <c r="Y3" s="112"/>
      <c r="Z3" s="115"/>
      <c r="AA3" s="15"/>
      <c r="AB3" s="15"/>
      <c r="AC3" s="15"/>
      <c r="AD3" s="121" t="s">
        <v>30</v>
      </c>
      <c r="AE3" s="112"/>
      <c r="AF3" s="112"/>
      <c r="AG3" s="112"/>
      <c r="AH3" s="112"/>
      <c r="AI3" s="112"/>
      <c r="AJ3" s="112"/>
      <c r="AK3" s="112"/>
      <c r="AL3" s="112"/>
      <c r="AM3" s="112"/>
      <c r="AN3" s="112"/>
      <c r="AO3" s="112"/>
      <c r="AP3" s="112"/>
      <c r="AQ3" s="112"/>
      <c r="AR3" s="112"/>
      <c r="AS3" s="112"/>
      <c r="AT3" s="112"/>
      <c r="AU3" s="112"/>
      <c r="AV3" s="115"/>
      <c r="AW3" s="113" t="s">
        <v>31</v>
      </c>
      <c r="AX3" s="113"/>
      <c r="AY3" s="113"/>
      <c r="AZ3" s="112" t="s">
        <v>32</v>
      </c>
      <c r="BA3" s="112"/>
      <c r="BB3" s="112"/>
      <c r="BC3" s="112"/>
      <c r="BD3" s="112"/>
      <c r="BE3" s="112"/>
      <c r="BF3" s="112"/>
      <c r="BG3" s="112"/>
      <c r="BH3" s="112"/>
      <c r="BI3" s="112"/>
      <c r="BJ3" s="112"/>
      <c r="BK3" s="112"/>
      <c r="BL3" s="112"/>
      <c r="BM3" s="112"/>
      <c r="BN3" s="112"/>
      <c r="BO3" s="112"/>
      <c r="BP3" s="112"/>
      <c r="BQ3" s="112"/>
      <c r="BR3" s="112"/>
      <c r="BS3" s="112"/>
      <c r="BT3" s="112"/>
      <c r="BU3" s="112"/>
      <c r="BV3" s="112"/>
      <c r="BW3" s="112"/>
      <c r="BX3" s="112"/>
      <c r="BY3" s="112"/>
      <c r="BZ3" s="112"/>
      <c r="CA3" s="112"/>
      <c r="CB3" s="112"/>
      <c r="CC3" s="112"/>
      <c r="CD3" s="112"/>
      <c r="CE3" s="112"/>
      <c r="CF3" s="112"/>
      <c r="CG3" s="112"/>
      <c r="CH3" s="15"/>
      <c r="CI3" s="15"/>
      <c r="CJ3" s="15"/>
      <c r="CK3" s="15"/>
      <c r="CL3" s="15"/>
      <c r="CM3" s="15"/>
      <c r="CN3" s="15"/>
      <c r="CO3" s="113"/>
      <c r="CP3" s="113"/>
      <c r="CQ3" s="113"/>
      <c r="CR3" s="113"/>
      <c r="CS3" s="113"/>
      <c r="CT3" s="113"/>
      <c r="CU3" s="113"/>
      <c r="CV3" s="114"/>
      <c r="CW3" s="16" t="s">
        <v>33</v>
      </c>
      <c r="CX3" s="16"/>
      <c r="CY3" s="16"/>
      <c r="CZ3" s="17"/>
    </row>
    <row r="4" spans="1:116" s="18" customFormat="1" ht="33" thickTop="1" thickBot="1" x14ac:dyDescent="0.3">
      <c r="A4" s="116"/>
      <c r="B4" s="119"/>
      <c r="C4" s="119"/>
      <c r="D4" s="19" t="s">
        <v>34</v>
      </c>
      <c r="E4" s="110" t="s">
        <v>35</v>
      </c>
      <c r="F4" s="110" t="s">
        <v>36</v>
      </c>
      <c r="G4" s="110" t="s">
        <v>37</v>
      </c>
      <c r="H4" s="110" t="s">
        <v>38</v>
      </c>
      <c r="I4" s="110" t="s">
        <v>39</v>
      </c>
      <c r="J4" s="110" t="s">
        <v>40</v>
      </c>
      <c r="K4" s="110" t="s">
        <v>41</v>
      </c>
      <c r="L4" s="110" t="s">
        <v>42</v>
      </c>
      <c r="M4" s="110" t="s">
        <v>43</v>
      </c>
      <c r="N4" s="110" t="s">
        <v>44</v>
      </c>
      <c r="O4" s="110" t="s">
        <v>45</v>
      </c>
      <c r="P4" s="110" t="s">
        <v>46</v>
      </c>
      <c r="Q4" s="110" t="s">
        <v>47</v>
      </c>
      <c r="R4" s="110" t="s">
        <v>48</v>
      </c>
      <c r="S4" s="110" t="s">
        <v>49</v>
      </c>
      <c r="T4" s="110" t="s">
        <v>50</v>
      </c>
      <c r="U4" s="110" t="s">
        <v>51</v>
      </c>
      <c r="V4" s="110" t="s">
        <v>52</v>
      </c>
      <c r="W4" s="110" t="s">
        <v>53</v>
      </c>
      <c r="X4" s="110" t="s">
        <v>54</v>
      </c>
      <c r="Y4" s="110" t="s">
        <v>55</v>
      </c>
      <c r="Z4" s="110" t="s">
        <v>56</v>
      </c>
      <c r="AA4" s="110" t="s">
        <v>57</v>
      </c>
      <c r="AB4" s="110" t="s">
        <v>58</v>
      </c>
      <c r="AC4" s="110" t="s">
        <v>59</v>
      </c>
      <c r="AD4" s="104" t="s">
        <v>60</v>
      </c>
      <c r="AE4" s="105"/>
      <c r="AF4" s="106"/>
      <c r="AG4" s="104" t="s">
        <v>61</v>
      </c>
      <c r="AH4" s="105"/>
      <c r="AI4" s="106"/>
      <c r="AJ4" s="104" t="s">
        <v>62</v>
      </c>
      <c r="AK4" s="105"/>
      <c r="AL4" s="106"/>
      <c r="AM4" s="104" t="s">
        <v>63</v>
      </c>
      <c r="AN4" s="105"/>
      <c r="AO4" s="105"/>
      <c r="AP4" s="106"/>
      <c r="AQ4" s="104" t="s">
        <v>64</v>
      </c>
      <c r="AR4" s="105"/>
      <c r="AS4" s="106"/>
      <c r="AT4" s="107" t="s">
        <v>65</v>
      </c>
      <c r="AU4" s="108"/>
      <c r="AV4" s="109"/>
      <c r="AW4" s="21" t="s">
        <v>66</v>
      </c>
      <c r="AX4" s="21" t="s">
        <v>67</v>
      </c>
      <c r="AY4" s="21" t="s">
        <v>68</v>
      </c>
      <c r="AZ4" s="101" t="s">
        <v>69</v>
      </c>
      <c r="BA4" s="102"/>
      <c r="BB4" s="102"/>
      <c r="BC4" s="102"/>
      <c r="BD4" s="102"/>
      <c r="BE4" s="103"/>
      <c r="BF4" s="101" t="s">
        <v>70</v>
      </c>
      <c r="BG4" s="102"/>
      <c r="BH4" s="102"/>
      <c r="BI4" s="102"/>
      <c r="BJ4" s="102"/>
      <c r="BK4" s="103"/>
      <c r="BL4" s="101" t="s">
        <v>66</v>
      </c>
      <c r="BM4" s="102"/>
      <c r="BN4" s="102"/>
      <c r="BO4" s="102"/>
      <c r="BP4" s="102"/>
      <c r="BQ4" s="103"/>
      <c r="BR4" s="101" t="s">
        <v>67</v>
      </c>
      <c r="BS4" s="102"/>
      <c r="BT4" s="102"/>
      <c r="BU4" s="102"/>
      <c r="BV4" s="102"/>
      <c r="BW4" s="103"/>
      <c r="BX4" s="101" t="s">
        <v>68</v>
      </c>
      <c r="BY4" s="102"/>
      <c r="BZ4" s="102"/>
      <c r="CA4" s="102"/>
      <c r="CB4" s="102"/>
      <c r="CC4" s="103"/>
      <c r="CD4" s="101" t="s">
        <v>71</v>
      </c>
      <c r="CE4" s="102"/>
      <c r="CF4" s="102"/>
      <c r="CG4" s="103"/>
      <c r="CH4" s="101" t="s">
        <v>72</v>
      </c>
      <c r="CI4" s="102"/>
      <c r="CJ4" s="102"/>
      <c r="CK4" s="103"/>
      <c r="CL4" s="92" t="s">
        <v>73</v>
      </c>
      <c r="CM4" s="92" t="s">
        <v>74</v>
      </c>
      <c r="CN4" s="92" t="s">
        <v>75</v>
      </c>
      <c r="CO4" s="92" t="s">
        <v>76</v>
      </c>
      <c r="CP4" s="92" t="s">
        <v>77</v>
      </c>
      <c r="CQ4" s="92" t="s">
        <v>78</v>
      </c>
      <c r="CR4" s="92" t="s">
        <v>79</v>
      </c>
      <c r="CS4" s="92" t="s">
        <v>80</v>
      </c>
      <c r="CT4" s="92" t="s">
        <v>81</v>
      </c>
      <c r="CU4" s="99" t="s">
        <v>82</v>
      </c>
      <c r="CV4" s="92" t="s">
        <v>83</v>
      </c>
      <c r="CW4" s="94" t="s">
        <v>84</v>
      </c>
      <c r="CX4" s="94" t="s">
        <v>85</v>
      </c>
      <c r="CY4" s="94" t="s">
        <v>86</v>
      </c>
      <c r="CZ4" s="17"/>
    </row>
    <row r="5" spans="1:116" s="26" customFormat="1" ht="16.5" thickTop="1" x14ac:dyDescent="0.25">
      <c r="A5" s="117"/>
      <c r="B5" s="120"/>
      <c r="C5" s="120"/>
      <c r="D5" s="22"/>
      <c r="E5" s="111"/>
      <c r="F5" s="111"/>
      <c r="G5" s="111"/>
      <c r="H5" s="111"/>
      <c r="I5" s="111"/>
      <c r="J5" s="111"/>
      <c r="K5" s="111"/>
      <c r="L5" s="111"/>
      <c r="M5" s="111"/>
      <c r="N5" s="111"/>
      <c r="O5" s="111"/>
      <c r="P5" s="111"/>
      <c r="Q5" s="111"/>
      <c r="R5" s="111"/>
      <c r="S5" s="111"/>
      <c r="T5" s="111"/>
      <c r="U5" s="111"/>
      <c r="V5" s="111"/>
      <c r="W5" s="111"/>
      <c r="X5" s="111"/>
      <c r="Y5" s="111"/>
      <c r="Z5" s="111"/>
      <c r="AA5" s="111"/>
      <c r="AB5" s="111"/>
      <c r="AC5" s="111"/>
      <c r="AD5" s="20" t="s">
        <v>87</v>
      </c>
      <c r="AE5" s="20" t="s">
        <v>88</v>
      </c>
      <c r="AF5" s="20" t="s">
        <v>89</v>
      </c>
      <c r="AG5" s="20" t="s">
        <v>87</v>
      </c>
      <c r="AH5" s="20" t="s">
        <v>88</v>
      </c>
      <c r="AI5" s="20" t="s">
        <v>89</v>
      </c>
      <c r="AJ5" s="20" t="s">
        <v>87</v>
      </c>
      <c r="AK5" s="20" t="s">
        <v>88</v>
      </c>
      <c r="AL5" s="20" t="s">
        <v>89</v>
      </c>
      <c r="AM5" s="20" t="s">
        <v>87</v>
      </c>
      <c r="AN5" s="20" t="s">
        <v>88</v>
      </c>
      <c r="AO5" s="20" t="s">
        <v>89</v>
      </c>
      <c r="AP5" s="20" t="s">
        <v>89</v>
      </c>
      <c r="AQ5" s="20" t="s">
        <v>87</v>
      </c>
      <c r="AR5" s="20" t="s">
        <v>88</v>
      </c>
      <c r="AS5" s="20" t="s">
        <v>89</v>
      </c>
      <c r="AT5" s="23" t="s">
        <v>87</v>
      </c>
      <c r="AU5" s="20" t="s">
        <v>88</v>
      </c>
      <c r="AV5" s="20" t="s">
        <v>89</v>
      </c>
      <c r="AW5" s="96" t="s">
        <v>90</v>
      </c>
      <c r="AX5" s="97"/>
      <c r="AY5" s="98"/>
      <c r="AZ5" s="24" t="s">
        <v>91</v>
      </c>
      <c r="BA5" s="24" t="s">
        <v>92</v>
      </c>
      <c r="BB5" s="24" t="s">
        <v>93</v>
      </c>
      <c r="BC5" s="24" t="s">
        <v>94</v>
      </c>
      <c r="BD5" s="24" t="s">
        <v>95</v>
      </c>
      <c r="BE5" s="24" t="s">
        <v>96</v>
      </c>
      <c r="BF5" s="24" t="s">
        <v>91</v>
      </c>
      <c r="BG5" s="24" t="s">
        <v>92</v>
      </c>
      <c r="BH5" s="24" t="s">
        <v>93</v>
      </c>
      <c r="BI5" s="24" t="s">
        <v>94</v>
      </c>
      <c r="BJ5" s="24" t="s">
        <v>95</v>
      </c>
      <c r="BK5" s="24" t="s">
        <v>96</v>
      </c>
      <c r="BL5" s="24" t="s">
        <v>91</v>
      </c>
      <c r="BM5" s="24" t="s">
        <v>92</v>
      </c>
      <c r="BN5" s="24" t="s">
        <v>93</v>
      </c>
      <c r="BO5" s="24" t="s">
        <v>94</v>
      </c>
      <c r="BP5" s="24" t="s">
        <v>95</v>
      </c>
      <c r="BQ5" s="24" t="s">
        <v>96</v>
      </c>
      <c r="BR5" s="24" t="s">
        <v>91</v>
      </c>
      <c r="BS5" s="24" t="s">
        <v>92</v>
      </c>
      <c r="BT5" s="24" t="s">
        <v>93</v>
      </c>
      <c r="BU5" s="24" t="s">
        <v>94</v>
      </c>
      <c r="BV5" s="24" t="s">
        <v>95</v>
      </c>
      <c r="BW5" s="24" t="s">
        <v>96</v>
      </c>
      <c r="BX5" s="24" t="s">
        <v>91</v>
      </c>
      <c r="BY5" s="24" t="s">
        <v>92</v>
      </c>
      <c r="BZ5" s="24" t="s">
        <v>93</v>
      </c>
      <c r="CA5" s="24" t="s">
        <v>94</v>
      </c>
      <c r="CB5" s="24" t="s">
        <v>95</v>
      </c>
      <c r="CC5" s="24" t="s">
        <v>96</v>
      </c>
      <c r="CD5" s="24" t="s">
        <v>93</v>
      </c>
      <c r="CE5" s="24" t="s">
        <v>94</v>
      </c>
      <c r="CF5" s="24" t="s">
        <v>95</v>
      </c>
      <c r="CG5" s="24" t="s">
        <v>96</v>
      </c>
      <c r="CH5" s="24" t="s">
        <v>93</v>
      </c>
      <c r="CI5" s="24" t="s">
        <v>94</v>
      </c>
      <c r="CJ5" s="24" t="s">
        <v>95</v>
      </c>
      <c r="CK5" s="24" t="s">
        <v>96</v>
      </c>
      <c r="CL5" s="93"/>
      <c r="CM5" s="93"/>
      <c r="CN5" s="93"/>
      <c r="CO5" s="93"/>
      <c r="CP5" s="93"/>
      <c r="CQ5" s="93"/>
      <c r="CR5" s="93"/>
      <c r="CS5" s="93"/>
      <c r="CT5" s="93"/>
      <c r="CU5" s="100"/>
      <c r="CV5" s="93"/>
      <c r="CW5" s="95"/>
      <c r="CX5" s="95"/>
      <c r="CY5" s="95"/>
      <c r="CZ5" s="17"/>
      <c r="DA5" s="25"/>
      <c r="DB5" s="25"/>
      <c r="DC5" s="25"/>
    </row>
    <row r="6" spans="1:116" s="26" customFormat="1" ht="15.75" x14ac:dyDescent="0.25">
      <c r="A6" s="27"/>
      <c r="B6" s="28"/>
      <c r="C6" s="28"/>
      <c r="D6" s="28"/>
      <c r="E6" s="28"/>
      <c r="F6" s="28"/>
      <c r="G6" s="28"/>
      <c r="H6" s="29"/>
      <c r="I6" s="29"/>
      <c r="J6" s="29"/>
      <c r="K6" s="29"/>
      <c r="L6" s="29"/>
      <c r="M6" s="29"/>
      <c r="N6" s="29"/>
      <c r="O6" s="29"/>
      <c r="P6" s="30"/>
      <c r="Q6" s="30"/>
      <c r="R6" s="30"/>
      <c r="S6" s="30"/>
      <c r="T6" s="30"/>
      <c r="U6" s="30"/>
      <c r="V6" s="30"/>
      <c r="W6" s="30"/>
      <c r="X6" s="30"/>
      <c r="Y6" s="30"/>
      <c r="Z6" s="30"/>
      <c r="AA6" s="30"/>
      <c r="AB6" s="30"/>
      <c r="AC6" s="30"/>
      <c r="AD6" s="31"/>
      <c r="AE6" s="31"/>
      <c r="AF6" s="31"/>
      <c r="AG6" s="31"/>
      <c r="AH6" s="31"/>
      <c r="AI6" s="31"/>
      <c r="AJ6" s="31"/>
      <c r="AK6" s="31"/>
      <c r="AL6" s="31"/>
      <c r="AM6" s="31"/>
      <c r="AN6" s="31"/>
      <c r="AO6" s="31"/>
      <c r="AP6" s="31"/>
      <c r="AQ6" s="31"/>
      <c r="AR6" s="31"/>
      <c r="AS6" s="31"/>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1"/>
      <c r="CM6" s="31"/>
      <c r="CN6" s="31"/>
      <c r="CO6" s="31"/>
      <c r="CP6" s="31"/>
      <c r="CQ6" s="31"/>
      <c r="CR6" s="33"/>
      <c r="CS6" s="33"/>
      <c r="CT6" s="33"/>
      <c r="CU6" s="33"/>
      <c r="CV6" s="33"/>
      <c r="CW6" s="31"/>
      <c r="CX6" s="31"/>
      <c r="CY6" s="31"/>
      <c r="CZ6" s="34"/>
    </row>
    <row r="7" spans="1:116" s="47" customFormat="1" ht="31.5" x14ac:dyDescent="0.25">
      <c r="A7" s="35" t="s">
        <v>120</v>
      </c>
      <c r="B7" s="35" t="s">
        <v>120</v>
      </c>
      <c r="C7" s="36" t="s">
        <v>97</v>
      </c>
      <c r="D7" s="37" t="s">
        <v>137</v>
      </c>
      <c r="E7" s="37">
        <v>3363.6485319585781</v>
      </c>
      <c r="F7" s="37">
        <v>429.3653924507924</v>
      </c>
      <c r="G7" s="38">
        <v>293.8</v>
      </c>
      <c r="H7" s="37">
        <v>1544.2295375180765</v>
      </c>
      <c r="I7" s="37">
        <v>196.9454447216616</v>
      </c>
      <c r="J7" s="37">
        <v>11590.735022364293</v>
      </c>
      <c r="K7" s="37">
        <v>1484.7960227864421</v>
      </c>
      <c r="L7" s="37">
        <v>98.747584379844568</v>
      </c>
      <c r="M7" s="37">
        <v>12.64976037016279</v>
      </c>
      <c r="N7" s="39" t="e">
        <v>#VALUE!</v>
      </c>
      <c r="O7" s="39">
        <v>2.9377398921930434E-2</v>
      </c>
      <c r="P7" s="39">
        <v>8.5195273802145706E-3</v>
      </c>
      <c r="Q7" s="39">
        <v>8.3469248235208279E-2</v>
      </c>
      <c r="R7" s="39">
        <v>-0.28810317343465075</v>
      </c>
      <c r="S7" s="39">
        <v>0.67994450068502699</v>
      </c>
      <c r="T7" s="39">
        <v>0.71671869863121673</v>
      </c>
      <c r="U7" s="39">
        <v>0.12262356642324797</v>
      </c>
      <c r="V7" s="39">
        <v>0.24004735003200847</v>
      </c>
      <c r="W7" s="39">
        <v>2.2891973136851092E-2</v>
      </c>
      <c r="X7" s="40">
        <v>3632.2403408483956</v>
      </c>
      <c r="Y7" s="40">
        <v>463.62062543224368</v>
      </c>
      <c r="Z7" s="39">
        <v>6.561182153145384E-2</v>
      </c>
      <c r="AA7" s="40">
        <v>11590.735022364293</v>
      </c>
      <c r="AB7" s="40">
        <v>98.747584379844568</v>
      </c>
      <c r="AC7" s="40">
        <v>340.37462166666523</v>
      </c>
      <c r="AD7" s="41">
        <v>34.063096865437196</v>
      </c>
      <c r="AE7" s="41">
        <v>34.159526008982901</v>
      </c>
      <c r="AF7" s="41">
        <v>27.694362975718853</v>
      </c>
      <c r="AG7" s="41">
        <v>0.29020148639999332</v>
      </c>
      <c r="AH7" s="41">
        <v>0.29706215042506329</v>
      </c>
      <c r="AI7" s="41">
        <v>0.27930084132840494</v>
      </c>
      <c r="AJ7" s="41">
        <v>10.671301882211159</v>
      </c>
      <c r="AK7" s="41" t="s">
        <v>138</v>
      </c>
      <c r="AL7" s="41" t="s">
        <v>138</v>
      </c>
      <c r="AM7" s="41">
        <v>2.3563055873706333</v>
      </c>
      <c r="AN7" s="41">
        <v>2.2737623720389801</v>
      </c>
      <c r="AO7" s="41">
        <v>2.1338397518707923</v>
      </c>
      <c r="AP7" s="41">
        <v>2.2325227963525838</v>
      </c>
      <c r="AQ7" s="39">
        <v>6.561182153145384E-2</v>
      </c>
      <c r="AR7" s="39">
        <v>5.5500000000000001E-2</v>
      </c>
      <c r="AS7" s="39">
        <v>6.9900000000000004E-2</v>
      </c>
      <c r="AT7" s="42">
        <v>1.1232130538857332</v>
      </c>
      <c r="AU7" s="42" t="s">
        <v>139</v>
      </c>
      <c r="AV7" s="42" t="s">
        <v>139</v>
      </c>
      <c r="AW7" s="42">
        <v>-4.529692978709754E-3</v>
      </c>
      <c r="AX7" s="42" t="e">
        <v>#VALUE!</v>
      </c>
      <c r="AY7" s="42">
        <v>-0.19253060074300588</v>
      </c>
      <c r="AZ7" s="43">
        <v>5.4043298192910712E-2</v>
      </c>
      <c r="BA7" s="43">
        <v>2.199961118362952E-2</v>
      </c>
      <c r="BB7" s="43">
        <v>-9.8155305458605523E-3</v>
      </c>
      <c r="BC7" s="43" t="e">
        <v>#VALUE!</v>
      </c>
      <c r="BD7" s="43" t="e">
        <v>#VALUE!</v>
      </c>
      <c r="BE7" s="43" t="e">
        <v>#VALUE!</v>
      </c>
      <c r="BF7" s="43">
        <v>4.9792862185346939E-2</v>
      </c>
      <c r="BG7" s="43">
        <v>6.2953555635992774E-3</v>
      </c>
      <c r="BH7" s="43">
        <v>-2.2833283939933505E-2</v>
      </c>
      <c r="BI7" s="43" t="e">
        <v>#VALUE!</v>
      </c>
      <c r="BJ7" s="43" t="e">
        <v>#VALUE!</v>
      </c>
      <c r="BK7" s="43" t="e">
        <v>#VALUE!</v>
      </c>
      <c r="BL7" s="43">
        <v>1.3512944684315662</v>
      </c>
      <c r="BM7" s="43">
        <v>1.1990861063149494</v>
      </c>
      <c r="BN7" s="43">
        <v>1.4662795540906639</v>
      </c>
      <c r="BO7" s="43">
        <v>1.3931129405178082</v>
      </c>
      <c r="BP7" s="43">
        <v>1.4530260469863014</v>
      </c>
      <c r="BQ7" s="43">
        <v>1.5454269313634252</v>
      </c>
      <c r="BR7" s="43">
        <v>5.4375123455348846E-2</v>
      </c>
      <c r="BS7" s="43">
        <v>4.9776923515937266E-2</v>
      </c>
      <c r="BT7" s="43">
        <v>5.2570466307242179E-2</v>
      </c>
      <c r="BU7" s="43" t="e">
        <v>#VALUE!</v>
      </c>
      <c r="BV7" s="43" t="e">
        <v>#VALUE!</v>
      </c>
      <c r="BW7" s="43" t="e">
        <v>#VALUE!</v>
      </c>
      <c r="BX7" s="43">
        <v>3.6362787945426363E-2</v>
      </c>
      <c r="BY7" s="43">
        <v>1.8778826595749025E-2</v>
      </c>
      <c r="BZ7" s="43">
        <v>1.9408023621945311E-2</v>
      </c>
      <c r="CA7" s="43">
        <v>1.1725291328767123E-2</v>
      </c>
      <c r="CB7" s="43">
        <v>1.2654163972602739E-2</v>
      </c>
      <c r="CC7" s="43">
        <v>1.5608946860318886E-2</v>
      </c>
      <c r="CD7" s="43">
        <v>7.4249515619039998E-3</v>
      </c>
      <c r="CE7" s="43" t="e">
        <v>#VALUE!</v>
      </c>
      <c r="CF7" s="43" t="e">
        <v>#VALUE!</v>
      </c>
      <c r="CG7" s="43" t="e">
        <v>#VALUE!</v>
      </c>
      <c r="CH7" s="44">
        <v>1.7292850547462183E-5</v>
      </c>
      <c r="CI7" s="44" t="e">
        <v>#VALUE!</v>
      </c>
      <c r="CJ7" s="44" t="e">
        <v>#VALUE!</v>
      </c>
      <c r="CK7" s="44" t="e">
        <v>#VALUE!</v>
      </c>
      <c r="CL7" s="41">
        <v>7.2448675010885593</v>
      </c>
      <c r="CM7" s="41">
        <v>4.2623237329105299</v>
      </c>
      <c r="CN7" s="41">
        <v>3.4449756290483684</v>
      </c>
      <c r="CO7" s="41">
        <v>3.3175718201642828</v>
      </c>
      <c r="CP7" s="41">
        <v>10.078577978624983</v>
      </c>
      <c r="CQ7" s="41">
        <v>7.5417473358759395</v>
      </c>
      <c r="CR7" s="45">
        <v>-3.4023100000000003E-4</v>
      </c>
      <c r="CS7" s="45">
        <v>-3.8769819999999997E-2</v>
      </c>
      <c r="CT7" s="45">
        <v>-0.27884139999999996</v>
      </c>
      <c r="CU7" s="45">
        <v>-0.28472310000000001</v>
      </c>
      <c r="CV7" s="45">
        <v>-0.21328160000000002</v>
      </c>
      <c r="CW7" s="39">
        <v>0.36384717501464547</v>
      </c>
      <c r="CX7" s="39">
        <v>0.43541756063218162</v>
      </c>
      <c r="CY7" s="39">
        <v>0.43323303973048882</v>
      </c>
      <c r="CZ7" s="46" t="s">
        <v>140</v>
      </c>
    </row>
    <row r="8" spans="1:116" s="47" customFormat="1" ht="47.25" x14ac:dyDescent="0.25">
      <c r="A8" s="35" t="s">
        <v>141</v>
      </c>
      <c r="B8" s="35" t="s">
        <v>121</v>
      </c>
      <c r="C8" s="36" t="s">
        <v>98</v>
      </c>
      <c r="D8" s="37" t="s">
        <v>142</v>
      </c>
      <c r="E8" s="37">
        <v>8380084.1853408758</v>
      </c>
      <c r="F8" s="37">
        <v>1069706.9271129998</v>
      </c>
      <c r="G8" s="38">
        <v>134.19999999999999</v>
      </c>
      <c r="H8" s="37">
        <v>829276.41800000006</v>
      </c>
      <c r="I8" s="37">
        <v>106180</v>
      </c>
      <c r="J8" s="37">
        <v>5560443.0399184618</v>
      </c>
      <c r="K8" s="37">
        <v>713163</v>
      </c>
      <c r="L8" s="37">
        <v>170696.99279538463</v>
      </c>
      <c r="M8" s="37">
        <v>21893</v>
      </c>
      <c r="N8" s="39">
        <v>0.24926699786724776</v>
      </c>
      <c r="O8" s="39">
        <v>6.575916024807793E-2</v>
      </c>
      <c r="P8" s="39">
        <v>3.0698451826581021E-2</v>
      </c>
      <c r="Q8" s="39">
        <v>4.7252142117667789E-2</v>
      </c>
      <c r="R8" s="39">
        <v>0.12641490018522331</v>
      </c>
      <c r="S8" s="39">
        <v>0.63189866264833305</v>
      </c>
      <c r="T8" s="39">
        <v>0.67352961843861991</v>
      </c>
      <c r="U8" s="39">
        <v>0.53087210397438311</v>
      </c>
      <c r="V8" s="39">
        <v>0.23569561735073841</v>
      </c>
      <c r="W8" s="39">
        <v>8.0268968690592496E-2</v>
      </c>
      <c r="X8" s="40">
        <v>8871581.4701032396</v>
      </c>
      <c r="Y8" s="40">
        <v>1132637.9271129998</v>
      </c>
      <c r="Z8" s="39">
        <v>0.22969102449771805</v>
      </c>
      <c r="AA8" s="40">
        <v>5560443.0399184618</v>
      </c>
      <c r="AB8" s="40">
        <v>170696.99279538463</v>
      </c>
      <c r="AC8" s="40">
        <v>362258.42412000004</v>
      </c>
      <c r="AD8" s="41">
        <v>49.093332273206045</v>
      </c>
      <c r="AE8" s="41">
        <v>46.576104375821821</v>
      </c>
      <c r="AF8" s="41">
        <v>40.852409661610785</v>
      </c>
      <c r="AG8" s="41">
        <v>1.507089295795351</v>
      </c>
      <c r="AH8" s="41">
        <v>1.4334049709871868</v>
      </c>
      <c r="AI8" s="41">
        <v>1.3671794603197607</v>
      </c>
      <c r="AJ8" s="41">
        <v>24.489648492382557</v>
      </c>
      <c r="AK8" s="41">
        <v>21.698404558722835</v>
      </c>
      <c r="AL8" s="41">
        <v>19.712839487909726</v>
      </c>
      <c r="AM8" s="41">
        <v>10.735514778406717</v>
      </c>
      <c r="AN8" s="41">
        <v>9.7242298765684296</v>
      </c>
      <c r="AO8" s="41">
        <v>8.8181213490270576</v>
      </c>
      <c r="AP8" s="41">
        <v>9.7232285176061435</v>
      </c>
      <c r="AQ8" s="39">
        <v>0.22969102449771805</v>
      </c>
      <c r="AR8" s="39">
        <v>0.21592</v>
      </c>
      <c r="AS8" s="39">
        <v>0.21426999999999999</v>
      </c>
      <c r="AT8" s="42">
        <v>0.73770492513915298</v>
      </c>
      <c r="AU8" s="42">
        <v>0.69523099850968717</v>
      </c>
      <c r="AV8" s="42">
        <v>0.73099850968703428</v>
      </c>
      <c r="AW8" s="42">
        <v>4.8698145750562638E-2</v>
      </c>
      <c r="AX8" s="42">
        <v>7.7160566451923041E-2</v>
      </c>
      <c r="AY8" s="42">
        <v>7.9747431728917073E-2</v>
      </c>
      <c r="AZ8" s="43">
        <v>27.070967391304347</v>
      </c>
      <c r="BA8" s="43">
        <v>34.523402173913041</v>
      </c>
      <c r="BB8" s="43">
        <v>37.516880434782607</v>
      </c>
      <c r="BC8" s="43">
        <v>39.15621356311015</v>
      </c>
      <c r="BD8" s="43">
        <v>40.128463358296955</v>
      </c>
      <c r="BE8" s="43">
        <v>43.735808530930285</v>
      </c>
      <c r="BF8" s="43">
        <v>10.307641304347825</v>
      </c>
      <c r="BG8" s="43">
        <v>14.300184782608694</v>
      </c>
      <c r="BH8" s="43">
        <v>14.123065217391304</v>
      </c>
      <c r="BI8" s="43">
        <v>16.499710685809685</v>
      </c>
      <c r="BJ8" s="43">
        <v>14.11922566079229</v>
      </c>
      <c r="BK8" s="43">
        <v>18.194062541596253</v>
      </c>
      <c r="BL8" s="43">
        <v>607.5228369565217</v>
      </c>
      <c r="BM8" s="43">
        <v>644.9778260869565</v>
      </c>
      <c r="BN8" s="43">
        <v>678.57036956521745</v>
      </c>
      <c r="BO8" s="43">
        <v>706.70367539678671</v>
      </c>
      <c r="BP8" s="43">
        <v>746.26984309309307</v>
      </c>
      <c r="BQ8" s="43">
        <v>782.41879272914218</v>
      </c>
      <c r="BR8" s="43">
        <v>31.447467391304347</v>
      </c>
      <c r="BS8" s="43">
        <v>38.191423913043479</v>
      </c>
      <c r="BT8" s="43">
        <v>42.030543478260874</v>
      </c>
      <c r="BU8" s="43">
        <v>44.809955130606717</v>
      </c>
      <c r="BV8" s="43">
        <v>48.766984039353879</v>
      </c>
      <c r="BW8" s="43">
        <v>53.679012069452199</v>
      </c>
      <c r="BX8" s="43">
        <v>10.765836956521738</v>
      </c>
      <c r="BY8" s="43">
        <v>15.774163043478261</v>
      </c>
      <c r="BZ8" s="43">
        <v>19.516869565217391</v>
      </c>
      <c r="CA8" s="43">
        <v>20.761633827842729</v>
      </c>
      <c r="CB8" s="43">
        <v>22.753830527138394</v>
      </c>
      <c r="CC8" s="43">
        <v>25.80093538647343</v>
      </c>
      <c r="CD8" s="43">
        <v>6.6374565217391304</v>
      </c>
      <c r="CE8" s="43">
        <v>7.398583996676205</v>
      </c>
      <c r="CF8" s="43">
        <v>7.6709595748585739</v>
      </c>
      <c r="CG8" s="43">
        <v>8.1391110313670811</v>
      </c>
      <c r="CH8" s="44">
        <v>6.2049299237995626E-6</v>
      </c>
      <c r="CI8" s="44">
        <v>6.9164589002373041E-6</v>
      </c>
      <c r="CJ8" s="44">
        <v>7.1710852574933755E-6</v>
      </c>
      <c r="CK8" s="44">
        <v>7.6087298540110281E-6</v>
      </c>
      <c r="CL8" s="41">
        <v>19123.992726929151</v>
      </c>
      <c r="CM8" s="41">
        <v>17589.413088146284</v>
      </c>
      <c r="CN8" s="41">
        <v>16368.911965053505</v>
      </c>
      <c r="CO8" s="41">
        <v>16610.733457109847</v>
      </c>
      <c r="CP8" s="41">
        <v>18447.681637282531</v>
      </c>
      <c r="CQ8" s="41">
        <v>23745.78858813347</v>
      </c>
      <c r="CR8" s="45">
        <v>4.9093200000000004E-2</v>
      </c>
      <c r="CS8" s="45">
        <v>9.114564E-2</v>
      </c>
      <c r="CT8" s="45">
        <v>0.25291760000000002</v>
      </c>
      <c r="CU8" s="45">
        <v>0.37218809999999997</v>
      </c>
      <c r="CV8" s="45">
        <v>0.20455970000000001</v>
      </c>
      <c r="CW8" s="39">
        <v>0.20586469550991307</v>
      </c>
      <c r="CX8" s="39">
        <v>0.22858560801012487</v>
      </c>
      <c r="CY8" s="39">
        <v>0.23829710360519069</v>
      </c>
      <c r="CZ8" s="46" t="s">
        <v>143</v>
      </c>
    </row>
    <row r="9" spans="1:116" s="47" customFormat="1" ht="31.5" x14ac:dyDescent="0.25">
      <c r="A9" s="35" t="s">
        <v>144</v>
      </c>
      <c r="B9" s="35" t="s">
        <v>122</v>
      </c>
      <c r="C9" s="36" t="s">
        <v>99</v>
      </c>
      <c r="D9" s="37" t="s">
        <v>142</v>
      </c>
      <c r="E9" s="37">
        <v>20157.569270046166</v>
      </c>
      <c r="F9" s="37">
        <v>2573.0876927999998</v>
      </c>
      <c r="G9" s="38">
        <v>15.36</v>
      </c>
      <c r="H9" s="37">
        <v>13210.268683400001</v>
      </c>
      <c r="I9" s="37">
        <v>1691.4340000000002</v>
      </c>
      <c r="J9" s="37">
        <v>43251.107821052312</v>
      </c>
      <c r="K9" s="37">
        <v>5547.2359999999999</v>
      </c>
      <c r="L9" s="37">
        <v>1496.8675269646155</v>
      </c>
      <c r="M9" s="37">
        <v>191.983</v>
      </c>
      <c r="N9" s="39">
        <v>0.36510453133776893</v>
      </c>
      <c r="O9" s="39">
        <v>0.17345971939899438</v>
      </c>
      <c r="P9" s="39">
        <v>3.4608767321238902E-2</v>
      </c>
      <c r="Q9" s="39">
        <v>4.1020505748921084E-2</v>
      </c>
      <c r="R9" s="39">
        <v>-0.41713825976076263</v>
      </c>
      <c r="S9" s="39">
        <v>1.0052553040792604</v>
      </c>
      <c r="T9" s="39">
        <v>1.0042347029476957</v>
      </c>
      <c r="U9" s="39">
        <v>0.86400060540346213</v>
      </c>
      <c r="V9" s="39">
        <v>0.42405453801799647</v>
      </c>
      <c r="W9" s="39">
        <v>4.8972412953074793E-2</v>
      </c>
      <c r="X9" s="40">
        <v>31557.8235634952</v>
      </c>
      <c r="Y9" s="40">
        <v>4032.7686927999994</v>
      </c>
      <c r="Z9" s="39">
        <v>0.11097241542156054</v>
      </c>
      <c r="AA9" s="40">
        <v>43251.107821052312</v>
      </c>
      <c r="AB9" s="40">
        <v>1496.8675269646155</v>
      </c>
      <c r="AC9" s="40">
        <v>6710.1390966323079</v>
      </c>
      <c r="AD9" s="41">
        <v>13.466501815910307</v>
      </c>
      <c r="AE9" s="41">
        <v>8.8269913741503849</v>
      </c>
      <c r="AF9" s="41">
        <v>7.7833708127592569</v>
      </c>
      <c r="AG9" s="41">
        <v>0.46605902797788096</v>
      </c>
      <c r="AH9" s="41">
        <v>0.44585488254475486</v>
      </c>
      <c r="AI9" s="41">
        <v>0.43027256869314134</v>
      </c>
      <c r="AJ9" s="41">
        <v>4.7030058705241258</v>
      </c>
      <c r="AK9" s="41">
        <v>8.3320804700763951</v>
      </c>
      <c r="AL9" s="41">
        <v>7.6098393331341008</v>
      </c>
      <c r="AM9" s="41">
        <v>1.5327586000750517</v>
      </c>
      <c r="AN9" s="41">
        <v>1.259735760430321</v>
      </c>
      <c r="AO9" s="41">
        <v>1.1445369018973501</v>
      </c>
      <c r="AP9" s="41">
        <v>1.2687923343796463</v>
      </c>
      <c r="AQ9" s="39">
        <v>0.11097241542156054</v>
      </c>
      <c r="AR9" s="39">
        <v>0.13893</v>
      </c>
      <c r="AS9" s="39">
        <v>0.17071999999999998</v>
      </c>
      <c r="AT9" s="42">
        <v>3.2552083333333335</v>
      </c>
      <c r="AU9" s="42">
        <v>3.2747395833333335</v>
      </c>
      <c r="AV9" s="42">
        <v>3.2356770833333335</v>
      </c>
      <c r="AW9" s="42">
        <v>3.8917206511914992E-2</v>
      </c>
      <c r="AX9" s="42">
        <v>2.4437769690176525E-2</v>
      </c>
      <c r="AY9" s="42">
        <v>1.5840871604921869E-2</v>
      </c>
      <c r="AZ9" s="43">
        <v>0.30877057142857145</v>
      </c>
      <c r="BA9" s="43">
        <v>0.62958048822605972</v>
      </c>
      <c r="BB9" s="43">
        <v>0.44467309419152279</v>
      </c>
      <c r="BC9" s="43">
        <v>0.88413334484535433</v>
      </c>
      <c r="BD9" s="43">
        <v>0.60041393283369093</v>
      </c>
      <c r="BE9" s="43">
        <v>0.60689928375148661</v>
      </c>
      <c r="BF9" s="43">
        <v>3.8662615384615379E-2</v>
      </c>
      <c r="BG9" s="43">
        <v>0.45008166405023553</v>
      </c>
      <c r="BH9" s="43">
        <v>0.23123480847723707</v>
      </c>
      <c r="BI9" s="43">
        <v>0.49798701584321742</v>
      </c>
      <c r="BJ9" s="43">
        <v>0.35781942500433089</v>
      </c>
      <c r="BK9" s="43">
        <v>0.32122046542811528</v>
      </c>
      <c r="BL9" s="43">
        <v>5.0100485824175829</v>
      </c>
      <c r="BM9" s="43">
        <v>5.1396257896389326</v>
      </c>
      <c r="BN9" s="43">
        <v>5.346864430141288</v>
      </c>
      <c r="BO9" s="43">
        <v>5.3619101121101131</v>
      </c>
      <c r="BP9" s="43">
        <v>5.7711325725556497</v>
      </c>
      <c r="BQ9" s="43">
        <v>5.980134041782394</v>
      </c>
      <c r="BR9" s="43">
        <v>0.45867070329670329</v>
      </c>
      <c r="BS9" s="43">
        <v>0.47541237205651493</v>
      </c>
      <c r="BT9" s="43">
        <v>0.60213290266875985</v>
      </c>
      <c r="BU9" s="43">
        <v>0.45868699633699639</v>
      </c>
      <c r="BV9" s="43">
        <v>0.63192206959706954</v>
      </c>
      <c r="BW9" s="43">
        <v>0.69189706959706931</v>
      </c>
      <c r="BX9" s="43">
        <v>0.12441023076923077</v>
      </c>
      <c r="BY9" s="43">
        <v>0.18464496546310832</v>
      </c>
      <c r="BZ9" s="43">
        <v>0.29487916640502354</v>
      </c>
      <c r="CA9" s="43">
        <v>0.20500813186813188</v>
      </c>
      <c r="CB9" s="43">
        <v>0.30429544740973313</v>
      </c>
      <c r="CC9" s="43">
        <v>0.35161114599686027</v>
      </c>
      <c r="CD9" s="43">
        <v>9.6647050235478801E-2</v>
      </c>
      <c r="CE9" s="43">
        <v>9.0614800897440714E-2</v>
      </c>
      <c r="CF9" s="43">
        <v>8.8729528800366317E-2</v>
      </c>
      <c r="CG9" s="43">
        <v>9.3559921817765568E-2</v>
      </c>
      <c r="CH9" s="44">
        <v>3.7560729277092287E-5</v>
      </c>
      <c r="CI9" s="44">
        <v>3.5216367149475145E-5</v>
      </c>
      <c r="CJ9" s="44">
        <v>3.4483678519254829E-5</v>
      </c>
      <c r="CK9" s="44">
        <v>3.6360953448871732E-5</v>
      </c>
      <c r="CL9" s="41">
        <v>554.6798305828404</v>
      </c>
      <c r="CM9" s="41">
        <v>543.59402436892901</v>
      </c>
      <c r="CN9" s="41">
        <v>540.687251639019</v>
      </c>
      <c r="CO9" s="41">
        <v>563.99768178215265</v>
      </c>
      <c r="CP9" s="41">
        <v>780.81676237908653</v>
      </c>
      <c r="CQ9" s="41">
        <v>1081.936716104133</v>
      </c>
      <c r="CR9" s="45">
        <v>-0.22736419999999999</v>
      </c>
      <c r="CS9" s="45">
        <v>-0.39192399999999999</v>
      </c>
      <c r="CT9" s="45">
        <v>-0.12428739999999999</v>
      </c>
      <c r="CU9" s="45">
        <v>0.33914559999999999</v>
      </c>
      <c r="CV9" s="45">
        <v>-0.4175199</v>
      </c>
      <c r="CW9" s="39">
        <v>0.37298253319275859</v>
      </c>
      <c r="CX9" s="39">
        <v>0.53793434103625726</v>
      </c>
      <c r="CY9" s="39">
        <v>0.54402539551794327</v>
      </c>
      <c r="CZ9" s="46" t="s">
        <v>145</v>
      </c>
    </row>
    <row r="10" spans="1:116" s="47" customFormat="1" ht="31.5" x14ac:dyDescent="0.25">
      <c r="A10" s="35" t="s">
        <v>146</v>
      </c>
      <c r="B10" s="35" t="s">
        <v>123</v>
      </c>
      <c r="C10" s="36" t="s">
        <v>100</v>
      </c>
      <c r="D10" s="37" t="s">
        <v>147</v>
      </c>
      <c r="E10" s="37">
        <v>3803390.1915941071</v>
      </c>
      <c r="F10" s="37">
        <v>485497.8475728</v>
      </c>
      <c r="G10" s="38">
        <v>1094.32</v>
      </c>
      <c r="H10" s="37">
        <v>227315.88160000002</v>
      </c>
      <c r="I10" s="37">
        <v>29164</v>
      </c>
      <c r="J10" s="37">
        <v>2145593.807342303</v>
      </c>
      <c r="K10" s="37">
        <v>275235</v>
      </c>
      <c r="L10" s="37">
        <v>63135.73580999986</v>
      </c>
      <c r="M10" s="37">
        <v>8099</v>
      </c>
      <c r="N10" s="39">
        <v>0.12843206714262356</v>
      </c>
      <c r="O10" s="39">
        <v>4.7097934492342904E-2</v>
      </c>
      <c r="P10" s="39">
        <v>2.9425763438516175E-2</v>
      </c>
      <c r="Q10" s="39">
        <v>8.1673236314761477E-2</v>
      </c>
      <c r="R10" s="39">
        <v>9.9362019818107772E-2</v>
      </c>
      <c r="S10" s="39">
        <v>0.29262103963790975</v>
      </c>
      <c r="T10" s="39">
        <v>0.29262103963790975</v>
      </c>
      <c r="U10" s="39">
        <v>-0.23144973254697571</v>
      </c>
      <c r="V10" s="39">
        <v>0.11068885458955367</v>
      </c>
      <c r="W10" s="39">
        <v>0.10899957287569408</v>
      </c>
      <c r="X10" s="40">
        <v>3724627.817885315</v>
      </c>
      <c r="Y10" s="40">
        <v>475422.8475728</v>
      </c>
      <c r="Z10" s="39">
        <v>0.29651082130965595</v>
      </c>
      <c r="AA10" s="40">
        <v>2232256.1545307706</v>
      </c>
      <c r="AB10" s="40">
        <v>66663.957749230802</v>
      </c>
      <c r="AC10" s="40">
        <v>104959.27843076929</v>
      </c>
      <c r="AD10" s="41">
        <v>57.053171158863464</v>
      </c>
      <c r="AE10" s="41">
        <v>51.687613270342972</v>
      </c>
      <c r="AF10" s="41">
        <v>46.888178326196233</v>
      </c>
      <c r="AG10" s="41">
        <v>1.7038323240253739</v>
      </c>
      <c r="AH10" s="41">
        <v>1.5700454419001995</v>
      </c>
      <c r="AI10" s="41">
        <v>1.4522641263458116</v>
      </c>
      <c r="AJ10" s="41">
        <v>35.486408382104727</v>
      </c>
      <c r="AK10" s="41">
        <v>27.964893474505772</v>
      </c>
      <c r="AL10" s="41">
        <v>25.553506221143373</v>
      </c>
      <c r="AM10" s="41">
        <v>15.132016256081489</v>
      </c>
      <c r="AN10" s="41">
        <v>12.56262673797127</v>
      </c>
      <c r="AO10" s="41">
        <v>10.905652858050765</v>
      </c>
      <c r="AP10" s="41">
        <v>11.562120299639712</v>
      </c>
      <c r="AQ10" s="39">
        <v>0.29651082130965595</v>
      </c>
      <c r="AR10" s="39">
        <v>0.28724</v>
      </c>
      <c r="AS10" s="39">
        <v>0.26458999999999999</v>
      </c>
      <c r="AT10" s="42">
        <v>0.53711384570225973</v>
      </c>
      <c r="AU10" s="42">
        <v>0.49382264785437535</v>
      </c>
      <c r="AV10" s="42">
        <v>0.53530959865487249</v>
      </c>
      <c r="AW10" s="42">
        <v>8.5310884518697838E-2</v>
      </c>
      <c r="AX10" s="42">
        <v>0.10881618327596621</v>
      </c>
      <c r="AY10" s="42">
        <v>0.11049496666962733</v>
      </c>
      <c r="AZ10" s="43">
        <v>8.1110476190476195</v>
      </c>
      <c r="BA10" s="43">
        <v>11.855583333333332</v>
      </c>
      <c r="BB10" s="43">
        <v>10.853845238095237</v>
      </c>
      <c r="BC10" s="43">
        <v>12.77640091532143</v>
      </c>
      <c r="BD10" s="43">
        <v>14.729237920110714</v>
      </c>
      <c r="BE10" s="43">
        <v>15.30255319650357</v>
      </c>
      <c r="BF10" s="43">
        <v>4.1279285714285709</v>
      </c>
      <c r="BG10" s="43">
        <v>7.5544047619047623</v>
      </c>
      <c r="BH10" s="43">
        <v>5.8486071428571433</v>
      </c>
      <c r="BI10" s="43">
        <v>6.8187958147063981</v>
      </c>
      <c r="BJ10" s="43">
        <v>7.5226846793997026</v>
      </c>
      <c r="BK10" s="43">
        <v>8.8964660771914641</v>
      </c>
      <c r="BL10" s="43">
        <v>233.28688095238093</v>
      </c>
      <c r="BM10" s="43">
        <v>243.02776190476189</v>
      </c>
      <c r="BN10" s="43">
        <v>262.52263095238095</v>
      </c>
      <c r="BO10" s="43">
        <v>282.94783894492662</v>
      </c>
      <c r="BP10" s="43">
        <v>309.22533245675766</v>
      </c>
      <c r="BQ10" s="43">
        <v>334.30408073593077</v>
      </c>
      <c r="BR10" s="43">
        <v>9.8537738095238101</v>
      </c>
      <c r="BS10" s="43">
        <v>10.393083333333333</v>
      </c>
      <c r="BT10" s="43">
        <v>11.970952380952379</v>
      </c>
      <c r="BU10" s="43">
        <v>13.175989605959337</v>
      </c>
      <c r="BV10" s="43">
        <v>14.71796666666666</v>
      </c>
      <c r="BW10" s="43">
        <v>16.106845238095229</v>
      </c>
      <c r="BX10" s="43">
        <v>5.9809761904761904</v>
      </c>
      <c r="BY10" s="43">
        <v>6.5277023809523813</v>
      </c>
      <c r="BZ10" s="43">
        <v>7.6373214285714282</v>
      </c>
      <c r="CA10" s="43">
        <v>8.3099475210467322</v>
      </c>
      <c r="CB10" s="43">
        <v>9.4183376906318088</v>
      </c>
      <c r="CC10" s="43">
        <v>10.381944775132274</v>
      </c>
      <c r="CD10" s="43">
        <v>5.6897500000000001</v>
      </c>
      <c r="CE10" s="43">
        <v>2.3518354214965695</v>
      </c>
      <c r="CF10" s="43">
        <v>4.3629675912349537</v>
      </c>
      <c r="CG10" s="43">
        <v>3.064297471930884</v>
      </c>
      <c r="CH10" s="44">
        <v>1.1719413440132352E-5</v>
      </c>
      <c r="CI10" s="44">
        <v>4.8441727048932253E-6</v>
      </c>
      <c r="CJ10" s="44">
        <v>8.9865848284337242E-6</v>
      </c>
      <c r="CK10" s="44">
        <v>6.3116602622453339E-6</v>
      </c>
      <c r="CL10" s="41">
        <v>18203.07478846809</v>
      </c>
      <c r="CM10" s="41">
        <v>16602.223006074706</v>
      </c>
      <c r="CN10" s="41">
        <v>15043.903718730122</v>
      </c>
      <c r="CO10" s="41">
        <v>14440.370437612379</v>
      </c>
      <c r="CP10" s="41">
        <v>14496.743935273751</v>
      </c>
      <c r="CQ10" s="41">
        <v>16842.298414881727</v>
      </c>
      <c r="CR10" s="45">
        <v>9.6688819999999995E-2</v>
      </c>
      <c r="CS10" s="45">
        <v>0.11068030000000001</v>
      </c>
      <c r="CT10" s="45">
        <v>0.22504449999999998</v>
      </c>
      <c r="CU10" s="45">
        <v>5.5458090000000002E-2</v>
      </c>
      <c r="CV10" s="45">
        <v>0.26901219999999998</v>
      </c>
      <c r="CW10" s="39">
        <v>0.18496034818183529</v>
      </c>
      <c r="CX10" s="39">
        <v>0.18377652678835038</v>
      </c>
      <c r="CY10" s="39">
        <v>0.19526560327313178</v>
      </c>
      <c r="CZ10" s="46" t="s">
        <v>148</v>
      </c>
    </row>
    <row r="11" spans="1:116" s="47" customFormat="1" ht="31.5" x14ac:dyDescent="0.25">
      <c r="A11" s="35" t="s">
        <v>149</v>
      </c>
      <c r="B11" s="35" t="s">
        <v>124</v>
      </c>
      <c r="C11" s="36" t="s">
        <v>101</v>
      </c>
      <c r="D11" s="37" t="s">
        <v>142</v>
      </c>
      <c r="E11" s="37">
        <v>135311.19630839847</v>
      </c>
      <c r="F11" s="37">
        <v>17272.299514632276</v>
      </c>
      <c r="G11" s="38">
        <v>1833</v>
      </c>
      <c r="H11" s="37">
        <v>118036.02326880001</v>
      </c>
      <c r="I11" s="37">
        <v>15168.216</v>
      </c>
      <c r="J11" s="37">
        <v>198050.84302384619</v>
      </c>
      <c r="K11" s="37">
        <v>25404.338206923068</v>
      </c>
      <c r="L11" s="37">
        <v>10432.299403846155</v>
      </c>
      <c r="M11" s="37">
        <v>1338.1698269230765</v>
      </c>
      <c r="N11" s="39">
        <v>0.23922092604964285</v>
      </c>
      <c r="O11" s="39">
        <v>0.13253507374479676</v>
      </c>
      <c r="P11" s="39">
        <v>5.2674854822961095E-2</v>
      </c>
      <c r="Q11" s="39">
        <v>-2.7195920611908213E-2</v>
      </c>
      <c r="R11" s="39">
        <v>-0.29553264604810997</v>
      </c>
      <c r="S11" s="39">
        <v>0.32951904165921692</v>
      </c>
      <c r="T11" s="39">
        <v>0.33330319197034092</v>
      </c>
      <c r="U11" s="39">
        <v>0.23502592526372251</v>
      </c>
      <c r="V11" s="39">
        <v>0.19107355761754186</v>
      </c>
      <c r="W11" s="39">
        <v>4.9596700514239471E-2</v>
      </c>
      <c r="X11" s="40">
        <v>168838.27876835858</v>
      </c>
      <c r="Y11" s="40">
        <v>21558.664839783669</v>
      </c>
      <c r="Z11" s="39">
        <v>8.4613671788020484E-2</v>
      </c>
      <c r="AA11" s="40">
        <v>202525.2046153846</v>
      </c>
      <c r="AB11" s="40">
        <v>9907.2576923076922</v>
      </c>
      <c r="AC11" s="40">
        <v>24622.142538461536</v>
      </c>
      <c r="AD11" s="41">
        <v>13.65778508148207</v>
      </c>
      <c r="AE11" s="41">
        <v>11.274659748918472</v>
      </c>
      <c r="AF11" s="41">
        <v>10.646149380396279</v>
      </c>
      <c r="AG11" s="41">
        <v>0.66812027947517849</v>
      </c>
      <c r="AH11" s="41">
        <v>0.6820085542437857</v>
      </c>
      <c r="AI11" s="41">
        <v>0.64486100444100425</v>
      </c>
      <c r="AJ11" s="41">
        <v>6.8571725025399877</v>
      </c>
      <c r="AK11" s="41">
        <v>7.2901670277806199</v>
      </c>
      <c r="AL11" s="41">
        <v>6.9691059195078138</v>
      </c>
      <c r="AM11" s="41">
        <v>1.1298632841178011</v>
      </c>
      <c r="AN11" s="41">
        <v>1.119219858286759</v>
      </c>
      <c r="AO11" s="41">
        <v>1.0494898551767797</v>
      </c>
      <c r="AP11" s="41">
        <v>1.0751994368840918</v>
      </c>
      <c r="AQ11" s="39">
        <v>8.4613671788020484E-2</v>
      </c>
      <c r="AR11" s="39">
        <v>9.8140000000000005E-2</v>
      </c>
      <c r="AS11" s="39">
        <v>0.10043000000000001</v>
      </c>
      <c r="AT11" s="42">
        <v>3.4369885433715219</v>
      </c>
      <c r="AU11" s="42">
        <v>3.2460447354064379</v>
      </c>
      <c r="AV11" s="42">
        <v>3.3715220949263505</v>
      </c>
      <c r="AW11" s="42">
        <v>2.3239674312065528E-3</v>
      </c>
      <c r="AX11" s="42">
        <v>8.7649320633582661E-3</v>
      </c>
      <c r="AY11" s="42">
        <v>-0.10748367937964942</v>
      </c>
      <c r="AZ11" s="43">
        <v>1.1691067398969777</v>
      </c>
      <c r="BA11" s="43">
        <v>2.935792309362935</v>
      </c>
      <c r="BB11" s="43">
        <v>3.3824466107918263</v>
      </c>
      <c r="BC11" s="43">
        <v>2.3953423857395788</v>
      </c>
      <c r="BD11" s="43">
        <v>1.9686017077040372</v>
      </c>
      <c r="BE11" s="43">
        <v>2.0516050833024742</v>
      </c>
      <c r="BF11" s="43">
        <v>0.21227288250686807</v>
      </c>
      <c r="BG11" s="43">
        <v>1.6210349548400449</v>
      </c>
      <c r="BH11" s="43">
        <v>1.9691316122650975</v>
      </c>
      <c r="BI11" s="43">
        <v>0.91571911775604398</v>
      </c>
      <c r="BJ11" s="43">
        <v>0.94270928425426737</v>
      </c>
      <c r="BK11" s="43">
        <v>0.92799303836477987</v>
      </c>
      <c r="BL11" s="43">
        <v>21.937977659230761</v>
      </c>
      <c r="BM11" s="43">
        <v>24.950845464699402</v>
      </c>
      <c r="BN11" s="43">
        <v>25.454993010381319</v>
      </c>
      <c r="BO11" s="43">
        <v>26.137290987996622</v>
      </c>
      <c r="BP11" s="43">
        <v>25.573443637769742</v>
      </c>
      <c r="BQ11" s="43">
        <v>27.046615010546688</v>
      </c>
      <c r="BR11" s="43">
        <v>2.3553044384752742</v>
      </c>
      <c r="BS11" s="43">
        <v>2.9400949455322682</v>
      </c>
      <c r="BT11" s="43">
        <v>3.3878779446633831</v>
      </c>
      <c r="BU11" s="43">
        <v>3.5387547337278171</v>
      </c>
      <c r="BV11" s="43">
        <v>3.4475272551618961</v>
      </c>
      <c r="BW11" s="43">
        <v>3.606352064847262</v>
      </c>
      <c r="BX11" s="43">
        <v>0.89085900379807648</v>
      </c>
      <c r="BY11" s="43">
        <v>1.419310667746829</v>
      </c>
      <c r="BZ11" s="43">
        <v>1.7471448044198141</v>
      </c>
      <c r="CA11" s="43">
        <v>1.5377899438644689</v>
      </c>
      <c r="CB11" s="43">
        <v>1.3917500124403899</v>
      </c>
      <c r="CC11" s="43">
        <v>1.4961077611859841</v>
      </c>
      <c r="CD11" s="43">
        <v>0.77610423333333334</v>
      </c>
      <c r="CE11" s="43">
        <v>0.49583444796958115</v>
      </c>
      <c r="CF11" s="43">
        <v>0.55177702616167912</v>
      </c>
      <c r="CG11" s="43">
        <v>0.47900223425027483</v>
      </c>
      <c r="CH11" s="44">
        <v>4.4933463125500723E-5</v>
      </c>
      <c r="CI11" s="44">
        <v>2.8706915807564223E-5</v>
      </c>
      <c r="CJ11" s="44">
        <v>3.194577686047186E-5</v>
      </c>
      <c r="CK11" s="44">
        <v>2.7732395089865525E-5</v>
      </c>
      <c r="CL11" s="41">
        <v>129.29820265016164</v>
      </c>
      <c r="CM11" s="41">
        <v>135.8617277206815</v>
      </c>
      <c r="CN11" s="41">
        <v>149.59611564624336</v>
      </c>
      <c r="CO11" s="41">
        <v>163.17554024451138</v>
      </c>
      <c r="CP11" s="41">
        <v>160.58720074141482</v>
      </c>
      <c r="CQ11" s="41">
        <v>154.51915294171889</v>
      </c>
      <c r="CR11" s="45">
        <v>-2.7586210000000003E-2</v>
      </c>
      <c r="CS11" s="45">
        <v>-6.1684159999999995E-2</v>
      </c>
      <c r="CT11" s="45">
        <v>-0.12672700000000001</v>
      </c>
      <c r="CU11" s="45">
        <v>-0.1390324</v>
      </c>
      <c r="CV11" s="45">
        <v>-0.13822279999999998</v>
      </c>
      <c r="CW11" s="39">
        <v>0.21825152881108781</v>
      </c>
      <c r="CX11" s="39">
        <v>0.21275674971744929</v>
      </c>
      <c r="CY11" s="39">
        <v>0.2706093987392667</v>
      </c>
      <c r="CZ11" s="46" t="s">
        <v>150</v>
      </c>
    </row>
    <row r="12" spans="1:116" s="47" customFormat="1" ht="31.5" x14ac:dyDescent="0.25">
      <c r="A12" s="35" t="s">
        <v>151</v>
      </c>
      <c r="B12" s="35" t="s">
        <v>152</v>
      </c>
      <c r="C12" s="36" t="s">
        <v>135</v>
      </c>
      <c r="D12" s="37" t="s">
        <v>153</v>
      </c>
      <c r="E12" s="37">
        <v>62764.157357330703</v>
      </c>
      <c r="F12" s="37">
        <v>8012.0704028399987</v>
      </c>
      <c r="G12" s="38">
        <v>135.41999999999999</v>
      </c>
      <c r="H12" s="37">
        <v>2450.0992834999997</v>
      </c>
      <c r="I12" s="37">
        <v>314.76499999999999</v>
      </c>
      <c r="J12" s="37">
        <v>8430.3509713471176</v>
      </c>
      <c r="K12" s="37">
        <v>1081.3920000000001</v>
      </c>
      <c r="L12" s="37">
        <v>1714.6777814574696</v>
      </c>
      <c r="M12" s="37">
        <v>219.94800000000001</v>
      </c>
      <c r="N12" s="39">
        <v>0.56321204521579593</v>
      </c>
      <c r="O12" s="39">
        <v>0.26997702960628522</v>
      </c>
      <c r="P12" s="39">
        <v>0.20339340405699322</v>
      </c>
      <c r="Q12" s="39">
        <v>3.7453758423258134E-2</v>
      </c>
      <c r="R12" s="39">
        <v>7.2539429576303927E-3</v>
      </c>
      <c r="S12" s="39">
        <v>0.19399552046765048</v>
      </c>
      <c r="T12" s="39">
        <v>0.19399552046765048</v>
      </c>
      <c r="U12" s="39">
        <v>-0.85042492017854598</v>
      </c>
      <c r="V12" s="39">
        <v>7.274704904049141E-2</v>
      </c>
      <c r="W12" s="39">
        <v>0.29909874589217395</v>
      </c>
      <c r="X12" s="40">
        <v>61427.690191527698</v>
      </c>
      <c r="Y12" s="40">
        <v>7841.6224028399984</v>
      </c>
      <c r="Z12" s="39">
        <v>0.96236036156084137</v>
      </c>
      <c r="AA12" s="40">
        <v>8590.7452934252906</v>
      </c>
      <c r="AB12" s="40">
        <v>1690.8118184796942</v>
      </c>
      <c r="AC12" s="40">
        <v>2248.8957633287368</v>
      </c>
      <c r="AD12" s="41">
        <v>37.12072311735173</v>
      </c>
      <c r="AE12" s="41">
        <v>25.272783484095548</v>
      </c>
      <c r="AF12" s="41">
        <v>22.705602599236325</v>
      </c>
      <c r="AG12" s="41">
        <v>7.3060200498978434</v>
      </c>
      <c r="AH12" s="41">
        <v>6.9463798521838402</v>
      </c>
      <c r="AI12" s="41">
        <v>6.3989912501881223</v>
      </c>
      <c r="AJ12" s="41">
        <v>27.314600877990262</v>
      </c>
      <c r="AK12" s="41">
        <v>22.767814938659544</v>
      </c>
      <c r="AL12" s="41">
        <v>20.55592587714008</v>
      </c>
      <c r="AM12" s="41">
        <v>39.049861817017572</v>
      </c>
      <c r="AN12" s="41">
        <v>28.509473298725329</v>
      </c>
      <c r="AO12" s="41">
        <v>12.603071025495142</v>
      </c>
      <c r="AP12" s="41">
        <v>26.244186046511626</v>
      </c>
      <c r="AQ12" s="39">
        <v>0.96236036156084137</v>
      </c>
      <c r="AR12" s="39">
        <v>1.0577300000000001</v>
      </c>
      <c r="AS12" s="39">
        <v>1.47583</v>
      </c>
      <c r="AT12" s="42" t="s">
        <v>139</v>
      </c>
      <c r="AU12" s="42">
        <v>0</v>
      </c>
      <c r="AV12" s="42">
        <v>0</v>
      </c>
      <c r="AW12" s="42">
        <v>5.1927743394516446E-2</v>
      </c>
      <c r="AX12" s="42">
        <v>0.21950629346792261</v>
      </c>
      <c r="AY12" s="42">
        <v>7.3823963904575685E-3</v>
      </c>
      <c r="AZ12" s="43">
        <v>0.17963000000000001</v>
      </c>
      <c r="BA12" s="43">
        <v>0.24621799999999999</v>
      </c>
      <c r="BB12" s="43">
        <v>0.29500300000000002</v>
      </c>
      <c r="BC12" s="43">
        <v>0.33073012518</v>
      </c>
      <c r="BD12" s="43">
        <v>0.38220332892000003</v>
      </c>
      <c r="BE12" s="43">
        <v>0.41356056798000002</v>
      </c>
      <c r="BF12" s="43">
        <v>0.173043</v>
      </c>
      <c r="BG12" s="43">
        <v>0.24148800000000001</v>
      </c>
      <c r="BH12" s="43">
        <v>0.28632800000000003</v>
      </c>
      <c r="BI12" s="43">
        <v>0.31997960154057903</v>
      </c>
      <c r="BJ12" s="43">
        <v>0.37471903830393999</v>
      </c>
      <c r="BK12" s="43">
        <v>0.41477037664316702</v>
      </c>
      <c r="BL12" s="43">
        <v>0.76708399999999999</v>
      </c>
      <c r="BM12" s="43">
        <v>0.92872500000000002</v>
      </c>
      <c r="BN12" s="43">
        <v>1.0423520000000002</v>
      </c>
      <c r="BO12" s="43">
        <v>1.0758333333333332</v>
      </c>
      <c r="BP12" s="43">
        <v>1.1534166666666668</v>
      </c>
      <c r="BQ12" s="43">
        <v>1.2520833333333332</v>
      </c>
      <c r="BR12" s="43">
        <v>0.16666300000000001</v>
      </c>
      <c r="BS12" s="43">
        <v>0.22343300000000002</v>
      </c>
      <c r="BT12" s="43">
        <v>0.276897</v>
      </c>
      <c r="BU12" s="43">
        <v>0.39100000000000001</v>
      </c>
      <c r="BV12" s="43">
        <v>0.4118</v>
      </c>
      <c r="BW12" s="43">
        <v>0.45611111111111097</v>
      </c>
      <c r="BX12" s="43">
        <v>0.12895899999999999</v>
      </c>
      <c r="BY12" s="43">
        <v>0.176568</v>
      </c>
      <c r="BZ12" s="43">
        <v>0.218364</v>
      </c>
      <c r="CA12" s="43">
        <v>0.21440000000000001</v>
      </c>
      <c r="CB12" s="43">
        <v>0.22159999999999999</v>
      </c>
      <c r="CC12" s="43">
        <v>0.25369999999999998</v>
      </c>
      <c r="CD12" s="43">
        <v>0</v>
      </c>
      <c r="CE12" s="43" t="e">
        <v>#VALUE!</v>
      </c>
      <c r="CF12" s="43" t="e">
        <v>#VALUE!</v>
      </c>
      <c r="CG12" s="43" t="e">
        <v>#VALUE!</v>
      </c>
      <c r="CH12" s="44">
        <v>0</v>
      </c>
      <c r="CI12" s="44" t="e">
        <v>#VALUE!</v>
      </c>
      <c r="CJ12" s="44" t="e">
        <v>#VALUE!</v>
      </c>
      <c r="CK12" s="44" t="e">
        <v>#VALUE!</v>
      </c>
      <c r="CL12" s="41">
        <v>570.01421772369611</v>
      </c>
      <c r="CM12" s="41">
        <v>599.99187536164277</v>
      </c>
      <c r="CN12" s="41">
        <v>758.0417022825676</v>
      </c>
      <c r="CO12" s="41">
        <v>801.78105716139942</v>
      </c>
      <c r="CP12" s="41">
        <v>751.70416812377073</v>
      </c>
      <c r="CQ12" s="41">
        <v>834.43367871048611</v>
      </c>
      <c r="CR12" s="45">
        <v>1.1880729999999999E-2</v>
      </c>
      <c r="CS12" s="45">
        <v>-6.1343339999999996E-2</v>
      </c>
      <c r="CT12" s="45">
        <v>-0.19713049999999999</v>
      </c>
      <c r="CU12" s="45">
        <v>-0.29413610000000001</v>
      </c>
      <c r="CV12" s="45">
        <v>-0.21862559999999998</v>
      </c>
      <c r="CW12" s="39">
        <v>0.51654274752128804</v>
      </c>
      <c r="CX12" s="39">
        <v>0.49307173940773724</v>
      </c>
      <c r="CY12" s="39">
        <v>0.43677486073631505</v>
      </c>
      <c r="CZ12" s="46" t="s">
        <v>154</v>
      </c>
    </row>
    <row r="13" spans="1:116" s="47" customFormat="1" ht="15.75" x14ac:dyDescent="0.25">
      <c r="A13" s="35" t="s">
        <v>155</v>
      </c>
      <c r="B13" s="35" t="s">
        <v>156</v>
      </c>
      <c r="C13" s="36" t="s">
        <v>136</v>
      </c>
      <c r="D13" s="37" t="s">
        <v>157</v>
      </c>
      <c r="E13" s="37">
        <v>159732.89476201899</v>
      </c>
      <c r="F13" s="37">
        <v>20390.47845726</v>
      </c>
      <c r="G13" s="38">
        <v>173.02</v>
      </c>
      <c r="H13" s="37">
        <v>14366.331683299999</v>
      </c>
      <c r="I13" s="37">
        <v>1845.6469999999999</v>
      </c>
      <c r="J13" s="37">
        <v>126547.90244860103</v>
      </c>
      <c r="K13" s="37">
        <v>16232.763000000001</v>
      </c>
      <c r="L13" s="37">
        <v>4576.7851792961646</v>
      </c>
      <c r="M13" s="37">
        <v>587.08100000000002</v>
      </c>
      <c r="N13" s="39">
        <v>8.3735097962065977E-2</v>
      </c>
      <c r="O13" s="39">
        <v>6.3262366363631375E-2</v>
      </c>
      <c r="P13" s="39">
        <v>3.6166424656110606E-2</v>
      </c>
      <c r="Q13" s="39">
        <v>-8.4185991773406812E-2</v>
      </c>
      <c r="R13" s="39">
        <v>0.26066911464708287</v>
      </c>
      <c r="S13" s="39">
        <v>0.75604164826751807</v>
      </c>
      <c r="T13" s="39">
        <v>0.75604164826751807</v>
      </c>
      <c r="U13" s="39">
        <v>0.66887926022690136</v>
      </c>
      <c r="V13" s="39">
        <v>0.27585624728544567</v>
      </c>
      <c r="W13" s="39">
        <v>0.1145170597846415</v>
      </c>
      <c r="X13" s="40">
        <v>171375.22406953768</v>
      </c>
      <c r="Y13" s="40">
        <v>21875.29945726</v>
      </c>
      <c r="Z13" s="39">
        <v>0.348379659920799</v>
      </c>
      <c r="AA13" s="40">
        <v>126415.8659963924</v>
      </c>
      <c r="AB13" s="40">
        <v>4674.6602711662854</v>
      </c>
      <c r="AC13" s="40">
        <v>7712.5744960888924</v>
      </c>
      <c r="AD13" s="41">
        <v>34.169947225312924</v>
      </c>
      <c r="AE13" s="41">
        <v>28.120531184576279</v>
      </c>
      <c r="AF13" s="41">
        <v>23.718265651211951</v>
      </c>
      <c r="AG13" s="41">
        <v>1.2635510068536602</v>
      </c>
      <c r="AH13" s="41">
        <v>1.2081684715160554</v>
      </c>
      <c r="AI13" s="41">
        <v>1.1362245373370561</v>
      </c>
      <c r="AJ13" s="41">
        <v>22.220235818330625</v>
      </c>
      <c r="AK13" s="41">
        <v>21.826218369867174</v>
      </c>
      <c r="AL13" s="41">
        <v>18.8130969819168</v>
      </c>
      <c r="AM13" s="41">
        <v>11.996521752164993</v>
      </c>
      <c r="AN13" s="41">
        <v>11.525446594222018</v>
      </c>
      <c r="AO13" s="41">
        <v>10.786783308756917</v>
      </c>
      <c r="AP13" s="41">
        <v>11.037958532695376</v>
      </c>
      <c r="AQ13" s="39">
        <v>0.348379659920799</v>
      </c>
      <c r="AR13" s="39">
        <v>0.39701000000000003</v>
      </c>
      <c r="AS13" s="39">
        <v>0.46160000000000001</v>
      </c>
      <c r="AT13" s="42">
        <v>1.4563948338013717</v>
      </c>
      <c r="AU13" s="42">
        <v>1.4524332447115937</v>
      </c>
      <c r="AV13" s="42">
        <v>1.4784417986359959</v>
      </c>
      <c r="AW13" s="42">
        <v>-2.4207711480053073E-2</v>
      </c>
      <c r="AX13" s="42">
        <v>9.7445036927798379E-2</v>
      </c>
      <c r="AY13" s="42">
        <v>0.25302499973189541</v>
      </c>
      <c r="AZ13" s="43">
        <v>1.6501710000000001</v>
      </c>
      <c r="BA13" s="43">
        <v>0.73194599999999999</v>
      </c>
      <c r="BB13" s="43">
        <v>0.50908399999999998</v>
      </c>
      <c r="BC13" s="43">
        <v>0.83654122758739569</v>
      </c>
      <c r="BD13" s="43">
        <v>0.81848957959924118</v>
      </c>
      <c r="BE13" s="43">
        <v>0.97863258266178166</v>
      </c>
      <c r="BF13" s="43">
        <v>1.5882559999999999</v>
      </c>
      <c r="BG13" s="43">
        <v>0.70195700000000005</v>
      </c>
      <c r="BH13" s="43">
        <v>0.486431</v>
      </c>
      <c r="BI13" s="43">
        <v>0.74980138801137097</v>
      </c>
      <c r="BJ13" s="43">
        <v>0.74545011129629002</v>
      </c>
      <c r="BK13" s="43">
        <v>0.88281302670574802</v>
      </c>
      <c r="BL13" s="43">
        <v>24.696625000000001</v>
      </c>
      <c r="BM13" s="43">
        <v>17.596443000000001</v>
      </c>
      <c r="BN13" s="43">
        <v>17.724955999999999</v>
      </c>
      <c r="BO13" s="43">
        <v>16.298708333333334</v>
      </c>
      <c r="BP13" s="43">
        <v>16.877181818181818</v>
      </c>
      <c r="BQ13" s="43">
        <v>17.945818181818179</v>
      </c>
      <c r="BR13" s="43">
        <v>1.4515899999999999</v>
      </c>
      <c r="BS13" s="43">
        <v>0.71422699999999995</v>
      </c>
      <c r="BT13" s="43">
        <v>0.875135</v>
      </c>
      <c r="BU13" s="43">
        <v>0.91273913043478294</v>
      </c>
      <c r="BV13" s="43">
        <v>1.054</v>
      </c>
      <c r="BW13" s="43">
        <v>1.22280952380952</v>
      </c>
      <c r="BX13" s="43">
        <v>0.94052400000000003</v>
      </c>
      <c r="BY13" s="43">
        <v>0.325129</v>
      </c>
      <c r="BZ13" s="43">
        <v>0.46568999999999999</v>
      </c>
      <c r="CA13" s="43">
        <v>0.59589999999999999</v>
      </c>
      <c r="CB13" s="43">
        <v>0.73116666666666663</v>
      </c>
      <c r="CC13" s="43">
        <v>0.88388888888888884</v>
      </c>
      <c r="CD13" s="43">
        <v>0.29477199999999998</v>
      </c>
      <c r="CE13" s="43">
        <v>0.30527601618839395</v>
      </c>
      <c r="CF13" s="43">
        <v>0.30768054238719411</v>
      </c>
      <c r="CG13" s="43">
        <v>0.32098167369792813</v>
      </c>
      <c r="CH13" s="44">
        <v>1.4456355235501934E-5</v>
      </c>
      <c r="CI13" s="44">
        <v>1.4971498428949365E-5</v>
      </c>
      <c r="CJ13" s="44">
        <v>1.5089422400367702E-5</v>
      </c>
      <c r="CK13" s="44">
        <v>1.5741743106751037E-5</v>
      </c>
      <c r="CL13" s="41">
        <v>3712.5822223771261</v>
      </c>
      <c r="CM13" s="41">
        <v>2629.6554793098339</v>
      </c>
      <c r="CN13" s="41">
        <v>2914.8679789741327</v>
      </c>
      <c r="CO13" s="41">
        <v>2854.8894814635682</v>
      </c>
      <c r="CP13" s="41">
        <v>2562.9612373307828</v>
      </c>
      <c r="CQ13" s="41">
        <v>2752.9249708257366</v>
      </c>
      <c r="CR13" s="45">
        <v>-5.9418300000000007E-2</v>
      </c>
      <c r="CS13" s="45">
        <v>-8.9655890000000002E-2</v>
      </c>
      <c r="CT13" s="45">
        <v>0.16456880000000002</v>
      </c>
      <c r="CU13" s="45">
        <v>0.72898970000000007</v>
      </c>
      <c r="CV13" s="45">
        <v>7.6262789999999997E-2</v>
      </c>
      <c r="CW13" s="39">
        <v>0.44536684969687473</v>
      </c>
      <c r="CX13" s="39">
        <v>0.42336610813705761</v>
      </c>
      <c r="CY13" s="39">
        <v>0.41262463713821496</v>
      </c>
      <c r="CZ13" s="46" t="s">
        <v>158</v>
      </c>
    </row>
    <row r="14" spans="1:116" s="47" customFormat="1" ht="31.5" x14ac:dyDescent="0.25">
      <c r="A14" s="35" t="s">
        <v>159</v>
      </c>
      <c r="B14" s="35" t="s">
        <v>125</v>
      </c>
      <c r="C14" s="36" t="s">
        <v>102</v>
      </c>
      <c r="D14" s="37" t="s">
        <v>160</v>
      </c>
      <c r="E14" s="37">
        <v>941386.98907332157</v>
      </c>
      <c r="F14" s="37">
        <v>120166.83377326</v>
      </c>
      <c r="G14" s="38">
        <v>94.18</v>
      </c>
      <c r="H14" s="37">
        <v>586765.94980000006</v>
      </c>
      <c r="I14" s="37">
        <v>75382</v>
      </c>
      <c r="J14" s="37">
        <v>3134447.0127360122</v>
      </c>
      <c r="K14" s="37">
        <v>402067</v>
      </c>
      <c r="L14" s="37">
        <v>13783.031978544048</v>
      </c>
      <c r="M14" s="37">
        <v>1768</v>
      </c>
      <c r="N14" s="39">
        <v>0.13769346899894794</v>
      </c>
      <c r="O14" s="39">
        <v>4.8268074723864428E-2</v>
      </c>
      <c r="P14" s="39">
        <v>4.3972770707369664E-3</v>
      </c>
      <c r="Q14" s="39">
        <v>7.8479865024717751E-2</v>
      </c>
      <c r="R14" s="39">
        <v>-0.61681837884698743</v>
      </c>
      <c r="S14" s="39">
        <v>1.0605980207476586</v>
      </c>
      <c r="T14" s="39">
        <v>1.0629670008243146</v>
      </c>
      <c r="U14" s="39">
        <v>0.92000742882916342</v>
      </c>
      <c r="V14" s="39">
        <v>0.3153373458810908</v>
      </c>
      <c r="W14" s="39">
        <v>1.1530618866247575E-2</v>
      </c>
      <c r="X14" s="40">
        <v>1464563.1873797188</v>
      </c>
      <c r="Y14" s="40">
        <v>186890.83377326</v>
      </c>
      <c r="Z14" s="39">
        <v>3.798296466625644E-2</v>
      </c>
      <c r="AA14" s="40">
        <v>3183270.6154636028</v>
      </c>
      <c r="AB14" s="40">
        <v>22881.184208429131</v>
      </c>
      <c r="AC14" s="40">
        <v>82199.015439080496</v>
      </c>
      <c r="AD14" s="41">
        <v>41.142406813303253</v>
      </c>
      <c r="AE14" s="41">
        <v>12.755116413722638</v>
      </c>
      <c r="AF14" s="41">
        <v>11.256228776016226</v>
      </c>
      <c r="AG14" s="41">
        <v>0.29572948793617426</v>
      </c>
      <c r="AH14" s="41">
        <v>0.29503719562031333</v>
      </c>
      <c r="AI14" s="41">
        <v>0.28275297013182682</v>
      </c>
      <c r="AJ14" s="41">
        <v>17.817283814854679</v>
      </c>
      <c r="AK14" s="41">
        <v>9.0639446193857971</v>
      </c>
      <c r="AL14" s="41">
        <v>8.726606872363412</v>
      </c>
      <c r="AM14" s="41">
        <v>1.5478612423632614</v>
      </c>
      <c r="AN14" s="41">
        <v>1.5070608521850748</v>
      </c>
      <c r="AO14" s="41">
        <v>1.4279432992976391</v>
      </c>
      <c r="AP14" s="41">
        <v>1.3983875038976079</v>
      </c>
      <c r="AQ14" s="39">
        <v>3.798296466625644E-2</v>
      </c>
      <c r="AR14" s="39">
        <v>0.1066</v>
      </c>
      <c r="AS14" s="39">
        <v>0.11405</v>
      </c>
      <c r="AT14" s="42">
        <v>2.8243789401472585</v>
      </c>
      <c r="AU14" s="42">
        <v>2.8073901040560632</v>
      </c>
      <c r="AV14" s="42">
        <v>2.9868337226587385</v>
      </c>
      <c r="AW14" s="42">
        <v>4.5227265538093198E-2</v>
      </c>
      <c r="AX14" s="42">
        <v>8.7519531224577785E-2</v>
      </c>
      <c r="AY14" s="42">
        <v>0.30704780728345615</v>
      </c>
      <c r="AZ14" s="43">
        <v>16.177</v>
      </c>
      <c r="BA14" s="43">
        <v>13.426</v>
      </c>
      <c r="BB14" s="43">
        <v>9.1069999999999993</v>
      </c>
      <c r="BC14" s="43">
        <v>6.8931972760675002</v>
      </c>
      <c r="BD14" s="43">
        <v>9.5035318916383318</v>
      </c>
      <c r="BE14" s="43">
        <v>12.567883973949998</v>
      </c>
      <c r="BF14" s="43">
        <v>13.45</v>
      </c>
      <c r="BG14" s="43">
        <v>10.395</v>
      </c>
      <c r="BH14" s="43">
        <v>6.3259999999999996</v>
      </c>
      <c r="BI14" s="43">
        <v>5.5684130505766296</v>
      </c>
      <c r="BJ14" s="43">
        <v>7.2600572906160403</v>
      </c>
      <c r="BK14" s="43">
        <v>10.751111908798402</v>
      </c>
      <c r="BL14" s="43">
        <v>322.46699999999998</v>
      </c>
      <c r="BM14" s="43">
        <v>357.77600000000001</v>
      </c>
      <c r="BN14" s="43">
        <v>372.80900000000003</v>
      </c>
      <c r="BO14" s="43">
        <v>400.12447826086958</v>
      </c>
      <c r="BP14" s="43">
        <v>407.29384615384612</v>
      </c>
      <c r="BQ14" s="43">
        <v>424.98876000000001</v>
      </c>
      <c r="BR14" s="43">
        <v>14.696</v>
      </c>
      <c r="BS14" s="43">
        <v>20.577999999999999</v>
      </c>
      <c r="BT14" s="43">
        <v>15.468999999999999</v>
      </c>
      <c r="BU14" s="43">
        <v>17.375388888888899</v>
      </c>
      <c r="BV14" s="43">
        <v>18.295166666666699</v>
      </c>
      <c r="BW14" s="43">
        <v>19.002388888888902</v>
      </c>
      <c r="BX14" s="43">
        <v>4.3109999999999999</v>
      </c>
      <c r="BY14" s="43">
        <v>8.3439999999999994</v>
      </c>
      <c r="BZ14" s="43">
        <v>4.6139999999999999</v>
      </c>
      <c r="CA14" s="43">
        <v>-0.3418181818181818</v>
      </c>
      <c r="CB14" s="43">
        <v>7.8824375</v>
      </c>
      <c r="CC14" s="43">
        <v>9.1240625000000009</v>
      </c>
      <c r="CD14" s="43">
        <v>3.3730000000000002</v>
      </c>
      <c r="CE14" s="43">
        <v>3.3487049889721718</v>
      </c>
      <c r="CF14" s="43">
        <v>3.4198384884769988</v>
      </c>
      <c r="CG14" s="43">
        <v>3.5900269417875652</v>
      </c>
      <c r="CH14" s="44">
        <v>2.806930909375906E-5</v>
      </c>
      <c r="CI14" s="44">
        <v>2.7867131751933859E-5</v>
      </c>
      <c r="CJ14" s="44">
        <v>2.8459087928785844E-5</v>
      </c>
      <c r="CK14" s="44">
        <v>2.9875356028448775E-5</v>
      </c>
      <c r="CL14" s="41">
        <v>7181.2995638570492</v>
      </c>
      <c r="CM14" s="41">
        <v>7847.3575195575759</v>
      </c>
      <c r="CN14" s="41">
        <v>6391.7575974967467</v>
      </c>
      <c r="CO14" s="41">
        <v>6069.4641772708283</v>
      </c>
      <c r="CP14" s="41">
        <v>5187.3016851294897</v>
      </c>
      <c r="CQ14" s="41">
        <v>5116.5102505445384</v>
      </c>
      <c r="CR14" s="45">
        <v>0.22982500000000003</v>
      </c>
      <c r="CS14" s="45">
        <v>0.22806100000000001</v>
      </c>
      <c r="CT14" s="45">
        <v>0.23855860000000001</v>
      </c>
      <c r="CU14" s="45">
        <v>0.47756509999999996</v>
      </c>
      <c r="CV14" s="45">
        <v>0.18674389999999999</v>
      </c>
      <c r="CW14" s="39">
        <v>0.4013341478609565</v>
      </c>
      <c r="CX14" s="39">
        <v>0.35036859287323585</v>
      </c>
      <c r="CY14" s="39">
        <v>0.36396735364381139</v>
      </c>
      <c r="CZ14" s="46" t="s">
        <v>161</v>
      </c>
    </row>
    <row r="15" spans="1:116" s="47" customFormat="1" ht="31.5" x14ac:dyDescent="0.25">
      <c r="A15" s="35" t="s">
        <v>162</v>
      </c>
      <c r="B15" s="35" t="s">
        <v>126</v>
      </c>
      <c r="C15" s="36" t="s">
        <v>103</v>
      </c>
      <c r="D15" s="37" t="s">
        <v>142</v>
      </c>
      <c r="E15" s="37">
        <v>217702.582878327</v>
      </c>
      <c r="F15" s="37">
        <v>27789.453638509669</v>
      </c>
      <c r="G15" s="38">
        <v>163</v>
      </c>
      <c r="H15" s="37">
        <v>35412.183249843787</v>
      </c>
      <c r="I15" s="37">
        <v>4548.3621575251791</v>
      </c>
      <c r="J15" s="37">
        <v>179395.13319230775</v>
      </c>
      <c r="K15" s="37">
        <v>23011.543303096158</v>
      </c>
      <c r="L15" s="37">
        <v>9554.224015384616</v>
      </c>
      <c r="M15" s="37">
        <v>1225.5485182076925</v>
      </c>
      <c r="N15" s="39">
        <v>0.53395098232472571</v>
      </c>
      <c r="O15" s="39">
        <v>0.17376963006767857</v>
      </c>
      <c r="P15" s="39">
        <v>5.3257988917362067E-2</v>
      </c>
      <c r="Q15" s="39">
        <v>-2.6411859534796443E-2</v>
      </c>
      <c r="R15" s="39">
        <v>4.620944841235694E-2</v>
      </c>
      <c r="S15" s="39">
        <v>1.8056441660651501</v>
      </c>
      <c r="T15" s="39">
        <v>1.8067379604389457</v>
      </c>
      <c r="U15" s="39">
        <v>1.3188115584324869</v>
      </c>
      <c r="V15" s="39">
        <v>0.45542746060737754</v>
      </c>
      <c r="W15" s="39" t="e">
        <v>#VALUE!</v>
      </c>
      <c r="X15" s="40">
        <v>268039.39487015572</v>
      </c>
      <c r="Y15" s="40">
        <v>34224.905370120861</v>
      </c>
      <c r="Z15" s="39" t="e">
        <v>#VALUE!</v>
      </c>
      <c r="AA15" s="40">
        <v>182918.5885119231</v>
      </c>
      <c r="AB15" s="40">
        <v>10102.648241538462</v>
      </c>
      <c r="AC15" s="40">
        <v>31672.278932307694</v>
      </c>
      <c r="AD15" s="41">
        <v>21.549060966332782</v>
      </c>
      <c r="AE15" s="41">
        <v>19.094264335944104</v>
      </c>
      <c r="AF15" s="41">
        <v>18.103522744434581</v>
      </c>
      <c r="AG15" s="41">
        <v>1.190161069191372</v>
      </c>
      <c r="AH15" s="41">
        <v>1.1749797076948465</v>
      </c>
      <c r="AI15" s="41">
        <v>1.1540057330357829</v>
      </c>
      <c r="AJ15" s="41">
        <v>8.4629020678628493</v>
      </c>
      <c r="AK15" s="41">
        <v>8.3000655734975535</v>
      </c>
      <c r="AL15" s="41">
        <v>8.0155369268439003</v>
      </c>
      <c r="AM15" s="41">
        <v>6.2869522993361491</v>
      </c>
      <c r="AN15" s="41">
        <v>5.9329139895981911</v>
      </c>
      <c r="AO15" s="41">
        <v>5.6001815787714513</v>
      </c>
      <c r="AP15" s="41">
        <v>5.5768441220747222</v>
      </c>
      <c r="AQ15" s="39" t="e">
        <v>#VALUE!</v>
      </c>
      <c r="AR15" s="39">
        <v>0.30292999999999998</v>
      </c>
      <c r="AS15" s="39">
        <v>0.32374000000000003</v>
      </c>
      <c r="AT15" s="42">
        <v>4.3585020900138538</v>
      </c>
      <c r="AU15" s="42">
        <v>4.5024539877300622</v>
      </c>
      <c r="AV15" s="42">
        <v>4.7865030674846629</v>
      </c>
      <c r="AW15" s="42">
        <v>3.6145043250063846E-2</v>
      </c>
      <c r="AX15" s="42">
        <v>9.3730151557475549E-2</v>
      </c>
      <c r="AY15" s="42">
        <v>0.15880726097959874</v>
      </c>
      <c r="AZ15" s="43">
        <v>2.4241186449427867</v>
      </c>
      <c r="BA15" s="43">
        <v>3.1688053119305071</v>
      </c>
      <c r="BB15" s="43">
        <v>2.9881701285861042</v>
      </c>
      <c r="BC15" s="43">
        <v>4.6864970079382591</v>
      </c>
      <c r="BD15" s="43">
        <v>3.9173809230679515</v>
      </c>
      <c r="BE15" s="43">
        <v>3.9331037495860151</v>
      </c>
      <c r="BF15" s="43">
        <v>1.9597793945390827</v>
      </c>
      <c r="BG15" s="43">
        <v>2.4125135029752336</v>
      </c>
      <c r="BH15" s="43">
        <v>2.0299633763161697</v>
      </c>
      <c r="BI15" s="43">
        <v>3.9477055970309505</v>
      </c>
      <c r="BJ15" s="43">
        <v>2.8950644133666987</v>
      </c>
      <c r="BK15" s="43">
        <v>2.8533000863968208</v>
      </c>
      <c r="BL15" s="43">
        <v>21.915431395475888</v>
      </c>
      <c r="BM15" s="43">
        <v>22.213390476446126</v>
      </c>
      <c r="BN15" s="43">
        <v>22.070461908760528</v>
      </c>
      <c r="BO15" s="43">
        <v>24.319544402367772</v>
      </c>
      <c r="BP15" s="43">
        <v>23.69477177653452</v>
      </c>
      <c r="BQ15" s="43">
        <v>24.125422620431081</v>
      </c>
      <c r="BR15" s="43">
        <v>2.8700988080161802</v>
      </c>
      <c r="BS15" s="43">
        <v>3.5157686016181211</v>
      </c>
      <c r="BT15" s="43">
        <v>3.6334669608876036</v>
      </c>
      <c r="BU15" s="43">
        <v>4.1734309665614129</v>
      </c>
      <c r="BV15" s="43">
        <v>4.3465190261273481</v>
      </c>
      <c r="BW15" s="43">
        <v>4.5008080260340986</v>
      </c>
      <c r="BX15" s="43">
        <v>0.35738188325210768</v>
      </c>
      <c r="BY15" s="43">
        <v>0.847398877650825</v>
      </c>
      <c r="BZ15" s="43">
        <v>1.0725105946779867</v>
      </c>
      <c r="CA15" s="43">
        <v>1.1936199896359307</v>
      </c>
      <c r="CB15" s="43">
        <v>1.4402039794328803</v>
      </c>
      <c r="CC15" s="43">
        <v>1.5787606995621086</v>
      </c>
      <c r="CD15" s="43">
        <v>0.98093319184732841</v>
      </c>
      <c r="CE15" s="43">
        <v>1.5864487963418576</v>
      </c>
      <c r="CF15" s="43">
        <v>1.3871056337500109</v>
      </c>
      <c r="CG15" s="43">
        <v>1.3481862095728026</v>
      </c>
      <c r="CH15" s="44">
        <v>3.5298757744844071E-5</v>
      </c>
      <c r="CI15" s="44">
        <v>5.7088160745391966E-5</v>
      </c>
      <c r="CJ15" s="44">
        <v>4.991482206860691E-5</v>
      </c>
      <c r="CK15" s="44">
        <v>4.8514311476226095E-5</v>
      </c>
      <c r="CL15" s="41">
        <v>309.90781600386026</v>
      </c>
      <c r="CM15" s="41">
        <v>351.31867118373094</v>
      </c>
      <c r="CN15" s="41">
        <v>295.32087187542226</v>
      </c>
      <c r="CO15" s="41">
        <v>291.7601942406971</v>
      </c>
      <c r="CP15" s="41">
        <v>304.36468794394864</v>
      </c>
      <c r="CQ15" s="41">
        <v>315.80158671993951</v>
      </c>
      <c r="CR15" s="45">
        <v>-8.3239610000000006E-2</v>
      </c>
      <c r="CS15" s="45">
        <v>-0.1090462</v>
      </c>
      <c r="CT15" s="45">
        <v>-4.9008130000000004E-2</v>
      </c>
      <c r="CU15" s="45">
        <v>0.1470795</v>
      </c>
      <c r="CV15" s="45">
        <v>-0.1231845</v>
      </c>
      <c r="CW15" s="39">
        <v>0.30626581047188917</v>
      </c>
      <c r="CX15" s="39">
        <v>0.28051778989268206</v>
      </c>
      <c r="CY15" s="39">
        <v>0.24983431148856514</v>
      </c>
      <c r="CZ15" s="46" t="s">
        <v>163</v>
      </c>
    </row>
    <row r="16" spans="1:116" s="48" customFormat="1" ht="15" x14ac:dyDescent="0.25"/>
    <row r="17" spans="1:116" s="26" customFormat="1" ht="15.75" x14ac:dyDescent="0.25">
      <c r="A17" s="49"/>
      <c r="B17" s="49" t="s">
        <v>104</v>
      </c>
      <c r="C17" s="50">
        <v>13.732419316599362</v>
      </c>
      <c r="D17" s="49"/>
      <c r="E17" s="50">
        <v>13.424773832876559</v>
      </c>
      <c r="F17" s="51"/>
      <c r="G17" s="52"/>
      <c r="L17" s="53" t="s">
        <v>105</v>
      </c>
      <c r="M17" s="53" t="s">
        <v>105</v>
      </c>
      <c r="N17" s="54" t="e">
        <v>#VALUE!</v>
      </c>
      <c r="O17" s="54">
        <v>0.17345971939899438</v>
      </c>
      <c r="P17" s="54">
        <v>5.2674854822961095E-2</v>
      </c>
      <c r="Q17" s="54">
        <v>8.3469248235208279E-2</v>
      </c>
      <c r="R17" s="54" t="e">
        <v>#REF!</v>
      </c>
      <c r="S17" s="54" t="e">
        <v>#REF!</v>
      </c>
      <c r="T17" s="54" t="e">
        <v>#REF!</v>
      </c>
      <c r="U17" s="54" t="e">
        <v>#REF!</v>
      </c>
      <c r="V17" s="54" t="e">
        <v>#REF!</v>
      </c>
      <c r="W17" s="54" t="e">
        <v>#REF!</v>
      </c>
      <c r="X17" s="55" t="e">
        <v>#REF!</v>
      </c>
      <c r="Y17" s="55" t="e">
        <v>#REF!</v>
      </c>
      <c r="Z17" s="54" t="e">
        <v>#REF!</v>
      </c>
      <c r="AA17" s="54"/>
      <c r="AB17" s="54"/>
      <c r="AC17" s="54"/>
      <c r="AD17" s="56">
        <v>57.053171158863464</v>
      </c>
      <c r="AE17" s="56">
        <v>46.576104375821821</v>
      </c>
      <c r="AF17" s="56">
        <v>40.852409661610785</v>
      </c>
      <c r="AG17" s="56">
        <v>1.507089295795351</v>
      </c>
      <c r="AH17" s="56">
        <v>1.4334049709871868</v>
      </c>
      <c r="AI17" s="56">
        <v>1.3671794603197607</v>
      </c>
      <c r="AJ17" s="56">
        <v>24.489648492382557</v>
      </c>
      <c r="AK17" s="56">
        <v>21.698404558722835</v>
      </c>
      <c r="AL17" s="56">
        <v>19.712839487909726</v>
      </c>
      <c r="AM17" s="56">
        <v>10.735514778406717</v>
      </c>
      <c r="AN17" s="56">
        <v>9.7242298765684296</v>
      </c>
      <c r="AO17" s="56">
        <v>8.8181213490270576</v>
      </c>
      <c r="AP17" s="56">
        <v>9.7232285176061435</v>
      </c>
      <c r="AQ17" s="56">
        <v>0.22969102449771805</v>
      </c>
      <c r="AR17" s="56">
        <v>0.21592</v>
      </c>
      <c r="AS17" s="56">
        <v>0.21426999999999999</v>
      </c>
      <c r="AT17" s="56">
        <v>3.2552083333333335</v>
      </c>
      <c r="AU17" s="56">
        <v>3.2747395833333335</v>
      </c>
      <c r="AV17" s="56">
        <v>3.2356770833333335</v>
      </c>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8">
        <v>19123.992726929151</v>
      </c>
      <c r="CM17" s="58">
        <v>17589.413088146284</v>
      </c>
      <c r="CN17" s="58">
        <v>16368.911965053505</v>
      </c>
      <c r="CO17" s="58">
        <v>16610.733457109847</v>
      </c>
      <c r="CP17" s="58">
        <v>18447.681637282531</v>
      </c>
      <c r="CQ17" s="58">
        <v>23745.78858813347</v>
      </c>
      <c r="CR17" s="59">
        <v>4.9093200000000004E-2</v>
      </c>
      <c r="CS17" s="59">
        <v>9.114564E-2</v>
      </c>
      <c r="CT17" s="59">
        <v>0.25291760000000002</v>
      </c>
      <c r="CU17" s="59">
        <v>0.37218809999999997</v>
      </c>
      <c r="CV17" s="59">
        <v>0.20455970000000001</v>
      </c>
      <c r="CW17" s="59">
        <v>0.37298253319275859</v>
      </c>
      <c r="CX17" s="59">
        <v>0.53793434103625726</v>
      </c>
      <c r="CY17" s="59">
        <v>0.54402539551794327</v>
      </c>
      <c r="CZ17" s="60"/>
    </row>
    <row r="18" spans="1:116" s="26" customFormat="1" ht="15.75" x14ac:dyDescent="0.25">
      <c r="A18" s="49"/>
      <c r="B18" s="49" t="s">
        <v>106</v>
      </c>
      <c r="C18" s="50">
        <v>20.580118722898447</v>
      </c>
      <c r="D18" s="49"/>
      <c r="E18" s="50">
        <v>20.316363769535421</v>
      </c>
      <c r="F18" s="51"/>
      <c r="G18" s="52"/>
      <c r="L18" s="61" t="s">
        <v>107</v>
      </c>
      <c r="M18" s="61" t="s">
        <v>107</v>
      </c>
      <c r="N18" s="62" t="e">
        <v>#VALUE!</v>
      </c>
      <c r="O18" s="62">
        <v>6.575916024807793E-2</v>
      </c>
      <c r="P18" s="62">
        <v>3.0698451826581021E-2</v>
      </c>
      <c r="Q18" s="62">
        <v>4.7252142117667789E-2</v>
      </c>
      <c r="R18" s="62" t="e">
        <v>#REF!</v>
      </c>
      <c r="S18" s="62" t="e">
        <v>#REF!</v>
      </c>
      <c r="T18" s="62" t="e">
        <v>#REF!</v>
      </c>
      <c r="U18" s="62" t="e">
        <v>#REF!</v>
      </c>
      <c r="V18" s="62" t="e">
        <v>#REF!</v>
      </c>
      <c r="W18" s="62" t="e">
        <v>#REF!</v>
      </c>
      <c r="X18" s="63" t="e">
        <v>#REF!</v>
      </c>
      <c r="Y18" s="63" t="e">
        <v>#REF!</v>
      </c>
      <c r="Z18" s="62" t="e">
        <v>#REF!</v>
      </c>
      <c r="AA18" s="62"/>
      <c r="AB18" s="62"/>
      <c r="AC18" s="62"/>
      <c r="AD18" s="64">
        <v>34.063096865437196</v>
      </c>
      <c r="AE18" s="64">
        <v>34.159526008982901</v>
      </c>
      <c r="AF18" s="64">
        <v>27.694362975718853</v>
      </c>
      <c r="AG18" s="64">
        <v>0.46605902797788096</v>
      </c>
      <c r="AH18" s="64">
        <v>0.44585488254475486</v>
      </c>
      <c r="AI18" s="64">
        <v>0.43027256869314134</v>
      </c>
      <c r="AJ18" s="64">
        <v>10.671301882211159</v>
      </c>
      <c r="AK18" s="64">
        <v>15.015242514399615</v>
      </c>
      <c r="AL18" s="64">
        <v>13.661339410521913</v>
      </c>
      <c r="AM18" s="64">
        <v>2.3563055873706333</v>
      </c>
      <c r="AN18" s="64">
        <v>2.2737623720389801</v>
      </c>
      <c r="AO18" s="64">
        <v>2.1338397518707923</v>
      </c>
      <c r="AP18" s="64">
        <v>2.2325227963525838</v>
      </c>
      <c r="AQ18" s="64">
        <v>0.11097241542156054</v>
      </c>
      <c r="AR18" s="64">
        <v>0.13893</v>
      </c>
      <c r="AS18" s="64">
        <v>0.17071999999999998</v>
      </c>
      <c r="AT18" s="64">
        <v>1.1232130538857332</v>
      </c>
      <c r="AU18" s="64">
        <v>1.9849852909215102</v>
      </c>
      <c r="AV18" s="64">
        <v>1.9833377965101837</v>
      </c>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6">
        <v>554.6798305828404</v>
      </c>
      <c r="CM18" s="66">
        <v>543.59402436892901</v>
      </c>
      <c r="CN18" s="66">
        <v>540.687251639019</v>
      </c>
      <c r="CO18" s="66">
        <v>563.99768178215265</v>
      </c>
      <c r="CP18" s="66">
        <v>780.81676237908653</v>
      </c>
      <c r="CQ18" s="66">
        <v>1081.936716104133</v>
      </c>
      <c r="CR18" s="67">
        <v>-3.4023100000000003E-4</v>
      </c>
      <c r="CS18" s="67">
        <v>-3.8769819999999997E-2</v>
      </c>
      <c r="CT18" s="67">
        <v>-0.12428739999999999</v>
      </c>
      <c r="CU18" s="67">
        <v>0.33914559999999999</v>
      </c>
      <c r="CV18" s="67">
        <v>-0.21328160000000002</v>
      </c>
      <c r="CW18" s="67">
        <v>0.36384717501464547</v>
      </c>
      <c r="CX18" s="67">
        <v>0.43541756063218162</v>
      </c>
      <c r="CY18" s="67">
        <v>0.43323303973048882</v>
      </c>
      <c r="CZ18" s="60"/>
    </row>
    <row r="19" spans="1:116" s="26" customFormat="1" ht="15.75" x14ac:dyDescent="0.25">
      <c r="A19" s="49"/>
      <c r="B19" s="49" t="s">
        <v>108</v>
      </c>
      <c r="C19" s="50">
        <v>16.720077912188227</v>
      </c>
      <c r="D19" s="49"/>
      <c r="E19" s="50">
        <v>16.688295795102583</v>
      </c>
      <c r="F19" s="51"/>
      <c r="G19" s="52"/>
      <c r="L19" s="61" t="s">
        <v>109</v>
      </c>
      <c r="M19" s="61" t="s">
        <v>109</v>
      </c>
      <c r="N19" s="62" t="e">
        <v>#VALUE!</v>
      </c>
      <c r="O19" s="62">
        <v>8.9645857361228473E-2</v>
      </c>
      <c r="P19" s="62">
        <v>3.1185472957902353E-2</v>
      </c>
      <c r="Q19" s="62">
        <v>4.5243842360930084E-2</v>
      </c>
      <c r="R19" s="62" t="e">
        <v>#REF!</v>
      </c>
      <c r="S19" s="62" t="e">
        <v>#REF!</v>
      </c>
      <c r="T19" s="62" t="e">
        <v>#REF!</v>
      </c>
      <c r="U19" s="62" t="e">
        <v>#REF!</v>
      </c>
      <c r="V19" s="62" t="e">
        <v>#REF!</v>
      </c>
      <c r="W19" s="62" t="e">
        <v>#REF!</v>
      </c>
      <c r="X19" s="63" t="e">
        <v>#REF!</v>
      </c>
      <c r="Y19" s="63" t="e">
        <v>#REF!</v>
      </c>
      <c r="Z19" s="62" t="e">
        <v>#REF!</v>
      </c>
      <c r="AA19" s="62"/>
      <c r="AB19" s="62"/>
      <c r="AC19" s="62"/>
      <c r="AD19" s="64">
        <v>32.207643651517849</v>
      </c>
      <c r="AE19" s="64">
        <v>29.854207252985034</v>
      </c>
      <c r="AF19" s="64">
        <v>25.443381150029634</v>
      </c>
      <c r="AG19" s="64">
        <v>0.75444993672440841</v>
      </c>
      <c r="AH19" s="64">
        <v>0.72544066798566831</v>
      </c>
      <c r="AI19" s="64">
        <v>0.69225095678043569</v>
      </c>
      <c r="AJ19" s="64">
        <v>13.28798541503928</v>
      </c>
      <c r="AK19" s="64">
        <v>15.015242514399615</v>
      </c>
      <c r="AL19" s="64">
        <v>13.661339410521913</v>
      </c>
      <c r="AM19" s="64">
        <v>4.8748596552841343</v>
      </c>
      <c r="AN19" s="64">
        <v>4.4192426696792433</v>
      </c>
      <c r="AO19" s="64">
        <v>4.0321660009317339</v>
      </c>
      <c r="AP19" s="64">
        <v>4.4081812161127916</v>
      </c>
      <c r="AQ19" s="64">
        <v>0.13542508715024415</v>
      </c>
      <c r="AR19" s="64">
        <v>0.13678333333333334</v>
      </c>
      <c r="AS19" s="64">
        <v>0.15162999999999999</v>
      </c>
      <c r="AT19" s="64">
        <v>1.7053754374527399</v>
      </c>
      <c r="AU19" s="64">
        <v>1.9849852909215104</v>
      </c>
      <c r="AV19" s="64">
        <v>1.9833377965101839</v>
      </c>
      <c r="AW19" s="65"/>
      <c r="AX19" s="65"/>
      <c r="AY19" s="65"/>
      <c r="AZ19" s="65"/>
      <c r="BA19" s="65"/>
      <c r="BB19" s="65"/>
      <c r="BC19" s="65"/>
      <c r="BD19" s="65"/>
      <c r="BE19" s="65"/>
      <c r="BF19" s="65"/>
      <c r="BG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6">
        <v>6561.9724750043606</v>
      </c>
      <c r="CM19" s="66">
        <v>6045.7564787493748</v>
      </c>
      <c r="CN19" s="66">
        <v>5637.6813974405241</v>
      </c>
      <c r="CO19" s="66">
        <v>5726.0162369040545</v>
      </c>
      <c r="CP19" s="66">
        <v>6412.8589925467468</v>
      </c>
      <c r="CQ19" s="66">
        <v>8278.4223505244936</v>
      </c>
      <c r="CR19" s="67">
        <v>-5.9537076999999994E-2</v>
      </c>
      <c r="CS19" s="67">
        <v>-0.11318272666666666</v>
      </c>
      <c r="CT19" s="67">
        <v>-5.007039999999998E-2</v>
      </c>
      <c r="CU19" s="67">
        <v>0.14220353333333333</v>
      </c>
      <c r="CV19" s="67">
        <v>-0.1420806</v>
      </c>
      <c r="CW19" s="67">
        <v>0.31423146790577233</v>
      </c>
      <c r="CX19" s="67">
        <v>0.4006458365595213</v>
      </c>
      <c r="CY19" s="67">
        <v>0.40518517961787426</v>
      </c>
      <c r="CZ19" s="60"/>
    </row>
    <row r="20" spans="1:116" s="26" customFormat="1" ht="15.75" x14ac:dyDescent="0.25">
      <c r="A20" s="49"/>
      <c r="B20" s="49" t="s">
        <v>110</v>
      </c>
      <c r="C20" s="50">
        <v>21.956181805521982</v>
      </c>
      <c r="D20" s="49"/>
      <c r="E20" s="50">
        <v>21.825203256754975</v>
      </c>
      <c r="F20" s="51"/>
      <c r="G20" s="52"/>
      <c r="L20" s="68" t="s">
        <v>111</v>
      </c>
      <c r="M20" s="68" t="s">
        <v>111</v>
      </c>
      <c r="N20" s="69" t="e">
        <v>#VALUE!</v>
      </c>
      <c r="O20" s="69">
        <v>2.9377398921930434E-2</v>
      </c>
      <c r="P20" s="69">
        <v>8.5195273802145706E-3</v>
      </c>
      <c r="Q20" s="69">
        <v>-2.7195920611908213E-2</v>
      </c>
      <c r="R20" s="69" t="e">
        <v>#REF!</v>
      </c>
      <c r="S20" s="69" t="e">
        <v>#REF!</v>
      </c>
      <c r="T20" s="69" t="e">
        <v>#REF!</v>
      </c>
      <c r="U20" s="69" t="e">
        <v>#REF!</v>
      </c>
      <c r="V20" s="69" t="e">
        <v>#REF!</v>
      </c>
      <c r="W20" s="69" t="e">
        <v>#REF!</v>
      </c>
      <c r="X20" s="70" t="e">
        <v>#REF!</v>
      </c>
      <c r="Y20" s="70" t="e">
        <v>#REF!</v>
      </c>
      <c r="Z20" s="69" t="e">
        <v>#REF!</v>
      </c>
      <c r="AA20" s="69"/>
      <c r="AB20" s="69"/>
      <c r="AC20" s="69"/>
      <c r="AD20" s="71">
        <v>13.466501815910307</v>
      </c>
      <c r="AE20" s="71">
        <v>8.8269913741503849</v>
      </c>
      <c r="AF20" s="71">
        <v>7.7833708127592569</v>
      </c>
      <c r="AG20" s="71">
        <v>0.29020148639999332</v>
      </c>
      <c r="AH20" s="71">
        <v>0.29706215042506329</v>
      </c>
      <c r="AI20" s="71">
        <v>0.27930084132840494</v>
      </c>
      <c r="AJ20" s="71">
        <v>4.7030058705241258</v>
      </c>
      <c r="AK20" s="71">
        <v>8.3320804700763951</v>
      </c>
      <c r="AL20" s="71">
        <v>7.6098393331341008</v>
      </c>
      <c r="AM20" s="71">
        <v>1.5327586000750517</v>
      </c>
      <c r="AN20" s="71">
        <v>1.259735760430321</v>
      </c>
      <c r="AO20" s="71">
        <v>1.1445369018973501</v>
      </c>
      <c r="AP20" s="71">
        <v>1.2687923343796463</v>
      </c>
      <c r="AQ20" s="71">
        <v>6.561182153145384E-2</v>
      </c>
      <c r="AR20" s="71">
        <v>5.5500000000000001E-2</v>
      </c>
      <c r="AS20" s="71">
        <v>6.9900000000000004E-2</v>
      </c>
      <c r="AT20" s="71">
        <v>0.73770492513915298</v>
      </c>
      <c r="AU20" s="71">
        <v>0.69523099850968717</v>
      </c>
      <c r="AV20" s="71">
        <v>0.73099850968703428</v>
      </c>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3">
        <v>7.2448675010885593</v>
      </c>
      <c r="CM20" s="73">
        <v>4.2623237329105299</v>
      </c>
      <c r="CN20" s="73">
        <v>3.4449756290483684</v>
      </c>
      <c r="CO20" s="73">
        <v>3.3175718201642828</v>
      </c>
      <c r="CP20" s="73">
        <v>10.078577978624983</v>
      </c>
      <c r="CQ20" s="73">
        <v>7.5417473358759395</v>
      </c>
      <c r="CR20" s="74">
        <v>-0.22736419999999999</v>
      </c>
      <c r="CS20" s="74">
        <v>-0.39192399999999999</v>
      </c>
      <c r="CT20" s="74">
        <v>-0.27884139999999996</v>
      </c>
      <c r="CU20" s="74">
        <v>-0.28472310000000001</v>
      </c>
      <c r="CV20" s="74">
        <v>-0.4175199</v>
      </c>
      <c r="CW20" s="74">
        <v>0.20586469550991307</v>
      </c>
      <c r="CX20" s="74">
        <v>0.22858560801012487</v>
      </c>
      <c r="CY20" s="74">
        <v>0.23829710360519069</v>
      </c>
      <c r="CZ20" s="60"/>
    </row>
    <row r="21" spans="1:116" s="26" customFormat="1" ht="15.75" x14ac:dyDescent="0.25">
      <c r="A21" s="49"/>
      <c r="B21" s="49" t="s">
        <v>112</v>
      </c>
      <c r="C21" s="50">
        <v>14.847859502615252</v>
      </c>
      <c r="D21" s="49"/>
      <c r="E21" s="50">
        <v>14.913889490605669</v>
      </c>
      <c r="F21" s="51"/>
      <c r="G21" s="52"/>
      <c r="H21" s="51"/>
      <c r="I21" s="51"/>
      <c r="J21" s="51"/>
      <c r="K21" s="51"/>
      <c r="L21" s="51"/>
      <c r="M21" s="51"/>
      <c r="N21" s="75"/>
      <c r="O21" s="75"/>
      <c r="P21" s="75"/>
      <c r="Q21" s="75"/>
      <c r="R21" s="75"/>
      <c r="S21" s="75"/>
      <c r="T21" s="75"/>
      <c r="U21" s="75"/>
      <c r="V21" s="75"/>
      <c r="W21" s="75"/>
      <c r="X21" s="75"/>
      <c r="Y21" s="75"/>
      <c r="Z21" s="75"/>
      <c r="AA21" s="75"/>
      <c r="AB21" s="75"/>
      <c r="AC21" s="75"/>
      <c r="AD21" s="76"/>
      <c r="AE21" s="76"/>
      <c r="AF21" s="76"/>
      <c r="AG21" s="76"/>
      <c r="AH21" s="76"/>
      <c r="AI21" s="76"/>
      <c r="AJ21" s="76"/>
      <c r="AK21" s="76"/>
      <c r="AL21" s="76"/>
      <c r="AM21" s="76"/>
      <c r="AN21" s="76"/>
      <c r="AO21" s="76"/>
      <c r="AP21" s="76"/>
      <c r="AQ21" s="75"/>
      <c r="AR21" s="75"/>
      <c r="AS21" s="75"/>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7"/>
      <c r="CD21" s="77"/>
      <c r="CE21" s="77"/>
      <c r="CF21" s="77"/>
      <c r="CG21" s="77"/>
      <c r="CH21" s="77"/>
      <c r="CI21" s="77"/>
      <c r="CJ21" s="77"/>
      <c r="CK21" s="77"/>
      <c r="CL21" s="76"/>
      <c r="CM21" s="76"/>
      <c r="CN21" s="76"/>
      <c r="CO21" s="76"/>
      <c r="CP21" s="76"/>
      <c r="CQ21" s="76"/>
      <c r="CR21" s="78"/>
      <c r="CS21" s="78"/>
      <c r="CT21" s="78"/>
      <c r="CU21" s="78"/>
      <c r="CV21" s="78"/>
      <c r="CW21" s="76"/>
      <c r="CX21" s="76"/>
      <c r="CY21" s="76"/>
      <c r="CZ21" s="60"/>
    </row>
    <row r="22" spans="1:116" s="79" customFormat="1" ht="15" x14ac:dyDescent="0.25">
      <c r="A22" s="9"/>
      <c r="B22" s="9" t="s">
        <v>113</v>
      </c>
      <c r="C22" s="50">
        <v>40.245419383884062</v>
      </c>
      <c r="D22" s="9"/>
      <c r="E22" s="50">
        <v>39.209416468293199</v>
      </c>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9"/>
      <c r="CM22" s="9"/>
      <c r="CN22" s="9"/>
      <c r="CO22" s="9"/>
      <c r="CP22" s="9"/>
      <c r="CQ22" s="9"/>
      <c r="CR22" s="11"/>
      <c r="CS22" s="11"/>
      <c r="CT22" s="11"/>
      <c r="CU22" s="11"/>
      <c r="CV22" s="11"/>
      <c r="CW22" s="9"/>
      <c r="CX22" s="9"/>
      <c r="CY22" s="9"/>
      <c r="DB22" s="9"/>
      <c r="DC22" s="9"/>
      <c r="DD22" s="9"/>
      <c r="DE22" s="9"/>
      <c r="DF22" s="9"/>
      <c r="DG22" s="9"/>
      <c r="DH22" s="9"/>
      <c r="DI22" s="9"/>
      <c r="DJ22" s="9"/>
      <c r="DK22" s="9"/>
      <c r="DL22" s="12"/>
    </row>
    <row r="23" spans="1:116" s="79" customFormat="1" ht="15" x14ac:dyDescent="0.25">
      <c r="A23" s="9"/>
      <c r="B23" s="9"/>
      <c r="C23" s="4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9"/>
      <c r="CM23" s="9"/>
      <c r="CN23" s="9"/>
      <c r="CO23" s="9"/>
      <c r="CP23" s="9"/>
      <c r="CQ23" s="9"/>
      <c r="CR23" s="11"/>
      <c r="CS23" s="11"/>
      <c r="CT23" s="11"/>
      <c r="CU23" s="11"/>
      <c r="CV23" s="11"/>
      <c r="CW23" s="9"/>
      <c r="CX23" s="9"/>
      <c r="CY23" s="9"/>
      <c r="DB23" s="9"/>
      <c r="DC23" s="9"/>
      <c r="DD23" s="9"/>
      <c r="DE23" s="9"/>
      <c r="DF23" s="9"/>
      <c r="DG23" s="9"/>
      <c r="DH23" s="9"/>
      <c r="DI23" s="9"/>
      <c r="DJ23" s="9"/>
      <c r="DK23" s="9"/>
      <c r="DL23" s="12"/>
    </row>
    <row r="24" spans="1:116" s="79" customFormat="1" ht="15" x14ac:dyDescent="0.25">
      <c r="A24" s="9"/>
      <c r="B24" s="9"/>
      <c r="C24" s="4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9"/>
      <c r="CM24" s="9"/>
      <c r="CN24" s="9"/>
      <c r="CO24" s="9"/>
      <c r="CP24" s="9"/>
      <c r="CQ24" s="9"/>
      <c r="CR24" s="11"/>
      <c r="CS24" s="11"/>
      <c r="CT24" s="11"/>
      <c r="CU24" s="11"/>
      <c r="CV24" s="11"/>
      <c r="CW24" s="9"/>
      <c r="CX24" s="9"/>
      <c r="CY24" s="9"/>
      <c r="DB24" s="9"/>
      <c r="DC24" s="9"/>
      <c r="DD24" s="9"/>
      <c r="DE24" s="9"/>
      <c r="DF24" s="9"/>
      <c r="DG24" s="9"/>
      <c r="DH24" s="9"/>
      <c r="DI24" s="9"/>
      <c r="DJ24" s="9"/>
      <c r="DK24" s="9"/>
      <c r="DL24" s="12"/>
    </row>
    <row r="25" spans="1:116" s="79" customFormat="1" ht="15.75" x14ac:dyDescent="0.25">
      <c r="A25" s="9"/>
      <c r="B25" s="9"/>
      <c r="C25" s="4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9"/>
      <c r="CM25" s="9"/>
      <c r="CN25" s="9"/>
      <c r="CO25" s="9"/>
      <c r="CP25" s="9"/>
      <c r="CQ25" s="9"/>
      <c r="CR25" s="11"/>
      <c r="CS25" s="11"/>
      <c r="CT25" s="11"/>
      <c r="CU25" s="11"/>
      <c r="CV25" s="11"/>
      <c r="CW25" s="9"/>
      <c r="CX25" s="9"/>
      <c r="CY25" s="9"/>
      <c r="DB25" s="9"/>
      <c r="DC25" s="9"/>
      <c r="DD25" s="9"/>
      <c r="DE25" s="9"/>
      <c r="DF25" s="9"/>
      <c r="DG25" s="9"/>
      <c r="DH25" s="9"/>
      <c r="DI25" s="9"/>
      <c r="DJ25" s="9"/>
      <c r="DK25" s="9"/>
      <c r="DL25" s="12"/>
    </row>
    <row r="26" spans="1:116" s="79" customFormat="1" ht="15.75" x14ac:dyDescent="0.25">
      <c r="A26" s="9"/>
      <c r="B26" s="9"/>
      <c r="C26" s="4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9"/>
      <c r="CM26" s="9"/>
      <c r="CN26" s="9"/>
      <c r="CO26" s="9"/>
      <c r="CP26" s="9"/>
      <c r="CQ26" s="9"/>
      <c r="CR26" s="11"/>
      <c r="CS26" s="11"/>
      <c r="CT26" s="11"/>
      <c r="CU26" s="11"/>
      <c r="CV26" s="11"/>
      <c r="CW26" s="9"/>
      <c r="CX26" s="9"/>
      <c r="CY26" s="9"/>
      <c r="DB26" s="9"/>
      <c r="DC26" s="9"/>
      <c r="DD26" s="9"/>
      <c r="DE26" s="9"/>
      <c r="DF26" s="9"/>
      <c r="DG26" s="9"/>
      <c r="DH26" s="9"/>
      <c r="DI26" s="9"/>
      <c r="DJ26" s="9"/>
      <c r="DK26" s="9"/>
      <c r="DL26" s="12"/>
    </row>
    <row r="27" spans="1:116" s="79" customFormat="1" ht="15.75" x14ac:dyDescent="0.25">
      <c r="A27" s="9"/>
      <c r="B27" s="9"/>
      <c r="C27" s="4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9"/>
      <c r="CM27" s="9"/>
      <c r="CN27" s="9"/>
      <c r="CO27" s="9"/>
      <c r="CP27" s="9"/>
      <c r="CQ27" s="9"/>
      <c r="CR27" s="11"/>
      <c r="CS27" s="11"/>
      <c r="CT27" s="11"/>
      <c r="CU27" s="11"/>
      <c r="CV27" s="11"/>
      <c r="CW27" s="9"/>
      <c r="CX27" s="9"/>
      <c r="CY27" s="9"/>
      <c r="DB27" s="9"/>
      <c r="DC27" s="9"/>
      <c r="DD27" s="9"/>
      <c r="DE27" s="9"/>
      <c r="DF27" s="9"/>
      <c r="DG27" s="9"/>
      <c r="DH27" s="9"/>
      <c r="DI27" s="9"/>
      <c r="DJ27" s="9"/>
      <c r="DK27" s="9"/>
      <c r="DL27" s="12"/>
    </row>
    <row r="28" spans="1:116" s="79" customFormat="1" ht="15.75" x14ac:dyDescent="0.25">
      <c r="A28" s="9"/>
      <c r="B28" s="9"/>
      <c r="C28" s="4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9"/>
      <c r="CM28" s="9"/>
      <c r="CN28" s="9"/>
      <c r="CO28" s="9"/>
      <c r="CP28" s="9"/>
      <c r="CQ28" s="9"/>
      <c r="CR28" s="11"/>
      <c r="CS28" s="11"/>
      <c r="CT28" s="11"/>
      <c r="CU28" s="11"/>
      <c r="CV28" s="11"/>
      <c r="CW28" s="9"/>
      <c r="CX28" s="9"/>
      <c r="CY28" s="9"/>
      <c r="DB28" s="9"/>
      <c r="DC28" s="9"/>
      <c r="DD28" s="9"/>
      <c r="DE28" s="9"/>
      <c r="DF28" s="9"/>
      <c r="DG28" s="9"/>
      <c r="DH28" s="9"/>
      <c r="DI28" s="9"/>
      <c r="DJ28" s="9"/>
      <c r="DK28" s="9"/>
      <c r="DL28" s="12"/>
    </row>
    <row r="29" spans="1:116" s="79" customFormat="1" ht="15.75" x14ac:dyDescent="0.25">
      <c r="A29" s="9"/>
      <c r="B29" s="9"/>
      <c r="C29" s="4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9"/>
      <c r="CM29" s="9"/>
      <c r="CN29" s="9"/>
      <c r="CO29" s="9"/>
      <c r="CP29" s="9"/>
      <c r="CQ29" s="9"/>
      <c r="CR29" s="11"/>
      <c r="CS29" s="11"/>
      <c r="CT29" s="11"/>
      <c r="CU29" s="11"/>
      <c r="CV29" s="11"/>
      <c r="CW29" s="9"/>
      <c r="CX29" s="9"/>
      <c r="CY29" s="9"/>
      <c r="DB29" s="9"/>
      <c r="DC29" s="9"/>
      <c r="DD29" s="9"/>
      <c r="DE29" s="9"/>
      <c r="DF29" s="9"/>
      <c r="DG29" s="9"/>
      <c r="DH29" s="9"/>
      <c r="DI29" s="9"/>
      <c r="DJ29" s="9"/>
      <c r="DK29" s="9"/>
      <c r="DL29" s="12"/>
    </row>
    <row r="30" spans="1:116" s="79" customFormat="1" ht="15.75" x14ac:dyDescent="0.25">
      <c r="A30" s="9"/>
      <c r="B30" s="9"/>
      <c r="C30" s="4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9"/>
      <c r="CM30" s="9"/>
      <c r="CN30" s="9"/>
      <c r="CO30" s="9"/>
      <c r="CP30" s="9"/>
      <c r="CQ30" s="9"/>
      <c r="CR30" s="11"/>
      <c r="CS30" s="11"/>
      <c r="CT30" s="11"/>
      <c r="CU30" s="11"/>
      <c r="CV30" s="11"/>
      <c r="CW30" s="9"/>
      <c r="CX30" s="9"/>
      <c r="CY30" s="9"/>
      <c r="DB30" s="9"/>
      <c r="DC30" s="9"/>
      <c r="DD30" s="9"/>
      <c r="DE30" s="9"/>
      <c r="DF30" s="9"/>
      <c r="DG30" s="9"/>
      <c r="DH30" s="9"/>
      <c r="DI30" s="9"/>
      <c r="DJ30" s="9"/>
      <c r="DK30" s="9"/>
      <c r="DL30" s="12"/>
    </row>
    <row r="31" spans="1:116" s="79" customFormat="1" ht="15.75" x14ac:dyDescent="0.25">
      <c r="A31" s="9"/>
      <c r="B31" s="9"/>
      <c r="C31" s="4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9"/>
      <c r="CM31" s="9"/>
      <c r="CN31" s="9"/>
      <c r="CO31" s="9"/>
      <c r="CP31" s="9"/>
      <c r="CQ31" s="9"/>
      <c r="CR31" s="11"/>
      <c r="CS31" s="11"/>
      <c r="CT31" s="11"/>
      <c r="CU31" s="11"/>
      <c r="CV31" s="11"/>
      <c r="CW31" s="9"/>
      <c r="CX31" s="9"/>
      <c r="CY31" s="9"/>
      <c r="DB31" s="9"/>
      <c r="DC31" s="9"/>
      <c r="DD31" s="9"/>
      <c r="DE31" s="9"/>
      <c r="DF31" s="9"/>
      <c r="DG31" s="9"/>
      <c r="DH31" s="9"/>
      <c r="DI31" s="9"/>
      <c r="DJ31" s="9"/>
      <c r="DK31" s="9"/>
      <c r="DL31" s="12"/>
    </row>
    <row r="32" spans="1:116" s="79" customFormat="1" ht="15.75" x14ac:dyDescent="0.25">
      <c r="A32" s="9"/>
      <c r="B32" s="9"/>
      <c r="C32" s="4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9"/>
      <c r="CM32" s="9"/>
      <c r="CN32" s="9"/>
      <c r="CO32" s="9"/>
      <c r="CP32" s="9"/>
      <c r="CQ32" s="9"/>
      <c r="CR32" s="11"/>
      <c r="CS32" s="11"/>
      <c r="CT32" s="11"/>
      <c r="CU32" s="11"/>
      <c r="CV32" s="11"/>
      <c r="CW32" s="9"/>
      <c r="CX32" s="9"/>
      <c r="CY32" s="9"/>
      <c r="DB32" s="9"/>
      <c r="DC32" s="9"/>
      <c r="DD32" s="9"/>
      <c r="DE32" s="9"/>
      <c r="DF32" s="9"/>
      <c r="DG32" s="9"/>
      <c r="DH32" s="9"/>
      <c r="DI32" s="9"/>
      <c r="DJ32" s="9"/>
      <c r="DK32" s="9"/>
      <c r="DL32" s="12"/>
    </row>
    <row r="33" spans="1:116" s="79" customFormat="1" ht="15.75" x14ac:dyDescent="0.25">
      <c r="A33" s="9"/>
      <c r="B33" s="9"/>
      <c r="C33" s="4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9"/>
      <c r="CM33" s="9"/>
      <c r="CN33" s="9"/>
      <c r="CO33" s="9"/>
      <c r="CP33" s="9"/>
      <c r="CQ33" s="9"/>
      <c r="CR33" s="11"/>
      <c r="CS33" s="11"/>
      <c r="CT33" s="11"/>
      <c r="CU33" s="11"/>
      <c r="CV33" s="11"/>
      <c r="CW33" s="9"/>
      <c r="CX33" s="9"/>
      <c r="CY33" s="9"/>
      <c r="DB33" s="9"/>
      <c r="DC33" s="9"/>
      <c r="DD33" s="9"/>
      <c r="DE33" s="9"/>
      <c r="DF33" s="9"/>
      <c r="DG33" s="9"/>
      <c r="DH33" s="9"/>
      <c r="DI33" s="9"/>
      <c r="DJ33" s="9"/>
      <c r="DK33" s="9"/>
      <c r="DL33" s="12"/>
    </row>
    <row r="34" spans="1:116" s="79" customFormat="1" ht="15.75" x14ac:dyDescent="0.25">
      <c r="A34" s="9"/>
      <c r="B34" s="9"/>
      <c r="C34" s="4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9"/>
      <c r="CM34" s="9"/>
      <c r="CN34" s="9"/>
      <c r="CO34" s="9"/>
      <c r="CP34" s="9"/>
      <c r="CQ34" s="9"/>
      <c r="CR34" s="11"/>
      <c r="CS34" s="11"/>
      <c r="CT34" s="11"/>
      <c r="CU34" s="11"/>
      <c r="CV34" s="11"/>
      <c r="CW34" s="9"/>
      <c r="CX34" s="9"/>
      <c r="CY34" s="9"/>
      <c r="DB34" s="9"/>
      <c r="DC34" s="9"/>
      <c r="DD34" s="9"/>
      <c r="DE34" s="9"/>
      <c r="DF34" s="9"/>
      <c r="DG34" s="9"/>
      <c r="DH34" s="9"/>
      <c r="DI34" s="9"/>
      <c r="DJ34" s="9"/>
      <c r="DK34" s="9"/>
      <c r="DL34" s="12"/>
    </row>
  </sheetData>
  <mergeCells count="61">
    <mergeCell ref="CV4:CV5"/>
    <mergeCell ref="CW4:CW5"/>
    <mergeCell ref="CX4:CX5"/>
    <mergeCell ref="CY4:CY5"/>
    <mergeCell ref="AW5:AY5"/>
    <mergeCell ref="CP4:CP5"/>
    <mergeCell ref="CQ4:CQ5"/>
    <mergeCell ref="CR4:CR5"/>
    <mergeCell ref="CS4:CS5"/>
    <mergeCell ref="CT4:CT5"/>
    <mergeCell ref="CU4:CU5"/>
    <mergeCell ref="CD4:CG4"/>
    <mergeCell ref="CH4:CK4"/>
    <mergeCell ref="CL4:CL5"/>
    <mergeCell ref="CM4:CM5"/>
    <mergeCell ref="CN4:CN5"/>
    <mergeCell ref="CO4:CO5"/>
    <mergeCell ref="AT4:AV4"/>
    <mergeCell ref="AZ4:BE4"/>
    <mergeCell ref="BF4:BK4"/>
    <mergeCell ref="BL4:BQ4"/>
    <mergeCell ref="BR4:BW4"/>
    <mergeCell ref="BX4:CC4"/>
    <mergeCell ref="AC4:AC5"/>
    <mergeCell ref="AD4:AF4"/>
    <mergeCell ref="AG4:AI4"/>
    <mergeCell ref="AJ4:AL4"/>
    <mergeCell ref="AM4:AP4"/>
    <mergeCell ref="AQ4:AS4"/>
    <mergeCell ref="W4:W5"/>
    <mergeCell ref="X4:X5"/>
    <mergeCell ref="Y4:Y5"/>
    <mergeCell ref="Z4:Z5"/>
    <mergeCell ref="AA4:AA5"/>
    <mergeCell ref="AB4:AB5"/>
    <mergeCell ref="Q4:Q5"/>
    <mergeCell ref="R4:R5"/>
    <mergeCell ref="S4:S5"/>
    <mergeCell ref="T4:T5"/>
    <mergeCell ref="U4:U5"/>
    <mergeCell ref="V4:V5"/>
    <mergeCell ref="AZ3:CG3"/>
    <mergeCell ref="CO3:CV3"/>
    <mergeCell ref="E4:E5"/>
    <mergeCell ref="F4:F5"/>
    <mergeCell ref="G4:G5"/>
    <mergeCell ref="H4:H5"/>
    <mergeCell ref="I4:I5"/>
    <mergeCell ref="J4:J5"/>
    <mergeCell ref="K4:K5"/>
    <mergeCell ref="L4:L5"/>
    <mergeCell ref="A3:A5"/>
    <mergeCell ref="B3:B5"/>
    <mergeCell ref="C3:C5"/>
    <mergeCell ref="E3:Z3"/>
    <mergeCell ref="AD3:AV3"/>
    <mergeCell ref="AW3:AY3"/>
    <mergeCell ref="M4:M5"/>
    <mergeCell ref="N4:N5"/>
    <mergeCell ref="O4:O5"/>
    <mergeCell ref="P4:P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 2</vt:lpstr>
      <vt:lpstr>Sheet3</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Christine Wing Yin WONG</dc:creator>
  <cp:keywords/>
  <dc:description/>
  <cp:lastModifiedBy>Christine Wing Yin WONG</cp:lastModifiedBy>
  <cp:revision/>
  <dcterms:created xsi:type="dcterms:W3CDTF">2026-05-15T02:18:05Z</dcterms:created>
  <dcterms:modified xsi:type="dcterms:W3CDTF">2026-05-20T02:32:01Z</dcterms:modified>
  <cp:category/>
  <cp:contentStatus/>
</cp:coreProperties>
</file>