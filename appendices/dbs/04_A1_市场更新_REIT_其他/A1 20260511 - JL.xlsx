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w03g1bnkfps09\DBS ACL-ECM\Public\A1 Filings_Intern\File\"/>
    </mc:Choice>
  </mc:AlternateContent>
  <xr:revisionPtr revIDLastSave="0" documentId="13_ncr:1_{DB01D348-CCDC-451B-8D03-3F4643F8F68F}" xr6:coauthVersionLast="47" xr6:coauthVersionMax="47" xr10:uidLastSave="{00000000-0000-0000-0000-000000000000}"/>
  <bookViews>
    <workbookView xWindow="4275" yWindow="-13620" windowWidth="21840" windowHeight="13020" tabRatio="691" firstSheet="4" activeTab="10" xr2:uid="{31651797-ABAA-47F6-AE27-D4BAA295ABCD}"/>
  </bookViews>
  <sheets>
    <sheet name="1.Summary" sheetId="8" r:id="rId1"/>
    <sheet name="Detail1" sheetId="11" state="hidden" r:id="rId2"/>
    <sheet name="Sheet1" sheetId="12" state="hidden" r:id="rId3"/>
    <sheet name="Sheet2" sheetId="13" state="hidden" r:id="rId4"/>
    <sheet name="2.Sponsors_summary" sheetId="9" r:id="rId5"/>
    <sheet name="3.Deals_total" sheetId="3" r:id="rId6"/>
    <sheet name="4.Re-filings" sheetId="4" r:id="rId7"/>
    <sheet name="5.GBA" sheetId="5" r:id="rId8"/>
    <sheet name="6.GBA-detail" sheetId="6" r:id="rId9"/>
    <sheet name="7.CN_banks_involved" sheetId="7" r:id="rId10"/>
    <sheet name="8. Auditor" sheetId="10" r:id="rId11"/>
  </sheets>
  <definedNames>
    <definedName name="_xlnm._FilterDatabase" localSheetId="0" hidden="1">'1.Summary'!$A$1:$Q$54</definedName>
  </definedNames>
  <calcPr calcId="191028"/>
  <pivotCaches>
    <pivotCache cacheId="0" r:id="rId12"/>
    <pivotCache cacheId="9" r:id="rId13"/>
    <pivotCache cacheId="13" r:id="rId14"/>
    <pivotCache cacheId="21" r:id="rId15"/>
    <pivotCache cacheId="30" r:id="rId1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1" i="7" l="1"/>
  <c r="E11" i="7"/>
  <c r="C4" i="4" l="1"/>
  <c r="H10" i="7" l="1"/>
  <c r="O2" i="3" l="1"/>
  <c r="E10" i="7" l="1"/>
  <c r="H9" i="7" l="1"/>
  <c r="E9" i="7"/>
  <c r="H8" i="7" l="1"/>
  <c r="E8" i="7"/>
  <c r="E4" i="4" l="1"/>
  <c r="E7" i="7" l="1"/>
  <c r="H7" i="7"/>
  <c r="H4" i="7" l="1"/>
  <c r="E6" i="7"/>
  <c r="E5" i="7"/>
  <c r="E4" i="7"/>
  <c r="F5" i="7"/>
  <c r="H6" i="7"/>
  <c r="H5" i="7" l="1"/>
  <c r="H3" i="7"/>
  <c r="E3" i="7"/>
  <c r="D2" i="5" l="1"/>
  <c r="B3" i="4"/>
  <c r="A4" i="4" s="1"/>
  <c r="O4" i="9"/>
  <c r="O33" i="9" l="1"/>
  <c r="O32" i="9"/>
  <c r="O31" i="9"/>
  <c r="O30" i="9"/>
  <c r="O29" i="9"/>
  <c r="O28" i="9"/>
  <c r="O27" i="9"/>
  <c r="O26" i="9"/>
  <c r="O25" i="9"/>
  <c r="O24" i="9"/>
  <c r="O23" i="9"/>
  <c r="O22" i="9"/>
  <c r="O21" i="9"/>
  <c r="O18" i="9"/>
  <c r="O17" i="9"/>
  <c r="O16" i="9"/>
  <c r="O15" i="9"/>
  <c r="O14" i="9"/>
  <c r="O13" i="9"/>
  <c r="O12" i="9"/>
  <c r="O11" i="9"/>
  <c r="O10" i="9"/>
  <c r="O9" i="9"/>
  <c r="O8" i="9"/>
  <c r="O7" i="9"/>
  <c r="O6" i="9"/>
  <c r="O5" i="9"/>
  <c r="O3" i="9"/>
  <c r="O34" i="9" l="1"/>
  <c r="O19" i="9"/>
  <c r="C3" i="5"/>
  <c r="B3" i="5"/>
  <c r="D3" i="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tc={30625F22-3116-4CF2-9A45-1AA06009EE02}</author>
  </authors>
  <commentList>
    <comment ref="B1" authorId="0" shapeId="0" xr:uid="{30625F22-3116-4CF2-9A45-1AA06009EE02}">
      <text>
        <t>[Threaded comment]
Your version of Excel allows you to read this threaded comment; however, any edits to it will get removed if the file is opened in a newer version of Excel. Learn more: https://go.microsoft.com/fwlink/?linkid=870924
Comment:
    Jan 1 - Jan 4 to be updated</t>
      </text>
    </comment>
  </commentList>
</comments>
</file>

<file path=xl/sharedStrings.xml><?xml version="1.0" encoding="utf-8"?>
<sst xmlns="http://schemas.openxmlformats.org/spreadsheetml/2006/main" count="448" uniqueCount="242">
  <si>
    <t>#</t>
  </si>
  <si>
    <t>Name of Company</t>
  </si>
  <si>
    <t>Brief description of business</t>
  </si>
  <si>
    <t>Sector</t>
  </si>
  <si>
    <t>Industry</t>
  </si>
  <si>
    <t>Currency</t>
  </si>
  <si>
    <t>Revenue</t>
  </si>
  <si>
    <t>Net Profit/(Loss)</t>
  </si>
  <si>
    <t>Sponsor</t>
  </si>
  <si>
    <t>Overall coordinator</t>
  </si>
  <si>
    <t>Listing Application Date</t>
  </si>
  <si>
    <t>Controlling Shareholders</t>
  </si>
  <si>
    <t>Temasek/GIC-Linked</t>
  </si>
  <si>
    <t>PE/VC involved</t>
  </si>
  <si>
    <t>CN/HK/GBA</t>
  </si>
  <si>
    <t>Remarks</t>
  </si>
  <si>
    <t>Re-filing?</t>
  </si>
  <si>
    <t>(Latest FY’000)</t>
  </si>
  <si>
    <t>Industrial</t>
  </si>
  <si>
    <t>TMT</t>
  </si>
  <si>
    <t>GTJA</t>
  </si>
  <si>
    <t>China Securities</t>
  </si>
  <si>
    <t>Automotive</t>
  </si>
  <si>
    <t>Energy</t>
  </si>
  <si>
    <t>CICC</t>
  </si>
  <si>
    <t>Huatai</t>
  </si>
  <si>
    <t>Servicing</t>
  </si>
  <si>
    <t>Healthcare and Pharmaceutical</t>
  </si>
  <si>
    <t>Consumer Discretionary</t>
  </si>
  <si>
    <t>Consumer Staples</t>
  </si>
  <si>
    <t>Education</t>
  </si>
  <si>
    <t>Environment</t>
  </si>
  <si>
    <t>Financial Service</t>
  </si>
  <si>
    <t>Real Estate</t>
  </si>
  <si>
    <t>SPAC</t>
  </si>
  <si>
    <t>Grand Total</t>
  </si>
  <si>
    <t>Chinese Bank</t>
  </si>
  <si>
    <t>ABCI</t>
  </si>
  <si>
    <t>BOCI</t>
  </si>
  <si>
    <t>BOCOMI</t>
  </si>
  <si>
    <t>CCBI</t>
  </si>
  <si>
    <t>China Galaxy</t>
  </si>
  <si>
    <t>China Renaissance</t>
  </si>
  <si>
    <t>CITIC/CLSA</t>
  </si>
  <si>
    <t>CMBI</t>
  </si>
  <si>
    <t>CMS</t>
  </si>
  <si>
    <t>Haitong</t>
  </si>
  <si>
    <t>ICBCI</t>
  </si>
  <si>
    <t>Others</t>
  </si>
  <si>
    <t>Sub-total: Chinese Banks</t>
  </si>
  <si>
    <t>Non-Chinese Banks</t>
  </si>
  <si>
    <t>BNP</t>
  </si>
  <si>
    <t>BofA/Merill Lynch</t>
  </si>
  <si>
    <t>Citi</t>
  </si>
  <si>
    <t>DBS</t>
  </si>
  <si>
    <t>Deutsche Bank</t>
  </si>
  <si>
    <t>Goldman Sachs</t>
  </si>
  <si>
    <t>HSBC</t>
  </si>
  <si>
    <t>JP Morgan</t>
  </si>
  <si>
    <t>Morgan Stanley</t>
  </si>
  <si>
    <t>Nomura</t>
  </si>
  <si>
    <t>UBS</t>
  </si>
  <si>
    <t>Sub-total: Non Chinese Banks</t>
  </si>
  <si>
    <t>IPO sponsor deals total</t>
  </si>
  <si>
    <t>Re-filings</t>
  </si>
  <si>
    <t xml:space="preserve">No. of GBA Deals </t>
  </si>
  <si>
    <t>No. of Non-GBA Deals</t>
  </si>
  <si>
    <t>Total No. of  Deals</t>
  </si>
  <si>
    <t>No. of Applications</t>
  </si>
  <si>
    <t>% Split</t>
  </si>
  <si>
    <t>No. of Deals</t>
  </si>
  <si>
    <r>
      <t xml:space="preserve">Consumer </t>
    </r>
    <r>
      <rPr>
        <sz val="11"/>
        <color theme="1"/>
        <rFont val="Calibri"/>
        <family val="2"/>
      </rPr>
      <t>Discretionary</t>
    </r>
  </si>
  <si>
    <t>Total Number of listing application</t>
  </si>
  <si>
    <t>No. of listing applications</t>
  </si>
  <si>
    <t xml:space="preserve">Chinese banks </t>
  </si>
  <si>
    <t>No. of</t>
  </si>
  <si>
    <t>Chinese banks involved</t>
  </si>
  <si>
    <t>%</t>
  </si>
  <si>
    <t>non-Chinese banks involved</t>
  </si>
  <si>
    <t>Jan</t>
  </si>
  <si>
    <t>Auditor</t>
  </si>
  <si>
    <t>HK IPO Auditor</t>
  </si>
  <si>
    <t>EY</t>
  </si>
  <si>
    <t>KPMG</t>
  </si>
  <si>
    <t>PwC</t>
  </si>
  <si>
    <t>Deloitte</t>
  </si>
  <si>
    <t>BDO</t>
  </si>
  <si>
    <t>Grant Thornton</t>
  </si>
  <si>
    <t>UHY</t>
  </si>
  <si>
    <t>Pan-China</t>
  </si>
  <si>
    <t>ShineWing</t>
  </si>
  <si>
    <t>CCIF</t>
  </si>
  <si>
    <t>Crowe Horwath</t>
  </si>
  <si>
    <t>Evergreen</t>
  </si>
  <si>
    <t>Confucius International</t>
  </si>
  <si>
    <t>Forvis Mazars</t>
  </si>
  <si>
    <t>Rong Cheng</t>
  </si>
  <si>
    <t>HLB Hodgson Impley Cheng</t>
  </si>
  <si>
    <t>Row Labels</t>
  </si>
  <si>
    <t>(blank)</t>
  </si>
  <si>
    <t>Count of Auditor</t>
  </si>
  <si>
    <t>N</t>
  </si>
  <si>
    <t>Column Labels</t>
  </si>
  <si>
    <t>Count of Re-filing?</t>
  </si>
  <si>
    <t>Count of Sector</t>
  </si>
  <si>
    <t>RMB</t>
  </si>
  <si>
    <t>As of 31/01/2025</t>
  </si>
  <si>
    <t>As of 31/01/2026</t>
  </si>
  <si>
    <t>Feb</t>
  </si>
  <si>
    <t>ZHONGHUI ANDA</t>
  </si>
  <si>
    <t>As of 28/02/2026</t>
  </si>
  <si>
    <t>As of 28/02/2025</t>
  </si>
  <si>
    <t>RSM</t>
  </si>
  <si>
    <t>2026/1/5 - 2026/2/28</t>
  </si>
  <si>
    <t>Mar</t>
  </si>
  <si>
    <t>2025/01/01 – 2025/12/31</t>
  </si>
  <si>
    <t>Details for Count of Sponsor - Sponsor: CMBC, BOCI, Sector: Energy</t>
  </si>
  <si>
    <t>Count of #</t>
  </si>
  <si>
    <t>As of 29/03/2026</t>
  </si>
  <si>
    <t>As of 29/03/2025</t>
  </si>
  <si>
    <t>CICC, Haitong</t>
  </si>
  <si>
    <t>CICC, CMS</t>
  </si>
  <si>
    <t>CCB, CMS</t>
  </si>
  <si>
    <t>China Industrial Securities</t>
  </si>
  <si>
    <t>Apri</t>
  </si>
  <si>
    <t>Calculated Field</t>
  </si>
  <si>
    <t>Solve Order</t>
  </si>
  <si>
    <t>Field</t>
  </si>
  <si>
    <t>Formula</t>
  </si>
  <si>
    <t>Calculated Item</t>
  </si>
  <si>
    <t>Item</t>
  </si>
  <si>
    <t>Note:</t>
  </si>
  <si>
    <t>When a cell is updated by more than one formula,</t>
  </si>
  <si>
    <t>the value is set by the formula with the last solve order.</t>
  </si>
  <si>
    <t>To change the solve order for multiple calculated items or fields,</t>
  </si>
  <si>
    <t>on the Options tab, in the Calculations group, click Fields, Items, &amp; Sets, and then click Solve Order.</t>
  </si>
  <si>
    <t>Count of Sponsor</t>
  </si>
  <si>
    <t>Baker Tilly</t>
  </si>
  <si>
    <t>Jefferies</t>
  </si>
  <si>
    <t>As of 30/04/2026</t>
  </si>
  <si>
    <t>As of 30/04/2025</t>
  </si>
  <si>
    <t>May</t>
  </si>
  <si>
    <t>2026/01/01 – 2026/05/03</t>
  </si>
  <si>
    <t>Sonsors</t>
  </si>
  <si>
    <t>Alebund Pharmaceuticals (Jiangsu) Limited</t>
  </si>
  <si>
    <t>A renal-focused biopharmaceutical company dedicated to the discovery, development, and commercialization of innovative therapies for chronic kidney disease (CKD) and its complications (e.g., hyperphosphatemia, renal anemia, IgA nephropathy).</t>
  </si>
  <si>
    <t>Healthcare</t>
  </si>
  <si>
    <t>Biotechnology </t>
  </si>
  <si>
    <t>Jefferies, BofA, Huatai</t>
  </si>
  <si>
    <t>Jefferies, BofA, Huatai, BOCI, CLSA</t>
  </si>
  <si>
    <t>Single Largest Shareholders Group (comprising Aleyuan Inc., Dr. Gavin Guoyao Xia, AleyuanGX, Dr. Jin Tian, AleyuanJT, Aleyuan Limited, Shanghai Chunyuan, Yangzhou Liyue, Ms. Wang Yun, Dr. Zhang Huading, Shanghai Yuanyue, BCeGFR, Fortuna, and Dr. Shu Chutian), holding approximately 24.50% in aggregate.</t>
  </si>
  <si>
    <t>Yes </t>
  </si>
  <si>
    <t>Tencent, Guojin Group, LAV USD, Quan Capital, Loyal Valley Capital, Shanghai Liyi, GIC, 3H, 3E, Dezhou Liangyi, Huagai Capital, Beijing New Dynamic II, Sherpa, Octagon, Morningside Venture.</t>
  </si>
  <si>
    <t>CN </t>
  </si>
  <si>
    <t>18A</t>
  </si>
  <si>
    <t>Hangzhou Qiandaohu Xunlong Sci-tech Co., Ltd.</t>
  </si>
  <si>
    <t>The world's largest caviar company with a vertically integrated value chain covering sturgeon breeding, aquaculture, processing, and global marketing under the "KALUGA QUEEN" brand.</t>
  </si>
  <si>
    <t>Packaged Foods</t>
  </si>
  <si>
    <t>CITIC, CICC</t>
  </si>
  <si>
    <t>Mr. Wang and his controlled entities (Chunan Kalujiaren, Hangzhou Kalujiaren, and Hangzhou Xunlongren)</t>
  </si>
  <si>
    <t>Fengshi Jinghe; CITIC Securities Investment; Jinshi Kunxiang; Qihui Runjin; Yuansheng Jiahao; Fengshi Hechuang; Shiyue Venture</t>
  </si>
  <si>
    <t>No</t>
  </si>
  <si>
    <t>Jiangxi Institute of Biological Products Inc.</t>
  </si>
  <si>
    <t>The largest provider and exporter of human tetanus antitoxins (Human TAT) in China and a fully integrated antiserum platform company offering human and veterinary pharmaceutical products.</t>
  </si>
  <si>
    <t>Ms. JING Yue, Hainan Zhizheng Biotechnology Development Co., Ltd., and Shenzhen Qianhai Tianzheng Biotechnology Co., Ltd. (Ms. JING Yue exercises approximately 76.64% voting rights)</t>
  </si>
  <si>
    <t>Chifeng Bo-en Jingtian, Ruiqingxiang Investment, Hanxin Pharmaceutical, Hailei Pharmaceutical, High-tech Investment Zhiyuan, High-tech Investment Start-up, Xiaohe VC, Hejia Jiangsheng, Jiaxing Jiaci, Heli No. 7, Lingyao Investment</t>
  </si>
  <si>
    <t>Deloitte </t>
  </si>
  <si>
    <t>Zephyr Intelligent System (Shanghai) Co., Ltd.</t>
  </si>
  <si>
    <t>A leading one-stop new energy battery thermal safety solutions provider in China, offering integrated four-level closed-loop safety solutions (L1 to L4 systems) for EV and BESS projects.</t>
  </si>
  <si>
    <t>Thermal Safety Solutions</t>
  </si>
  <si>
    <t>South China Capital Limited</t>
  </si>
  <si>
    <t>South China Securities Limited; Livermore Holdings Limited</t>
  </si>
  <si>
    <t>Mr. Li Fei, Ms. Cao Jiaping, Jiafeng Lihe, Shanghai Yanhang LLP, Shanghai Changyan LLP, and Shanghai CY LLP (80.22% aggregate interest)</t>
  </si>
  <si>
    <t>FAW Innovation Fund, Kaibo Chengdu Fund, China Reform Sci-Tech II Fund, Zhangjiang Torch, Xuzhou Chanfa Fund, Shanghai Longxiang</t>
  </si>
  <si>
    <t>KEYTOP PARKING INC.</t>
  </si>
  <si>
    <t>A smart parking space operator in China providing integrated smart parking systems, management services, and facility/platform operations.</t>
  </si>
  <si>
    <t>Smart Parking Operations</t>
  </si>
  <si>
    <t>830,615 </t>
  </si>
  <si>
    <t>CICC, CMBC</t>
  </si>
  <si>
    <t>Mr. Sun Longxi, Mr. Huang Jinlian, and Xiamen Hualong Electronics Technology Co., Ltd.</t>
  </si>
  <si>
    <t>Tencent Holdings Limited; Falcon Capital; Hongtai Aplus; Fuiou Group; Fujian Huamin Industrial Group; Shanghai Water Conservancy Investment Construction Group; Century Tengyun; Yusheng Asset Management; Jianji Capital.</t>
  </si>
  <si>
    <t>Kexing Biopharm Co., Ltd.</t>
  </si>
  <si>
    <t>An innovative biopharmaceutical company specializing in the R&amp;D, manufacturing, and commercialization of recombinant proteins, antibodies, and targeted-delivery therapies, focusing on oncology and autoimmune diseases.</t>
  </si>
  <si>
    <t>China Securities, Huatai, CMBI, BOCI</t>
  </si>
  <si>
    <t>Mr. Deng Xueqin, Ms. Wen Shaozhen, Shenzhen Keyi Pharmaceutical Holdings Co., Ltd., Genzon Investment Group Co., Ltd., Shenzhen Zhengzhong Yisheng Investment Co., Ltd.</t>
  </si>
  <si>
    <t>Genzon Investment Group Co., Ltd. , Shenzhen Hengjian Enterprise Management Partnership, Shenzhen Yuzao Enterprise Management Partnership, Shanghai Changjiang Wealth Asset Management Co., Ltd. (Employee Strategic Plan)</t>
  </si>
  <si>
    <t>A+H (688136.SH)</t>
  </si>
  <si>
    <t>Grant Thornton Hong Kong Limited</t>
  </si>
  <si>
    <t>Yusheng Holdings Limited</t>
  </si>
  <si>
    <t>Leading used vehicle transaction platform in China operating the "Taocheche" brand with 62 self-operated sales centers.</t>
  </si>
  <si>
    <t>Automative</t>
  </si>
  <si>
    <t>Used Vehicle Transaction Platform</t>
  </si>
  <si>
    <t>Citi, CLSA</t>
  </si>
  <si>
    <t>Mr. Jiang Dong, East Success Ventures Limited, VehiclePro LP</t>
  </si>
  <si>
    <t>Tencent, JD, Yixin Group, Bitauto, Hammer Capital</t>
  </si>
  <si>
    <t>Crealights Technology Co., Ltd.</t>
  </si>
  <si>
    <t>Provider of high-speed optoelectronic interconnection products (optical transceivers and active optical cables) with end-to-end capabilities from chip design to manufacturing, focusing on silicon photonics (SiPh) for AI data centers.</t>
  </si>
  <si>
    <t>Semiconductors</t>
  </si>
  <si>
    <t>Huatai </t>
  </si>
  <si>
    <t>Dr. Hu Zhaoyang, Suzhou Haiyi, and Suzhou Haixu </t>
  </si>
  <si>
    <t>Alibaba Group Holding Limited; Xiaomi Corporation; Suzhou Industrial Park Management Committee; Suzhou Huqiu District Government; Jiangsu Provincial Government; Beijing Municipal Government; Bondshine Capital; Walden Alps Investment Management; Tianjin TEDA Venture Capital Group Corporation Limited; Fortune-Tech Capital; Jiangsu Zhongtian Technology Co., Ltd.; Bohua Capital; Beijing Haiju Assistance Investment Management Co., Ltd.; Nantong Haifu CCI Capital Ltd; Shanghai Handuo Capital Management Co., Ltd.; Shanghai Changshun Jianye Consulting Management Co., Ltd.; Gongqingcheng Juchuang Investment Partnership; Jiaxing Gaohe Venture Capital Partnership.</t>
  </si>
  <si>
    <t>Baidu, Inc.; BlueFive Asset Management; China Cinda Asset Management Co., Ltd.; Qiming Venture Partners; Shandong Provincial Department of Finance; CITIC Limited; China Construction Bank Corporation; Anhui Provincial Government; Huagai Capital; Lenovo Group Limited; ABC Impact; Weiqiao Group; China Merchants Group; China Reform Holdings Corporation; Feixi County Government; Tsinghua University; State Power Investment Corporation; Sunwoda Electronic Co., Ltd.; Blue Lake Capital; Bank of Communications Co., Ltd.; NGS Super; Xiamen Municipal Government; WorldEx Supply Chain Technology; Changxing County Finance Bureau; Beijing Guangyue Private Equity Fund Management.</t>
  </si>
  <si>
    <t>DeepWay Technology Co., Ltd.</t>
  </si>
  <si>
    <t>Technology-driven provider of new energy heavy-duty trucks and intelligent road freight technologies (autonomous driving/platooning).</t>
  </si>
  <si>
    <t>Intelligent Logistics</t>
  </si>
  <si>
    <t>3,961,106 </t>
  </si>
  <si>
    <t>CICC, CMB</t>
  </si>
  <si>
    <t>CICC, CMBI, BOCOM, BOCI, CCBI, ICIBI</t>
  </si>
  <si>
    <t>Mr. Wan Jun and his acting-in-concert group (Shanghai Junwei, Beijing Chengyue, Shanghai Junsheng, Shanghai Junyuan)</t>
  </si>
  <si>
    <t>Jiangsu Silicon Integrity Semiconductor Technology Co., Ltd.</t>
  </si>
  <si>
    <t> A provider of semiconductor assembly and testing technical solutions (OSAT model), specializing in advanced packaging designs (QFN, BGA, LGA, WLP, and 2.5D/3D).</t>
  </si>
  <si>
    <t>Huatai, Huafu</t>
  </si>
  <si>
    <t>Mr. Zhang Guodong, Mr. Pan Mingdong, Mr. Liu Yi, Ningtaixin, and Ningpuxin</t>
  </si>
  <si>
    <t>Guangdong Tinoos Group Co., Limited</t>
  </si>
  <si>
    <t>Vertically integrated full-industry-chain operator for Qingyuan Chickens, pigs, and related meat products, covering breeding, eco-farming, feed production, and food processing.</t>
  </si>
  <si>
    <t>Agricultural Products</t>
  </si>
  <si>
    <t>Xiao Wenqing; Zhang Zhengfen</t>
  </si>
  <si>
    <t>IDG Capital; Zhongshan Liandong Technology Development Co., Ltd.; Zhongshan Liandong Asset Management Co., Ltd.; Continental Capital Limited; Guangdong Provincial State Farms Group Corporation; Guangdong Hengjian Investment Holding Co., Ltd.; Guangdong Bixiang Science and Technology Development Co., Ltd.; Guangdong Guoqiang Charity Foundation; Zhaoken Capital Management (Beijing) Co., Ltd.; China Agricultural Reclamation Industry Development Fund; Guizhou Modern Agricultural and Rural Development Equity Investment Fund.</t>
  </si>
  <si>
    <t>Ningtaixin; Ningpuxin; Xinlianxin; Nanjing Yuanjun; FirstLight Hongtong; FirstLight Growth; Jiaxing Taiying; Shenzhen Gongchuang; Xiaomi Changjiang; Xinchao Jixiang; Xinchao Chenguang; Jiangsu Jiequan; Xunxing Investment; Ningbo Xinshuo; Huaye High Tech; Huaye Xuchuang; Hengrui; Jinpu Pengyuan; Jinpu Consumer; Jinpu Technology; Longxin Intelligent; Longxin Juneng; Suzhou Fenhu; Zhuhai Hongtu; Shenzhen Hongtu; Xinxiang Rongcheng; Kunde Partnership; Azure VC; Qixin Yuanchuang; Gaintech; Zhuoyuan Investment; Yuanhe Puhua; Shanghai Quanqi; Xinchao Group; Ningbo Chentong; Sumin Investment; Sumin Fengfan; Longcheer Technology; Xianfeng Investment.</t>
  </si>
  <si>
    <t>GoNature Outdoor Sports Group Co., Ltd.</t>
  </si>
  <si>
    <t>A high-growth performance outdoor garment brand in China that designs and sells apparel, footwear, and equipment under the brands Pelliot and Excelsior. It is recognized as the inventor of the one-piece hardshell down coat in China.</t>
  </si>
  <si>
    <t>Apparel &amp; Luxury Goods</t>
  </si>
  <si>
    <t>2,792,988 </t>
  </si>
  <si>
    <t>CICC, CITIC</t>
  </si>
  <si>
    <t>CICC, CLSA</t>
  </si>
  <si>
    <t>Liu Zhen, Hua Jingling</t>
  </si>
  <si>
    <t>Tencent Investment, Qiming Venture, SDF LB (Sinovation Disrupt Fund), GSR Zhaohua, Qingdao Haikong Tiancheng, Anhui Chuangsheng, Anhui Huiyuan, Anhui Wenchuang, Lixin Chantou</t>
  </si>
  <si>
    <t>DIGIWIN CO., LTD.</t>
  </si>
  <si>
    <t>Provider of digital and intelligent manufacturing solutions, including software products, integrated software and hardware solutions, and technology services across research and design, digital management, production control, and AIoT.</t>
  </si>
  <si>
    <t>SAAS</t>
  </si>
  <si>
    <t>Foxconn Industrial Internet Co., Ltd., Top Partner Holding Limited, Yeh Tzu-chen, Sun Ur-bane, and Xin’ai Enterprise Management Consulting (Shanghai) Co., Ltd.</t>
  </si>
  <si>
    <t>Foxconn Industrial Internet Co., Ltd. Top Partner Holding Limited. Xin’ai Enterprise Management Consulting (Shanghai) Co., Ltd. Nanjing Runxin Xietong SME Development Fund Partnership Shanghai Fintech Technology Equity Investment Fund 6. Nanjing Pugao Industrial Investment Fund Partnership. Suzhou Fangguang Venture Capital Partnership. Changzhou Qitai Venture Capital Partnership. Changzhou Kechuang Nursery Enterprise Equity Investment Fund. Jiaxing Huisen Haoshi Equity Investment Partnership. Hangzhou Jiayan Xiao’an Information Technology Co., Ltd. Changzhou Fangguang Venture Capital Partnership. Digital China Holding Limited. Digital China Software (BVI) Limited. Talent Gain Developments Limited</t>
  </si>
  <si>
    <t>A+H (300378.SZ)</t>
  </si>
  <si>
    <t xml:space="preserve">N </t>
  </si>
  <si>
    <t>Y, last filled at 31/10/2025</t>
  </si>
  <si>
    <t>Y, last filled at 30/10/2025</t>
  </si>
  <si>
    <t>Y, last filled at 11/04/2025</t>
  </si>
  <si>
    <t>Y, last filled at 06/11/2025</t>
  </si>
  <si>
    <t>Y, last filled at 07/11/2025</t>
  </si>
  <si>
    <t>2025/01/01 – 2025/5/11</t>
  </si>
  <si>
    <t>As of 11/05/2026</t>
  </si>
  <si>
    <t>As of 11/05/2025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</si>
</sst>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3">
    <font>
      <sz val="11"/>
      <color theme="1"/>
      <name val="Calibri"/>
      <family val="2"/>
      <scheme val="minor"/>
    </font>
    <font>
      <sz val="11"/>
      <color theme="1"/>
      <name val="Arial"/>
      <family val="2"/>
      <charset val="134"/>
    </font>
    <font>
      <sz val="10"/>
      <color theme="1"/>
      <name val="Times New Roman"/>
      <family val="1"/>
    </font>
    <font>
      <sz val="11"/>
      <color theme="1"/>
      <name val="Calibri"/>
      <family val="2"/>
    </font>
    <font>
      <b/>
      <sz val="11"/>
      <color theme="1"/>
      <name val="Calibri"/>
      <family val="2"/>
    </font>
    <font>
      <b/>
      <sz val="11"/>
      <color rgb="FFFFFFFF"/>
      <name val="Calibri"/>
      <family val="2"/>
    </font>
    <font>
      <b/>
      <sz val="11"/>
      <color rgb="FF000000"/>
      <name val="Calibri"/>
      <family val="2"/>
    </font>
    <font>
      <sz val="11"/>
      <color rgb="FF000000"/>
      <name val="Calibri"/>
      <family val="2"/>
    </font>
    <font>
      <sz val="8"/>
      <name val="Calibri"/>
      <family val="2"/>
      <scheme val="minor"/>
    </font>
    <font>
      <sz val="11"/>
      <color indexed="8"/>
      <name val="Calibri"/>
      <family val="2"/>
      <scheme val="minor"/>
    </font>
    <font>
      <sz val="11"/>
      <color theme="1"/>
      <name val="Calibri"/>
      <family val="2"/>
      <charset val="134"/>
      <scheme val="minor"/>
    </font>
    <font>
      <sz val="11"/>
      <name val="Calibri"/>
      <family val="2"/>
    </font>
    <font>
      <sz val="11"/>
      <name val="Calibri"/>
      <family val="2"/>
      <scheme val="minor"/>
    </font>
    <font>
      <sz val="11"/>
      <color rgb="FF000000"/>
      <name val="Aptos"/>
      <family val="2"/>
      <charset val="1"/>
    </font>
    <font>
      <sz val="11"/>
      <color theme="1"/>
      <name val="Calibri"/>
      <family val="2"/>
      <scheme val="minor"/>
    </font>
    <font>
      <b/>
      <sz val="14"/>
      <color rgb="FFFFFFFF"/>
      <name val="Calibri"/>
      <family val="2"/>
    </font>
    <font>
      <b/>
      <sz val="12"/>
      <color rgb="FF000000"/>
      <name val="Calibri"/>
      <family val="2"/>
    </font>
    <font>
      <sz val="11"/>
      <color rgb="FF0070C0"/>
      <name val="Calibri"/>
      <family val="2"/>
      <scheme val="minor"/>
    </font>
    <font>
      <sz val="11"/>
      <color rgb="FFFF0000"/>
      <name val="Calibri"/>
      <family val="2"/>
      <scheme val="minor"/>
    </font>
    <font>
      <b/>
      <sz val="11"/>
      <color theme="0"/>
      <name val="Calibri"/>
      <family val="2"/>
    </font>
    <font>
      <b/>
      <sz val="11"/>
      <color theme="1"/>
      <name val="Calibri"/>
      <family val="2"/>
      <scheme val="minor"/>
    </font>
    <font>
      <b/>
      <sz val="12"/>
      <color theme="1"/>
      <name val="Calibri"/>
      <family val="2"/>
    </font>
    <font>
      <b/>
      <i/>
      <sz val="11"/>
      <color theme="1"/>
      <name val="Calibri"/>
      <family val="2"/>
      <scheme val="minor"/>
    </font>
  </fonts>
  <fills count="10">
    <fill>
      <patternFill patternType="none"/>
    </fill>
    <fill>
      <patternFill patternType="gray125"/>
    </fill>
    <fill>
      <patternFill patternType="solid">
        <fgColor rgb="FFC00000"/>
        <bgColor indexed="64"/>
      </patternFill>
    </fill>
    <fill>
      <patternFill patternType="solid">
        <fgColor rgb="FF000000"/>
        <bgColor indexed="64"/>
      </patternFill>
    </fill>
    <fill>
      <patternFill patternType="solid">
        <fgColor rgb="FFFCE4D6"/>
        <bgColor indexed="64"/>
      </patternFill>
    </fill>
    <fill>
      <patternFill patternType="solid">
        <fgColor rgb="FFF2F2F2"/>
        <bgColor indexed="64"/>
      </patternFill>
    </fill>
    <fill>
      <patternFill patternType="solid">
        <fgColor rgb="FFFFF2CC"/>
        <bgColor indexed="64"/>
      </patternFill>
    </fill>
    <fill>
      <patternFill patternType="solid">
        <fgColor theme="5" tint="0.59999389629810485"/>
        <bgColor indexed="64"/>
      </patternFill>
    </fill>
    <fill>
      <patternFill patternType="solid">
        <fgColor theme="0"/>
        <bgColor indexed="64"/>
      </patternFill>
    </fill>
    <fill>
      <patternFill patternType="solid">
        <fgColor rgb="FFFFFFFF"/>
        <bgColor indexed="64"/>
      </patternFill>
    </fill>
  </fills>
  <borders count="18">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diagonal/>
    </border>
    <border>
      <left/>
      <right style="thin">
        <color indexed="64"/>
      </right>
      <top/>
      <bottom style="thin">
        <color indexed="64"/>
      </bottom>
      <diagonal/>
    </border>
    <border>
      <left style="medium">
        <color indexed="64"/>
      </left>
      <right/>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bottom/>
      <diagonal/>
    </border>
    <border>
      <left/>
      <right style="medium">
        <color indexed="64"/>
      </right>
      <top/>
      <bottom/>
      <diagonal/>
    </border>
    <border>
      <left/>
      <right/>
      <top/>
      <bottom style="thin">
        <color indexed="8"/>
      </bottom>
      <diagonal/>
    </border>
  </borders>
  <cellStyleXfs count="5">
    <xf numFmtId="0" fontId="0" fillId="0" borderId="0"/>
    <xf numFmtId="0" fontId="1" fillId="0" borderId="0"/>
    <xf numFmtId="0" fontId="9" fillId="0" borderId="0"/>
    <xf numFmtId="0" fontId="10" fillId="0" borderId="0">
      <alignment vertical="center"/>
    </xf>
    <xf numFmtId="9" fontId="14" fillId="0" borderId="0" applyFont="0" applyFill="0" applyBorder="0" applyAlignment="0" applyProtection="0"/>
  </cellStyleXfs>
  <cellXfs count="118">
    <xf numFmtId="0" fontId="0" fillId="0" borderId="0" xfId="0"/>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5" fillId="3" borderId="2" xfId="0" applyFont="1" applyFill="1" applyBorder="1" applyAlignment="1">
      <alignment horizontal="center" vertical="center" wrapText="1"/>
    </xf>
    <xf numFmtId="0" fontId="6" fillId="0" borderId="1" xfId="0" applyFont="1" applyBorder="1" applyAlignment="1">
      <alignment vertical="center"/>
    </xf>
    <xf numFmtId="0" fontId="5" fillId="2" borderId="1" xfId="0" applyFont="1" applyFill="1" applyBorder="1" applyAlignment="1">
      <alignment vertical="center"/>
    </xf>
    <xf numFmtId="0" fontId="5" fillId="2" borderId="2" xfId="0" applyFont="1" applyFill="1" applyBorder="1" applyAlignment="1">
      <alignment horizontal="center" vertical="center"/>
    </xf>
    <xf numFmtId="0" fontId="7" fillId="0" borderId="3" xfId="0" applyFont="1" applyBorder="1" applyAlignment="1">
      <alignment horizontal="justify" vertical="center"/>
    </xf>
    <xf numFmtId="0" fontId="7" fillId="0" borderId="4" xfId="0" applyFont="1" applyBorder="1" applyAlignment="1">
      <alignment horizontal="center" vertical="center"/>
    </xf>
    <xf numFmtId="0" fontId="5" fillId="3" borderId="1" xfId="0" applyFont="1" applyFill="1" applyBorder="1" applyAlignment="1">
      <alignment horizontal="center" vertical="center" wrapText="1"/>
    </xf>
    <xf numFmtId="0" fontId="2" fillId="0" borderId="1" xfId="0" applyFont="1" applyBorder="1"/>
    <xf numFmtId="0" fontId="6" fillId="4" borderId="1" xfId="0" applyFont="1" applyFill="1" applyBorder="1" applyAlignment="1">
      <alignment horizontal="center" vertical="center" wrapText="1"/>
    </xf>
    <xf numFmtId="0" fontId="6" fillId="4" borderId="1" xfId="0" applyFont="1" applyFill="1" applyBorder="1" applyAlignment="1">
      <alignment horizontal="center" vertical="center"/>
    </xf>
    <xf numFmtId="0" fontId="6" fillId="6" borderId="1" xfId="0" applyFont="1" applyFill="1" applyBorder="1" applyAlignment="1">
      <alignment horizontal="center" vertical="center" wrapText="1"/>
    </xf>
    <xf numFmtId="0" fontId="6" fillId="6" borderId="1" xfId="0" applyFont="1" applyFill="1" applyBorder="1" applyAlignment="1">
      <alignment horizontal="center" vertical="center"/>
    </xf>
    <xf numFmtId="0" fontId="7" fillId="5" borderId="1" xfId="0" applyFont="1" applyFill="1" applyBorder="1" applyAlignment="1">
      <alignment horizontal="center" vertical="center"/>
    </xf>
    <xf numFmtId="0" fontId="4" fillId="0" borderId="5" xfId="3" applyFont="1" applyBorder="1">
      <alignment vertical="center"/>
    </xf>
    <xf numFmtId="0" fontId="3" fillId="0" borderId="5" xfId="3" applyFont="1" applyBorder="1" applyAlignment="1">
      <alignment horizontal="center" vertical="center"/>
    </xf>
    <xf numFmtId="0" fontId="3" fillId="0" borderId="1" xfId="0" applyFont="1" applyBorder="1" applyAlignment="1">
      <alignment horizontal="center" vertical="center"/>
    </xf>
    <xf numFmtId="164" fontId="3" fillId="0" borderId="1" xfId="0" applyNumberFormat="1" applyFont="1" applyBorder="1" applyAlignment="1">
      <alignment horizontal="center" vertical="center"/>
    </xf>
    <xf numFmtId="0" fontId="5" fillId="3" borderId="5" xfId="0" applyFont="1" applyFill="1" applyBorder="1" applyAlignment="1">
      <alignment horizontal="center" vertical="center" wrapText="1"/>
    </xf>
    <xf numFmtId="0" fontId="3" fillId="0" borderId="5" xfId="3" applyFont="1" applyBorder="1">
      <alignment vertical="center"/>
    </xf>
    <xf numFmtId="0" fontId="5" fillId="2" borderId="5" xfId="0" applyFont="1" applyFill="1" applyBorder="1" applyAlignment="1">
      <alignment horizontal="center" vertical="center" wrapText="1"/>
    </xf>
    <xf numFmtId="164" fontId="3" fillId="0" borderId="0" xfId="3" applyNumberFormat="1" applyFont="1">
      <alignment vertical="center"/>
    </xf>
    <xf numFmtId="0" fontId="7" fillId="5" borderId="6" xfId="0" applyFont="1" applyFill="1" applyBorder="1" applyAlignment="1">
      <alignment horizontal="center" vertical="center"/>
    </xf>
    <xf numFmtId="0" fontId="3" fillId="0" borderId="7" xfId="0" applyFont="1" applyBorder="1" applyAlignment="1">
      <alignment horizontal="center" vertical="center"/>
    </xf>
    <xf numFmtId="164" fontId="3" fillId="0" borderId="7" xfId="0" applyNumberFormat="1" applyFont="1" applyBorder="1" applyAlignment="1">
      <alignment horizontal="center" vertical="center"/>
    </xf>
    <xf numFmtId="0" fontId="0" fillId="0" borderId="0" xfId="0" applyAlignment="1">
      <alignment horizontal="left"/>
    </xf>
    <xf numFmtId="0" fontId="6" fillId="0" borderId="0" xfId="0" applyFont="1" applyAlignment="1">
      <alignment vertical="center"/>
    </xf>
    <xf numFmtId="0" fontId="7" fillId="0" borderId="0" xfId="0" applyFont="1" applyAlignment="1">
      <alignment horizontal="center" vertical="center" wrapText="1"/>
    </xf>
    <xf numFmtId="0" fontId="7" fillId="0" borderId="0" xfId="0" applyFont="1" applyAlignment="1">
      <alignment horizontal="center" vertical="center"/>
    </xf>
    <xf numFmtId="0" fontId="3" fillId="0" borderId="4" xfId="0" applyFont="1" applyBorder="1" applyAlignment="1">
      <alignment horizontal="center" vertical="center"/>
    </xf>
    <xf numFmtId="10" fontId="3" fillId="0" borderId="4" xfId="4" applyNumberFormat="1" applyFont="1" applyFill="1" applyBorder="1" applyAlignment="1">
      <alignment horizontal="center" vertical="center"/>
    </xf>
    <xf numFmtId="0" fontId="15" fillId="2" borderId="1" xfId="0" applyFont="1" applyFill="1" applyBorder="1" applyAlignment="1">
      <alignment vertical="center"/>
    </xf>
    <xf numFmtId="0" fontId="15" fillId="2" borderId="2" xfId="0" applyFont="1" applyFill="1" applyBorder="1" applyAlignment="1">
      <alignment horizontal="center" vertical="center"/>
    </xf>
    <xf numFmtId="0" fontId="16" fillId="0" borderId="3" xfId="0" applyFont="1" applyBorder="1" applyAlignment="1">
      <alignment horizontal="justify" vertical="center"/>
    </xf>
    <xf numFmtId="0" fontId="0" fillId="0" borderId="0" xfId="0" pivotButton="1"/>
    <xf numFmtId="164" fontId="3" fillId="0" borderId="5" xfId="3" applyNumberFormat="1" applyFont="1" applyBorder="1">
      <alignment vertical="center"/>
    </xf>
    <xf numFmtId="10" fontId="7" fillId="0" borderId="4" xfId="0" applyNumberFormat="1" applyFont="1" applyBorder="1" applyAlignment="1">
      <alignment horizontal="center" vertical="center"/>
    </xf>
    <xf numFmtId="0" fontId="3" fillId="0" borderId="5" xfId="3" applyFont="1" applyBorder="1" applyAlignment="1">
      <alignment horizontal="center" vertical="center" wrapText="1"/>
    </xf>
    <xf numFmtId="9" fontId="5" fillId="2" borderId="5" xfId="4" applyFont="1" applyFill="1" applyBorder="1" applyAlignment="1">
      <alignment horizontal="center" vertical="center" wrapText="1"/>
    </xf>
    <xf numFmtId="9" fontId="0" fillId="0" borderId="5" xfId="4" applyFont="1" applyBorder="1" applyAlignment="1">
      <alignment horizontal="center" vertical="center" wrapText="1"/>
    </xf>
    <xf numFmtId="9" fontId="12" fillId="8" borderId="5" xfId="4" applyFont="1" applyFill="1" applyBorder="1" applyAlignment="1">
      <alignment horizontal="center" vertical="center" wrapText="1"/>
    </xf>
    <xf numFmtId="9" fontId="0" fillId="0" borderId="5" xfId="4" applyFont="1" applyBorder="1" applyAlignment="1">
      <alignment vertical="center" wrapText="1"/>
    </xf>
    <xf numFmtId="9" fontId="0" fillId="0" borderId="5" xfId="4" applyFont="1" applyBorder="1" applyAlignment="1">
      <alignment horizontal="left" vertical="center" wrapText="1"/>
    </xf>
    <xf numFmtId="0" fontId="12" fillId="0" borderId="5" xfId="4" applyNumberFormat="1" applyFont="1" applyBorder="1" applyAlignment="1">
      <alignment horizontal="center" vertical="center" wrapText="1"/>
    </xf>
    <xf numFmtId="0" fontId="0" fillId="0" borderId="5" xfId="4" applyNumberFormat="1" applyFont="1" applyBorder="1" applyAlignment="1">
      <alignment horizontal="center" vertical="center" wrapText="1"/>
    </xf>
    <xf numFmtId="0" fontId="11" fillId="8" borderId="5" xfId="4" applyNumberFormat="1" applyFont="1" applyFill="1" applyBorder="1" applyAlignment="1">
      <alignment horizontal="center" vertical="center" wrapText="1"/>
    </xf>
    <xf numFmtId="0" fontId="0" fillId="0" borderId="5" xfId="4" applyNumberFormat="1" applyFont="1" applyBorder="1" applyAlignment="1">
      <alignment vertical="center" wrapText="1"/>
    </xf>
    <xf numFmtId="0" fontId="0" fillId="0" borderId="5" xfId="4" applyNumberFormat="1" applyFont="1" applyBorder="1" applyAlignment="1">
      <alignment horizontal="left" vertical="center" wrapText="1"/>
    </xf>
    <xf numFmtId="0" fontId="0" fillId="0" borderId="10" xfId="4" applyNumberFormat="1" applyFont="1" applyBorder="1" applyAlignment="1">
      <alignment horizontal="center" vertical="center" wrapText="1"/>
    </xf>
    <xf numFmtId="0" fontId="11" fillId="0" borderId="5" xfId="4" applyNumberFormat="1" applyFont="1" applyBorder="1" applyAlignment="1">
      <alignment horizontal="center" vertical="center" wrapText="1"/>
    </xf>
    <xf numFmtId="0" fontId="12" fillId="0" borderId="5" xfId="4" applyNumberFormat="1" applyFont="1" applyBorder="1" applyAlignment="1">
      <alignment horizontal="left" vertical="center" wrapText="1"/>
    </xf>
    <xf numFmtId="0" fontId="13" fillId="0" borderId="8" xfId="4" applyNumberFormat="1" applyFont="1" applyBorder="1" applyAlignment="1">
      <alignment horizontal="left" vertical="center" wrapText="1"/>
    </xf>
    <xf numFmtId="0" fontId="13" fillId="0" borderId="0" xfId="4" applyNumberFormat="1" applyFont="1" applyAlignment="1">
      <alignment horizontal="left" vertical="center" wrapText="1"/>
    </xf>
    <xf numFmtId="0" fontId="0" fillId="0" borderId="0" xfId="0" applyAlignment="1">
      <alignment horizontal="center" vertical="center" wrapText="1"/>
    </xf>
    <xf numFmtId="38" fontId="11" fillId="8" borderId="5" xfId="0" applyNumberFormat="1" applyFont="1" applyFill="1" applyBorder="1" applyAlignment="1">
      <alignment horizontal="center" vertical="center" wrapText="1"/>
    </xf>
    <xf numFmtId="0" fontId="0" fillId="0" borderId="14" xfId="4" applyNumberFormat="1" applyFont="1" applyBorder="1" applyAlignment="1">
      <alignment vertical="center" wrapText="1"/>
    </xf>
    <xf numFmtId="0" fontId="7" fillId="9" borderId="4" xfId="0" applyFont="1" applyFill="1" applyBorder="1" applyAlignment="1">
      <alignment horizontal="center" vertical="center" wrapText="1"/>
    </xf>
    <xf numFmtId="0" fontId="16" fillId="0" borderId="15" xfId="0" applyFont="1" applyBorder="1" applyAlignment="1">
      <alignment horizontal="justify" vertical="center"/>
    </xf>
    <xf numFmtId="9" fontId="17" fillId="8" borderId="5" xfId="4" applyFont="1" applyFill="1" applyBorder="1" applyAlignment="1">
      <alignment horizontal="center" vertical="center" wrapText="1"/>
    </xf>
    <xf numFmtId="0" fontId="18" fillId="0" borderId="0" xfId="0" applyFont="1"/>
    <xf numFmtId="0" fontId="14" fillId="0" borderId="5" xfId="4" applyNumberFormat="1" applyFont="1" applyBorder="1" applyAlignment="1">
      <alignment horizontal="center" vertical="center" wrapText="1"/>
    </xf>
    <xf numFmtId="9" fontId="14" fillId="8" borderId="5" xfId="4" applyFont="1" applyFill="1" applyBorder="1" applyAlignment="1">
      <alignment horizontal="left" vertical="center" wrapText="1"/>
    </xf>
    <xf numFmtId="9" fontId="14" fillId="8" borderId="5" xfId="4" applyFont="1" applyFill="1" applyBorder="1" applyAlignment="1">
      <alignment horizontal="center" vertical="center" wrapText="1"/>
    </xf>
    <xf numFmtId="38" fontId="3" fillId="8" borderId="5" xfId="0" applyNumberFormat="1" applyFont="1" applyFill="1" applyBorder="1" applyAlignment="1">
      <alignment horizontal="center" vertical="center" wrapText="1"/>
    </xf>
    <xf numFmtId="14" fontId="14" fillId="8" borderId="5" xfId="4" applyNumberFormat="1" applyFont="1" applyFill="1" applyBorder="1" applyAlignment="1">
      <alignment horizontal="center" vertical="center" wrapText="1"/>
    </xf>
    <xf numFmtId="0" fontId="3" fillId="8" borderId="5" xfId="4" applyNumberFormat="1" applyFont="1" applyFill="1" applyBorder="1" applyAlignment="1">
      <alignment horizontal="center" vertical="center" wrapText="1"/>
    </xf>
    <xf numFmtId="0" fontId="14" fillId="8" borderId="5" xfId="4" applyNumberFormat="1" applyFont="1" applyFill="1" applyBorder="1" applyAlignment="1">
      <alignment horizontal="center" vertical="center" wrapText="1"/>
    </xf>
    <xf numFmtId="0" fontId="14" fillId="8" borderId="5" xfId="4" applyNumberFormat="1" applyFont="1" applyFill="1" applyBorder="1" applyAlignment="1">
      <alignment horizontal="left" vertical="center" wrapText="1"/>
    </xf>
    <xf numFmtId="0" fontId="10" fillId="0" borderId="5" xfId="3" applyBorder="1">
      <alignment vertical="center"/>
    </xf>
    <xf numFmtId="9" fontId="10" fillId="0" borderId="5" xfId="3" applyNumberFormat="1" applyBorder="1">
      <alignment vertical="center"/>
    </xf>
    <xf numFmtId="0" fontId="3" fillId="5" borderId="1" xfId="0" applyFont="1" applyFill="1" applyBorder="1" applyAlignment="1">
      <alignment horizontal="center" vertical="center"/>
    </xf>
    <xf numFmtId="0" fontId="21" fillId="0" borderId="4" xfId="0" applyFont="1" applyBorder="1" applyAlignment="1">
      <alignment horizontal="justify" vertical="center"/>
    </xf>
    <xf numFmtId="0" fontId="3" fillId="0" borderId="3" xfId="0" applyFont="1" applyBorder="1" applyAlignment="1">
      <alignment horizontal="center" vertical="center"/>
    </xf>
    <xf numFmtId="0" fontId="5" fillId="2" borderId="15" xfId="0" applyFont="1" applyFill="1" applyBorder="1" applyAlignment="1">
      <alignment horizontal="center" vertical="center" wrapText="1"/>
    </xf>
    <xf numFmtId="0" fontId="5" fillId="3" borderId="16" xfId="0" applyFont="1" applyFill="1" applyBorder="1" applyAlignment="1">
      <alignment horizontal="center" vertical="center" wrapText="1"/>
    </xf>
    <xf numFmtId="0" fontId="20" fillId="0" borderId="0" xfId="0" applyFont="1"/>
    <xf numFmtId="0" fontId="0" fillId="0" borderId="5" xfId="0" applyBorder="1" applyAlignment="1">
      <alignment horizontal="center" vertical="center" wrapText="1"/>
    </xf>
    <xf numFmtId="0" fontId="14" fillId="0" borderId="0" xfId="0" applyFont="1" applyAlignment="1">
      <alignment vertical="center" wrapText="1"/>
    </xf>
    <xf numFmtId="0" fontId="0" fillId="0" borderId="5" xfId="0" applyBorder="1" applyAlignment="1">
      <alignment horizontal="left" vertical="center" wrapText="1"/>
    </xf>
    <xf numFmtId="0" fontId="14" fillId="0" borderId="5" xfId="4" applyNumberFormat="1" applyFont="1" applyBorder="1" applyAlignment="1">
      <alignment horizontal="left" vertical="center" wrapText="1"/>
    </xf>
    <xf numFmtId="3" fontId="11" fillId="8" borderId="5" xfId="4" applyNumberFormat="1" applyFont="1" applyFill="1" applyBorder="1" applyAlignment="1">
      <alignment horizontal="center" vertical="center" wrapText="1"/>
    </xf>
    <xf numFmtId="9" fontId="14" fillId="0" borderId="5" xfId="4" applyFont="1" applyBorder="1" applyAlignment="1">
      <alignment horizontal="center" vertical="center" wrapText="1"/>
    </xf>
    <xf numFmtId="0" fontId="22" fillId="0" borderId="0" xfId="0" applyFont="1"/>
    <xf numFmtId="0" fontId="20" fillId="0" borderId="17" xfId="0" applyFont="1" applyBorder="1"/>
    <xf numFmtId="0" fontId="14" fillId="0" borderId="5" xfId="4" applyNumberFormat="1" applyFont="1" applyFill="1" applyBorder="1" applyAlignment="1">
      <alignment horizontal="left" vertical="center" wrapText="1"/>
    </xf>
    <xf numFmtId="0" fontId="0" fillId="0" borderId="0" xfId="0" applyAlignment="1">
      <alignment vertical="center" wrapText="1"/>
    </xf>
    <xf numFmtId="3" fontId="0" fillId="0" borderId="0" xfId="0" applyNumberFormat="1" applyAlignment="1">
      <alignment horizontal="center" vertical="center"/>
    </xf>
    <xf numFmtId="0" fontId="0" fillId="0" borderId="0" xfId="0" applyAlignment="1">
      <alignment vertical="center"/>
    </xf>
    <xf numFmtId="0" fontId="7" fillId="0" borderId="1" xfId="0" applyFont="1" applyBorder="1" applyAlignment="1">
      <alignment horizontal="center" vertical="center"/>
    </xf>
    <xf numFmtId="9" fontId="14" fillId="8" borderId="0" xfId="4" applyFont="1" applyFill="1" applyBorder="1" applyAlignment="1">
      <alignment horizontal="center" vertical="center" wrapText="1"/>
    </xf>
    <xf numFmtId="0" fontId="0" fillId="0" borderId="0" xfId="4" applyNumberFormat="1" applyFont="1" applyAlignment="1">
      <alignment horizontal="center" vertical="center" wrapText="1"/>
    </xf>
    <xf numFmtId="0" fontId="4" fillId="0" borderId="5" xfId="3" applyFont="1" applyBorder="1" applyAlignment="1">
      <alignment horizontal="center" vertical="center"/>
    </xf>
    <xf numFmtId="0" fontId="20" fillId="0" borderId="5" xfId="0" applyFont="1" applyBorder="1" applyAlignment="1">
      <alignment horizontal="center"/>
    </xf>
    <xf numFmtId="0" fontId="3" fillId="0" borderId="16" xfId="0" applyFont="1" applyBorder="1" applyAlignment="1">
      <alignment horizontal="center" vertical="center"/>
    </xf>
    <xf numFmtId="0" fontId="16" fillId="0" borderId="1" xfId="0" applyFont="1" applyBorder="1" applyAlignment="1">
      <alignment horizontal="justify" vertical="center"/>
    </xf>
    <xf numFmtId="9" fontId="5" fillId="2" borderId="5" xfId="4" applyFont="1" applyFill="1" applyBorder="1" applyAlignment="1">
      <alignment horizontal="center" vertical="center" wrapText="1"/>
    </xf>
    <xf numFmtId="9" fontId="5" fillId="2" borderId="5" xfId="4" applyFont="1" applyFill="1" applyBorder="1" applyAlignment="1">
      <alignment vertical="center" wrapText="1"/>
    </xf>
    <xf numFmtId="9" fontId="5" fillId="2" borderId="11" xfId="4" applyFont="1" applyFill="1" applyBorder="1" applyAlignment="1">
      <alignment horizontal="center" vertical="center" wrapText="1"/>
    </xf>
    <xf numFmtId="9" fontId="5" fillId="2" borderId="12" xfId="4" applyFont="1" applyFill="1" applyBorder="1" applyAlignment="1">
      <alignment horizontal="center" vertical="center" wrapText="1"/>
    </xf>
    <xf numFmtId="9" fontId="5" fillId="2" borderId="13" xfId="4" applyFont="1" applyFill="1" applyBorder="1" applyAlignment="1">
      <alignment horizontal="center" vertical="center" wrapText="1"/>
    </xf>
    <xf numFmtId="9" fontId="19" fillId="2" borderId="5" xfId="4" applyFont="1" applyFill="1" applyBorder="1" applyAlignment="1">
      <alignment horizontal="center" vertical="center" wrapText="1"/>
    </xf>
    <xf numFmtId="0" fontId="4" fillId="7" borderId="5" xfId="3" applyFont="1" applyFill="1" applyBorder="1" applyAlignment="1">
      <alignment horizontal="left" vertical="center"/>
    </xf>
    <xf numFmtId="0" fontId="4" fillId="0" borderId="5" xfId="3" applyFont="1" applyBorder="1" applyAlignment="1">
      <alignment horizontal="left" vertical="center"/>
    </xf>
    <xf numFmtId="0" fontId="5" fillId="2" borderId="1" xfId="0" applyFont="1" applyFill="1" applyBorder="1" applyAlignment="1">
      <alignment horizontal="center" vertical="center" wrapText="1"/>
    </xf>
    <xf numFmtId="0" fontId="7" fillId="5" borderId="7" xfId="0" applyFont="1" applyFill="1" applyBorder="1" applyAlignment="1">
      <alignment horizontal="center" vertical="center"/>
    </xf>
    <xf numFmtId="0" fontId="7" fillId="5" borderId="9" xfId="0" applyFont="1" applyFill="1" applyBorder="1" applyAlignment="1">
      <alignment horizontal="center" vertical="center"/>
    </xf>
    <xf numFmtId="0" fontId="7" fillId="5" borderId="3" xfId="0" applyFont="1" applyFill="1" applyBorder="1" applyAlignment="1">
      <alignment horizontal="center" vertical="center"/>
    </xf>
    <xf numFmtId="0" fontId="6" fillId="4" borderId="1" xfId="0" applyFont="1" applyFill="1" applyBorder="1" applyAlignment="1">
      <alignment horizontal="center" vertical="center" wrapText="1"/>
    </xf>
    <xf numFmtId="0" fontId="6" fillId="4" borderId="1" xfId="0" applyFont="1" applyFill="1" applyBorder="1" applyAlignment="1">
      <alignment horizontal="center" vertical="center"/>
    </xf>
    <xf numFmtId="0" fontId="7" fillId="0" borderId="1" xfId="0" applyFont="1" applyBorder="1" applyAlignment="1">
      <alignment horizontal="center" vertical="center"/>
    </xf>
    <xf numFmtId="0" fontId="7" fillId="5" borderId="1" xfId="0" applyFont="1" applyFill="1" applyBorder="1" applyAlignment="1">
      <alignment horizontal="center" vertical="center"/>
    </xf>
    <xf numFmtId="0" fontId="3" fillId="5" borderId="1" xfId="0" applyFont="1" applyFill="1" applyBorder="1" applyAlignment="1">
      <alignment horizontal="center" vertical="center"/>
    </xf>
    <xf numFmtId="0" fontId="3" fillId="5" borderId="7" xfId="0" applyFont="1" applyFill="1" applyBorder="1" applyAlignment="1">
      <alignment horizontal="center" vertical="center"/>
    </xf>
    <xf numFmtId="0" fontId="3" fillId="5" borderId="3" xfId="0" applyFont="1" applyFill="1" applyBorder="1" applyAlignment="1">
      <alignment horizontal="center" vertical="center"/>
    </xf>
    <xf numFmtId="0" fontId="0" fillId="0" borderId="0" xfId="0" applyNumberFormat="1"/>
    <xf numFmtId="0" fontId="3" fillId="0" borderId="15" xfId="0" applyFont="1" applyFill="1" applyBorder="1" applyAlignment="1">
      <alignment horizontal="center" vertical="center"/>
    </xf>
  </cellXfs>
  <cellStyles count="5">
    <cellStyle name="Normal" xfId="0" builtinId="0"/>
    <cellStyle name="Normal 2" xfId="1" xr:uid="{014BAF9B-5F0E-4F0D-82C2-372D0F108588}"/>
    <cellStyle name="Normal 3" xfId="2" xr:uid="{1AF1FACB-AD25-4F5A-8221-8507A950F4C3}"/>
    <cellStyle name="Normal 4" xfId="3" xr:uid="{4378F925-CE2F-49EA-8C60-AB5DF7A3521D}"/>
    <cellStyle name="Percent" xfId="4"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person displayName="Jingni, Jingni XIE" id="{DA9C3FEF-E789-4F45-84BE-C8829CDFF5B5}" userId="S::jingnijingnixie@dbs.com::2b1734ac-ecc8-49d7-8722-f230f8791dcb"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na Shan NAN" refreshedDate="46117.725215856481" createdVersion="8" refreshedVersion="8" minRefreshableVersion="3" recordCount="7" xr:uid="{853FC404-8013-473C-ADE4-580639948FAD}">
  <cacheSource type="worksheet">
    <worksheetSource ref="A1:R8" sheet="1.Summary"/>
  </cacheSource>
  <cacheFields count="18">
    <cacheField name="#" numFmtId="0">
      <sharedItems containsString="0" containsBlank="1" containsNumber="1" containsInteger="1" minValue="1" maxValue="5"/>
    </cacheField>
    <cacheField name="Name of Company" numFmtId="0">
      <sharedItems containsBlank="1"/>
    </cacheField>
    <cacheField name="Brief description of business" numFmtId="0">
      <sharedItems containsBlank="1" longText="1"/>
    </cacheField>
    <cacheField name="Sector" numFmtId="0">
      <sharedItems containsBlank="1" count="9">
        <m/>
        <s v="TMT"/>
        <s v="Industrial"/>
        <s v="Consumer Staples"/>
        <s v="Healthcare and Pharmaceutical"/>
        <s v="Automotive" u="1"/>
        <s v="Energy" u="1"/>
        <s v="Healthcare" u="1"/>
        <s v="Materials" u="1"/>
      </sharedItems>
    </cacheField>
    <cacheField name="Industry" numFmtId="0">
      <sharedItems containsBlank="1"/>
    </cacheField>
    <cacheField name="Currency" numFmtId="0">
      <sharedItems containsBlank="1"/>
    </cacheField>
    <cacheField name="Revenue" numFmtId="0">
      <sharedItems containsBlank="1" containsMixedTypes="1" containsNumber="1" containsInteger="1" minValue="45569" maxValue="51459149"/>
    </cacheField>
    <cacheField name="Net Profit/(Loss)" numFmtId="0">
      <sharedItems containsBlank="1" containsMixedTypes="1" containsNumber="1" containsInteger="1" minValue="-1342376" maxValue="2426575"/>
    </cacheField>
    <cacheField name="Sponsor" numFmtId="0">
      <sharedItems containsBlank="1" count="21">
        <m/>
        <s v="CICC, Haitong"/>
        <s v="China Industrial Securities"/>
        <s v="CICC, CMS"/>
        <s v="China Securities"/>
        <s v="CCB, CMS"/>
        <s v="GTJA" u="1"/>
        <s v="CICC, BofA" u="1"/>
        <s v="Morgan Stanley, CICC" u="1"/>
        <s v="China Securities, CLSA" u="1"/>
        <s v="Yue Xiu" u="1"/>
        <s v="Huatai，BNP" u="1"/>
        <s v="CICC" u="1"/>
        <s v="CMBC, SPDB" u="1"/>
        <s v="MS, CICC, DB" u="1"/>
        <s v="CITIC, JPM" u="1"/>
        <s v="CMBC, BOCI" u="1"/>
        <s v="DB, CICC, GTJA" u="1"/>
        <s v="HT, China Securites," u="1"/>
        <s v="CITIC" u="1"/>
        <s v="UBS, CITIC " u="1"/>
      </sharedItems>
    </cacheField>
    <cacheField name="Overall coordinator" numFmtId="0">
      <sharedItems containsBlank="1"/>
    </cacheField>
    <cacheField name="Listing Application Date" numFmtId="0">
      <sharedItems containsBlank="1"/>
    </cacheField>
    <cacheField name="Controlling Shareholders" numFmtId="0">
      <sharedItems containsBlank="1" longText="1"/>
    </cacheField>
    <cacheField name="Temasek/GIC-Linked" numFmtId="0">
      <sharedItems containsBlank="1"/>
    </cacheField>
    <cacheField name="PE/VC involved" numFmtId="0">
      <sharedItems containsBlank="1" longText="1"/>
    </cacheField>
    <cacheField name="CN/HK/GBA" numFmtId="0">
      <sharedItems containsBlank="1"/>
    </cacheField>
    <cacheField name="Remarks" numFmtId="0">
      <sharedItems containsBlank="1"/>
    </cacheField>
    <cacheField name="Re-filing?" numFmtId="9">
      <sharedItems containsBlank="1"/>
    </cacheField>
    <cacheField name="Auditor"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yson Xicheng LU" refreshedDate="46153.0268005787" createdVersion="8" refreshedVersion="8" minRefreshableVersion="3" recordCount="26" xr:uid="{D6A33F2B-1330-4806-9AC2-01C02D1A93B6}">
  <cacheSource type="worksheet">
    <worksheetSource ref="A1:R27" sheet="1.Summary"/>
  </cacheSource>
  <cacheFields count="18">
    <cacheField name="#" numFmtId="0">
      <sharedItems containsString="0" containsBlank="1" containsNumber="1" containsInteger="1" minValue="1" maxValue="13"/>
    </cacheField>
    <cacheField name="Name of Company" numFmtId="0">
      <sharedItems containsBlank="1"/>
    </cacheField>
    <cacheField name="Brief description of business" numFmtId="0">
      <sharedItems containsBlank="1"/>
    </cacheField>
    <cacheField name="Sector" numFmtId="0">
      <sharedItems containsBlank="1" count="11">
        <m/>
        <s v="Healthcare"/>
        <s v="Consumer Staples"/>
        <s v="Energy"/>
        <s v="TMT"/>
        <s v="Automative"/>
        <s v="Consumer Discretionary"/>
        <s v="Industrial" u="1"/>
        <s v="Automotive" u="1"/>
        <s v="Healthcare and Pharmaceutical" u="1"/>
        <s v="Servicing" u="1"/>
      </sharedItems>
    </cacheField>
    <cacheField name="Industry" numFmtId="0">
      <sharedItems containsBlank="1"/>
    </cacheField>
    <cacheField name="Currency" numFmtId="0">
      <sharedItems containsBlank="1"/>
    </cacheField>
    <cacheField name="Revenue" numFmtId="0">
      <sharedItems containsBlank="1" containsMixedTypes="1" containsNumber="1" containsInteger="1" minValue="30556" maxValue="6662372"/>
    </cacheField>
    <cacheField name="Net Profit/(Loss)" numFmtId="0">
      <sharedItems containsBlank="1" containsMixedTypes="1" containsNumber="1" containsInteger="1" minValue="-916925" maxValue="483088"/>
    </cacheField>
    <cacheField name="Sponsor" numFmtId="0">
      <sharedItems containsBlank="1" count="30">
        <m/>
        <s v="Jefferies, BofA, Huatai"/>
        <s v="CITIC, CICC"/>
        <s v="CICC, CMS"/>
        <s v="South China Capital Limited"/>
        <s v="CICC, CMBC"/>
        <s v="China Securities"/>
        <s v="Citi"/>
        <s v="Huatai "/>
        <s v="CICC, CMB"/>
        <s v="CMS"/>
        <s v="CICC, CITIC"/>
        <s v="CICC" u="1"/>
        <s v="China Securities, GF" u="1"/>
        <s v="JPM, CLSA, China Securities" u="1"/>
        <s v="MS, CICC, GTJA, BofA" u="1"/>
        <s v="Haitong, CLSA" u="1"/>
        <s v="Haitong, CCB" u="1"/>
        <s v="CMBI, Sinolink" u="1"/>
        <s v="BoA, CMS, JP Morgan" u="1"/>
        <s v="Haitong" u="1"/>
        <s v="Huatai, CLSA, CMBI" u="1"/>
        <s v="CLSA" u="1"/>
        <s v="Haitong, BOCI" u="1"/>
        <s v="Huatai" u="1"/>
        <s v="GTJA" u="1"/>
        <s v="Jefferies, BofA, CICC" u="1"/>
        <s v="GF, ABCI" u="1"/>
        <s v="CICC, UBS" u="1"/>
        <s v="GS, BofA, JP Morgan" u="1"/>
      </sharedItems>
    </cacheField>
    <cacheField name="Overall coordinator" numFmtId="0">
      <sharedItems containsBlank="1"/>
    </cacheField>
    <cacheField name="Listing Application Date" numFmtId="0">
      <sharedItems containsNonDate="0" containsDate="1" containsString="0" containsBlank="1" minDate="2026-05-04T00:00:00" maxDate="2026-05-11T00:00:00"/>
    </cacheField>
    <cacheField name="Controlling Shareholders" numFmtId="0">
      <sharedItems containsBlank="1" longText="1"/>
    </cacheField>
    <cacheField name="Temasek/GIC-Linked" numFmtId="0">
      <sharedItems containsBlank="1"/>
    </cacheField>
    <cacheField name="PE/VC involved" numFmtId="0">
      <sharedItems containsBlank="1" longText="1"/>
    </cacheField>
    <cacheField name="CN/HK/GBA" numFmtId="0">
      <sharedItems containsBlank="1"/>
    </cacheField>
    <cacheField name="Remarks" numFmtId="0">
      <sharedItems containsBlank="1"/>
    </cacheField>
    <cacheField name="Re-filing?" numFmtId="0">
      <sharedItems containsBlank="1"/>
    </cacheField>
    <cacheField name="Auditor" numFmtId="0">
      <sharedItems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yson Xicheng LU" refreshedDate="46153.030335995369" createdVersion="8" refreshedVersion="8" minRefreshableVersion="3" recordCount="50" xr:uid="{7A7263D5-69C7-44E7-8DA3-FA9961902F51}">
  <cacheSource type="worksheet">
    <worksheetSource ref="D1:D1048576" sheet="1.Summary"/>
  </cacheSource>
  <cacheFields count="1">
    <cacheField name="Sector" numFmtId="0">
      <sharedItems containsBlank="1" count="27">
        <m/>
        <s v="Healthcare"/>
        <s v="Consumer Staples"/>
        <s v="Energy"/>
        <s v="TMT"/>
        <s v="Automative"/>
        <s v="Consumer Discretionary"/>
        <s v="Industrial" u="1"/>
        <s v="Automotive" u="1"/>
        <s v="Healthcare and Pharmaceutical" u="1"/>
        <s v="Servicing" u="1"/>
        <s v="Energy " u="1"/>
        <s v="Environment" u="1"/>
        <s v="Financial Service" u="1"/>
        <s v="Automotive " u="1"/>
        <s v="Automotive " u="1"/>
        <s v="Industrial " u="1"/>
        <s v="Materials" u="1"/>
        <s v="TMT " u="1"/>
        <s v="Industrials" u="1"/>
        <s v="Consumer Goods" u="1"/>
        <s v="Industrials " u="1"/>
        <s v="Financial Services" u="1"/>
        <s v="Healthcare " u="1"/>
        <s v="Commodity" u="1"/>
        <s v="Consumer - Discretionary" u="1"/>
        <s v="Real Estate" u="1"/>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yson Xicheng LU" refreshedDate="46153.030967245373" createdVersion="8" refreshedVersion="8" minRefreshableVersion="3" recordCount="48" xr:uid="{C9523307-4FB1-4E35-A1A3-9E4B6A20E412}">
  <cacheSource type="worksheet">
    <worksheetSource ref="Q1:Q1048576" sheet="1.Summary"/>
  </cacheSource>
  <cacheFields count="1">
    <cacheField name="Re-filing?" numFmtId="0">
      <sharedItems containsBlank="1" count="88">
        <m/>
        <s v="Y, last filled at 31/10/2025"/>
        <s v="Y, last filled at 30/10/2025"/>
        <s v="Y, last filled at 11/04/2025"/>
        <s v="N"/>
        <s v="Y, last filled at 06/11/2025"/>
        <s v="Y, last filled at 07/11/2025"/>
        <s v="Y, last filed on 19/09/2025" u="1"/>
        <s v="Y, last filed on 22/09/2025" u="1"/>
        <s v="Y, last filed on 29/09/2025" u="1"/>
        <s v="Y, last filed on 09/06/2025" u="1"/>
        <s v="Y, last filed on 25/08/2025" u="1"/>
        <s v="Y, last filed on 08/10/2025" u="1"/>
        <s v="Y, last filed on 28/10/2025" u="1"/>
        <s v="Y, last filed on 8/10/2025" u="1"/>
        <s v="Y, last filed on 28/08/2025" u="1"/>
        <s v="Y, last filed on 30/10/2025" u="1"/>
        <s v="Y, last filed on 27/10/2025" u="1"/>
        <s v="Y, last filed on 30/09/2025" u="1"/>
        <s v="Y, last filed on 03/07/2025" u="1"/>
        <s v="Y, last filed on 26/09/2025" u="1"/>
        <s v="Y, last filed on 09/02/2024" u="1"/>
        <s v="Y, last filed on 31/10/2025" u="1"/>
        <s v="Y, last filed on 28/09/2025" u="1"/>
        <s v="Y, last filed on 17/10/2025" u="1"/>
        <s v="Y, last filed on _x000a_05/11/2025" u="1"/>
        <s v="Y, last filed on 16/09/2025" u="1"/>
        <s v="Y, last filed on 25/09/2025" u="1"/>
        <s v="Y, last filed on 16/10/2025" u="1"/>
        <s v="N/A" u="1"/>
        <s v="Y. Last filed on 31/08/2025" u="1"/>
        <s v="This Application Proof was filed as confidential filing on June 25, 2025." u="1"/>
        <s v="Y. Last filed 25/09/2025" u="1"/>
        <s v="Y, last filed on 23/09/2025" u="1"/>
        <s v="Y, last filed on 26/06/2025" u="1"/>
        <s v="Y, last filed on 30/12/2024" u="1"/>
        <s v="Y, last filed on 12/09/2025" u="1"/>
        <s v="Y, last filed on 24/12/2025" u="1"/>
        <s v="Y, last filed on 24/09/2025" u="1"/>
        <s v="Y, last filed on 18/08/2025" u="1"/>
        <s v="Y, last filed on 06/01/2025, 29/08/2025" u="1"/>
        <s v="Y, last filed on 30/06/2025" u="1"/>
        <s v="Y, last filed on 27/06/2025" u="1"/>
        <s v="Y, last filed on 29/06/2025" u="1"/>
        <s v="Y, last filed on 29/05/2025" u="1"/>
        <s v="Y, last filed PHIP on 27/06/2025" u="1"/>
        <s v="Y, last filed on 29/08/2025" u="1"/>
        <s v="Y, last filed on 06/08/2025" u="1"/>
        <s v="Y, last filed on 15/09/2025" u="1"/>
        <s v="Y, last filed on 20/08/2025" u="1"/>
        <s v="Y, last filed on 15/9/2025" u="1"/>
        <s v="Y, last filed on 08/09/2025, 21/02/2025" u="1"/>
        <s v="Y, last filed on 14/08/2025" u="1"/>
        <s v="Y, last filed on 29/07/2025" u="1"/>
        <s v="Y, last filed on 11/09/2025" u="1"/>
        <s v="Y, last filed on 27/08/2025" u="1"/>
        <s v="Y, last filed on 16/06/2025" u="1"/>
        <s v="Y, last filed on 31/08/2025" u="1"/>
        <s v="Y, last filed on 08/09/2025" u="1"/>
        <s v="Y, last filed on 26/08/2025" u="1"/>
        <s v="Y, last filed on 5/09/2025" u="1"/>
        <s v="Y, last filed on 20/8/2025" u="1"/>
        <s v="Y, last filed on 22/8/2025" u="1"/>
        <s v="Y, last filed on 21/8/2025" u="1"/>
        <s v="Y, last filed on 13/8/2025" u="1"/>
        <s v="Y, last filed on 18/8/2025" u="1"/>
        <s v="Y, last filed on 26/8/2025" u="1"/>
        <s v=" Yes (Previously filed for a US listing with the SEC on December 2, 2024, and a secondary listing with SGX on December 12, 2024, before shifting focus to the current HKEX primary listing)" u="1"/>
        <s v="Y, last filed on 30/7/2025" u="1"/>
        <s v="Y, last filed on 25/1/2026" u="1"/>
        <s v="Y_x000a_on 30/3/2023" u="1"/>
        <s v="Y_x000a_on 30/06/2025" u="1"/>
        <s v="Y on 30/07/2025" u="1"/>
        <s v="Y on 07/07/2025" u="1"/>
        <s v="Y on 30/05/2025" u="1"/>
        <s v="Y on 27/06/2025" u="1"/>
        <s v="Y, last filed on 9/1/2026" u="1"/>
        <s v="Y, last filed on 30/6/2025" u="1"/>
        <s v="Y, last filed on 25/6/2025" u="1"/>
        <s v="Y, last filed o 27/6/2025" u="1"/>
        <s v="Y, last filed on 07/07/2025 and 03/01/2025" u="1"/>
        <s v="Y, last filed on 20/06/2025" u="1"/>
        <s v="Y, last filed on 17/06/2025" u="1"/>
        <s v="Y, last filed on 13/6/2025" u="1"/>
        <s v="Y, last filed on 18/06/2025" u="1"/>
        <s v="Y, last filed on 23/06/2025" u="1"/>
        <s v="Y, last filed on 19/06/2025" u="1"/>
        <s v="Y, last filed on 11/06/2025" u="1"/>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yson Xicheng LU" refreshedDate="46153.037657986111" createdVersion="8" refreshedVersion="8" minRefreshableVersion="3" recordCount="48" xr:uid="{E331A6B7-5A53-47E9-B73C-195F07AC620F}">
  <cacheSource type="worksheet">
    <worksheetSource ref="R1:R1048576" sheet="1.Summary"/>
  </cacheSource>
  <cacheFields count="1">
    <cacheField name="Auditor" numFmtId="0">
      <sharedItems containsBlank="1" count="24">
        <m/>
        <s v="EY"/>
        <s v="PwC"/>
        <s v="Deloitte "/>
        <s v="KPMG"/>
        <s v="Grant Thornton Hong Kong Limited"/>
        <s v="Deloitte"/>
        <s v="Confucius International" u="1"/>
        <s v="Grant Thornton" u="1"/>
        <s v="SHINEWING" u="1"/>
        <s v="BDO" u="1"/>
        <s v="Baker Tilly" u="1"/>
        <s v="Rongcheng" u="1"/>
        <s v="Rong Cheng" u="1"/>
        <s v="Forvis Mazars" u="1"/>
        <s v="Confucius International CPA Limited" u="1"/>
        <s v="RSM" u="1"/>
        <s v="BDO Limited" u="1"/>
        <s v="Confucius " u="1"/>
        <s v="ZHONGHUI ANDA CPA Limited." u="1"/>
        <s v="SHINEWING " u="1"/>
        <s v="RSM Hong Kong" u="1"/>
        <s v="BDO " u="1"/>
        <s v="HLB Hodgson Impey Cheng" u="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m/>
    <m/>
    <m/>
    <x v="0"/>
    <m/>
    <m/>
    <m/>
    <m/>
    <x v="0"/>
    <m/>
    <m/>
    <m/>
    <m/>
    <m/>
    <m/>
    <m/>
    <m/>
    <m/>
  </r>
  <r>
    <m/>
    <m/>
    <m/>
    <x v="0"/>
    <m/>
    <m/>
    <s v="(Latest FY’000)"/>
    <s v="(Latest FY’000)"/>
    <x v="0"/>
    <m/>
    <m/>
    <m/>
    <m/>
    <m/>
    <m/>
    <m/>
    <m/>
    <m/>
  </r>
  <r>
    <n v="1"/>
    <s v="Shanghai Xizhi Technology Co., Ltd."/>
    <s v="An optoelectronic computing firm that has transformed cutting-edge research and developed multiple technologies offering low latency, high throughput, and low power consumption"/>
    <x v="1"/>
    <s v="Optoelectronic computing"/>
    <s v="RMB"/>
    <n v="106368"/>
    <n v="-1342376"/>
    <x v="1"/>
    <s v="CICC, Haitong, HSBC"/>
    <s v="30/03/2026"/>
    <s v="1. Dr. Shen Yichen (沈亦晨)_x000a_2. LightAI EIP Holdings LP_x000a_3. Mach C LP_x000a_4. Shanghai Youguang Zhiyuan Enterprise Management_x000a_Partnership (LP)_x000a_5. Shanghai Youguang Shuoran Enterprise Management Company Limited_x000a_6. Shanghai Youguang Yihui Enterprise Management Partnership (LP)_x000a_7. Deep Harbor Limited_x000a_8. Foong Jun Zhe_x000a_9. Shanghai Youguang Yuning Enterprise Management Co., Ltd._x000a_10. Mr. Zhang Hong (張弘)"/>
    <s v="N"/>
    <s v="1. Tencent Holdings Limited_x000a_2. Shanghai CM Digital Transformation Fund General Partner, L.P._x000a_3. China Venture Capital Innovation Private Fund Management Co., Ltd._x000a_4. Shanghai Fortera Capital Co., Ltd._x000a_5. CICC Capital Operation Co., Ltd._x000a_6. Vertex Ventures China GP IV L.P_x000a_7. Beijing CASSTAR Venture Capital Investment Management Partnership (Limited Partnership)_x000a_8. Shaanxi Kemai Investment Management Partnership (Limited Partnership)_x000a_9. Xiamen HongShan Kunteng Investment Partnership (Limited Partnership)_x000a_10. HSG Growth VI Management, L.P_x000a_11. HSG Offshore Fund Management, L.P_x000a_12. Shanghai Pudong Private Equity Fund Management Co., Ltd._x000a_"/>
    <s v="Global"/>
    <s v="18C"/>
    <s v="N"/>
    <s v="PwC"/>
  </r>
  <r>
    <n v="2"/>
    <s v="Kunshan Wanyuantong Electronics Technology Co., Ltd."/>
    <s v="A high-tech enterprise specializing in the research, development, production and sale of printed circuit boards (PCBs) and operates under a dual-track production strategy that combines large-volume manufacturing with flexible small- to medium-batch production"/>
    <x v="2"/>
    <s v="Printed circuit boards"/>
    <s v="RMB"/>
    <n v="1179885"/>
    <n v="124714"/>
    <x v="2"/>
    <s v="China Industrial Securities"/>
    <s v="30/03/2026"/>
    <s v="1. Mr. Wang Xuegen (王雪根)_x000a_2. Dongtai Suiding Enterprise Management Center Partnership (Limited Partnership)_x000a_3. Dongtai Guangtongyuan Enterprise Management Center_x000a_Partnership (Limited Partnership)"/>
    <s v="N"/>
    <s v="N/A"/>
    <s v="CN"/>
    <s v="A+H (920060.BJ)"/>
    <s v="N"/>
    <s v="Rongcheng"/>
  </r>
  <r>
    <n v="3"/>
    <s v="FUJIAN WANCHEN FOOD GROUP CO., LTD."/>
    <s v="A large-scale and fast-growing snack and beverage retailer that offers multi-brand, multi-category snack and beverage products at competitive prices through a_x000a_streamlined and cost-efficient supply chain"/>
    <x v="3"/>
    <s v="Snack and beverage retail"/>
    <s v="RMB"/>
    <n v="51459149"/>
    <n v="2426575"/>
    <x v="3"/>
    <s v="CICC, CMS, BNP"/>
    <s v="30/03/2026"/>
    <s v="1. Fujian Mimosa Agriculture Development Co., Ltd._x000a_2. Zhangzhou Jinwanchen Investment Co., Ltd._x000a_3. Mr. Wang Zening (王澤寧)_x000a_4. Mr. Wang Liqing (王麗卿)"/>
    <s v="N"/>
    <s v="N/A"/>
    <s v="CN"/>
    <s v="A+H (300972.SZ)"/>
    <s v="N"/>
    <s v="Forvis Mazars"/>
  </r>
  <r>
    <n v="4"/>
    <s v="CHINA MICRO SEMICON (SHENZHEN) LIMITED"/>
    <s v="A leading intelligent control solutions provider focusing on the design and delivery of integrated circuit chips, with microcontroller units (MCUs) at the core of its offerings"/>
    <x v="2"/>
    <s v="Semiconductor"/>
    <s v="RMB"/>
    <n v="1122150"/>
    <n v="284182"/>
    <x v="4"/>
    <s v="China Securities, CMBI, CMS"/>
    <s v="30/03/2026"/>
    <s v="1. Mr. Yang Yong (楊勇)_x000a_2. Mr. Zhou Yan (周彥)_x000a_3. Mr. Zhou Fei (周飛)"/>
    <s v="N"/>
    <s v="N/A"/>
    <s v="CN"/>
    <s v="A+H (688380.SH)"/>
    <s v="Y, last filed on 23/09/2025"/>
    <s v="BDO"/>
  </r>
  <r>
    <n v="5"/>
    <s v="Shaanxi Micot Pharmaceutical Technology Co., Ltd."/>
    <s v="A biotechnology company specializing in the discovery, development and commercialization of bi-/multi-specific peptide drugs for the treatment of metabolic diseases as well as cardiovascular and cerebrovascular diseases"/>
    <x v="4"/>
    <s v="Biotechnology"/>
    <s v="RMB"/>
    <n v="45569"/>
    <n v="-184914"/>
    <x v="5"/>
    <s v="CCB, CMS"/>
    <s v="31/03/2026"/>
    <s v="1. Dr. Wang Bing (王冰)_x000a_2. Dr. Wang Mei (王梅)_x000a_3. Xi’an Zhongrui Hongyuan Information Technology Partnership (Limited Partnership)_x000a_4. Xi’an Zhongrui Zekang Enterprise Management Consulting Co., Ltd."/>
    <s v="N"/>
    <s v="1. Northern Light Venture Capital_x000a_2. Hainan Nivmai Enterprise Management Partnership (Limited Partnership)_x000a_3. ZheShang Venture Capital Co., Ltd._x000a_4. Shenzhen Chongshi Private Equity Investment Fund Management Co., Ltd._x000a_5. Suzhou High-Tech Venture Capital Group Rongsheng Investment Management Co., Ltd._x000a_6. Shaanxi Detongfufang Investment Management Co., Ltd._x000a_7.  Xi’an Tongshang Investment Partnership (Limited Partnership)_x000a_8. Jingning Fengchuan Jiahong Equity Investment Partnership (Limited Partnership)_x000a_9. Xi’an Jingcheng Daxing Enterprise Management Partnership (Limited Partnership)_x000a_10. Tangxing Tianxia Investment Management (Xi'an) Co., Ltd._x000a_11. Shaanxi Growth Enterprise Leading Fund Co., Ltd._x000a_12. Shanghai Shanjin Private Equity Fund Management Co., Ltd._x000a_13. Changan Huitong Private Equity Fund Management Co., Ltd._x000a_14. Shaanxi Growth Enterprise Guidance Co._x000a_15. Hainan Wanfeng Investment Partnership (Limited Partnership)_x000a_16. Hangzhou Quandewang Enterprise Management Co., Ltd._x000a_17. Hainan Ruizheng Enterprise Management Partnership (Limited Partnership)_x000a_18. Shengzhou Yinyun Heman Enterprise Management Partnership (Limited Partnership)_x000a_19. Maicheng Century (Xi’an) Enterprise Management Partnership Enterprise (Limited Partnership)_x000a_20. Jinan Liuji Enterprise Management Partnership Enterprise (Limited Partnership)_x000a_21. Shaanxi Jinzi Fund Management Co., Ltd_x000a_22. Xi'an Agricultural Investment Management Co., Ltd_x000a_23. Shaanxi New Era Capital Management Co., Ltd."/>
    <s v="CN"/>
    <s v="N"/>
    <s v="Y, last filed on 29/09/2025"/>
    <s v="Deloitte"/>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
  <r>
    <m/>
    <m/>
    <m/>
    <x v="0"/>
    <m/>
    <m/>
    <m/>
    <m/>
    <x v="0"/>
    <m/>
    <m/>
    <m/>
    <m/>
    <m/>
    <m/>
    <m/>
    <m/>
    <m/>
  </r>
  <r>
    <m/>
    <m/>
    <m/>
    <x v="0"/>
    <m/>
    <m/>
    <s v="(Latest FY’000)"/>
    <s v="(Latest FY’000)"/>
    <x v="0"/>
    <m/>
    <m/>
    <m/>
    <m/>
    <m/>
    <m/>
    <m/>
    <m/>
    <m/>
  </r>
  <r>
    <n v="1"/>
    <s v="Alebund Pharmaceuticals (Jiangsu) Limited"/>
    <s v="A renal-focused biopharmaceutical company dedicated to the discovery, development, and commercialization of innovative therapies for chronic kidney disease (CKD) and its complications (e.g., hyperphosphatemia, renal anemia, IgA nephropathy)."/>
    <x v="1"/>
    <s v="Biotechnology "/>
    <s v="RMB"/>
    <n v="30556"/>
    <n v="-751819"/>
    <x v="1"/>
    <s v="Jefferies, BofA, Huatai, BOCI, CLSA"/>
    <d v="2026-05-04T00:00:00"/>
    <s v="Single Largest Shareholders Group (comprising Aleyuan Inc., Dr. Gavin Guoyao Xia, AleyuanGX, Dr. Jin Tian, AleyuanJT, Aleyuan Limited, Shanghai Chunyuan, Yangzhou Liyue, Ms. Wang Yun, Dr. Zhang Huading, Shanghai Yuanyue, BCeGFR, Fortuna, and Dr. Shu Chutian), holding approximately 24.50% in aggregate."/>
    <s v="Yes "/>
    <s v="Tencent, Guojin Group, LAV USD, Quan Capital, Loyal Valley Capital, Shanghai Liyi, GIC, 3H, 3E, Dezhou Liangyi, Huagai Capital, Beijing New Dynamic II, Sherpa, Octagon, Morningside Venture."/>
    <s v="CN "/>
    <s v="18A"/>
    <s v="Y, last filled at 31/10/2025"/>
    <s v="EY"/>
  </r>
  <r>
    <n v="2"/>
    <s v="Hangzhou Qiandaohu Xunlong Sci-tech Co., Ltd."/>
    <s v="The world's largest caviar company with a vertically integrated value chain covering sturgeon breeding, aquaculture, processing, and global marketing under the &quot;KALUGA QUEEN&quot; brand."/>
    <x v="2"/>
    <s v="Packaged Foods"/>
    <s v="RMB"/>
    <n v="769006"/>
    <n v="365029"/>
    <x v="2"/>
    <s v="CITIC, CICC"/>
    <d v="2026-05-04T00:00:00"/>
    <s v="Mr. Wang and his controlled entities (Chunan Kalujiaren, Hangzhou Kalujiaren, and Hangzhou Xunlongren)"/>
    <s v="No"/>
    <s v="Fengshi Jinghe; CITIC Securities Investment; Jinshi Kunxiang; Qihui Runjin; Yuansheng Jiahao; Fengshi Hechuang; Shiyue Venture"/>
    <s v="CN "/>
    <s v="N "/>
    <s v="Y, last filled at 30/10/2025"/>
    <s v="PwC"/>
  </r>
  <r>
    <n v="3"/>
    <s v="Jiangxi Institute of Biological Products Inc."/>
    <s v="The largest provider and exporter of human tetanus antitoxins (Human TAT) in China and a fully integrated antiserum platform company offering human and veterinary pharmaceutical products."/>
    <x v="1"/>
    <s v="Biotechnology "/>
    <s v="RMB"/>
    <n v="235408"/>
    <n v="94794"/>
    <x v="3"/>
    <s v="CICC, CMS"/>
    <d v="2026-05-04T00:00:00"/>
    <s v="Ms. JING Yue, Hainan Zhizheng Biotechnology Development Co., Ltd., and Shenzhen Qianhai Tianzheng Biotechnology Co., Ltd. (Ms. JING Yue exercises approximately 76.64% voting rights)"/>
    <s v="No"/>
    <s v="Chifeng Bo-en Jingtian, Ruiqingxiang Investment, Hanxin Pharmaceutical, Hailei Pharmaceutical, High-tech Investment Zhiyuan, High-tech Investment Start-up, Xiaohe VC, Hejia Jiangsheng, Jiaxing Jiaci, Heli No. 7, Lingyao Investment"/>
    <s v="CN "/>
    <s v="N "/>
    <s v="Y, last filled at 11/04/2025"/>
    <s v="Deloitte "/>
  </r>
  <r>
    <n v="4"/>
    <s v="Zephyr Intelligent System (Shanghai) Co., Ltd."/>
    <s v="A leading one-stop new energy battery thermal safety solutions provider in China, offering integrated four-level closed-loop safety solutions (L1 to L4 systems) for EV and BESS projects."/>
    <x v="3"/>
    <s v="Thermal Safety Solutions"/>
    <s v="RMB"/>
    <n v="916018"/>
    <n v="-28567"/>
    <x v="4"/>
    <s v="South China Securities Limited; Livermore Holdings Limited"/>
    <d v="2026-05-04T00:00:00"/>
    <s v="Mr. Li Fei, Ms. Cao Jiaping, Jiafeng Lihe, Shanghai Yanhang LLP, Shanghai Changyan LLP, and Shanghai CY LLP (80.22% aggregate interest)"/>
    <s v="No"/>
    <s v="FAW Innovation Fund, Kaibo Chengdu Fund, China Reform Sci-Tech II Fund, Zhangjiang Torch, Xuzhou Chanfa Fund, Shanghai Longxiang"/>
    <s v="CN "/>
    <s v="N "/>
    <s v="N"/>
    <s v="EY"/>
  </r>
  <r>
    <n v="5"/>
    <s v="KEYTOP PARKING INC."/>
    <s v="A smart parking space operator in China providing integrated smart parking systems, management services, and facility/platform operations."/>
    <x v="4"/>
    <s v="Smart Parking Operations"/>
    <s v="RMB"/>
    <s v="830,615 "/>
    <n v="93678"/>
    <x v="5"/>
    <s v="CICC, CMBC"/>
    <d v="2026-05-05T00:00:00"/>
    <s v="Mr. Sun Longxi, Mr. Huang Jinlian, and Xiamen Hualong Electronics Technology Co., Ltd."/>
    <s v="No"/>
    <s v="Tencent Holdings Limited; Falcon Capital; Hongtai Aplus; Fuiou Group; Fujian Huamin Industrial Group; Shanghai Water Conservancy Investment Construction Group; Century Tengyun; Yusheng Asset Management; Jianji Capital."/>
    <s v="CN "/>
    <s v="N "/>
    <s v="Y, last filled at 31/10/2025"/>
    <s v="KPMG"/>
  </r>
  <r>
    <n v="6"/>
    <s v="Kexing Biopharm Co., Ltd."/>
    <s v="An innovative biopharmaceutical company specializing in the R&amp;D, manufacturing, and commercialization of recombinant proteins, antibodies, and targeted-delivery therapies, focusing on oncology and autoimmune diseases."/>
    <x v="1"/>
    <s v="Biotechnology "/>
    <s v="RMB"/>
    <n v="1534028"/>
    <n v="152745"/>
    <x v="6"/>
    <s v="China Securities, Huatai, CMBI, BOCI"/>
    <d v="2026-05-06T00:00:00"/>
    <s v="Mr. Deng Xueqin, Ms. Wen Shaozhen, Shenzhen Keyi Pharmaceutical Holdings Co., Ltd., Genzon Investment Group Co., Ltd., Shenzhen Zhengzhong Yisheng Investment Co., Ltd."/>
    <s v="No"/>
    <s v="Genzon Investment Group Co., Ltd. , Shenzhen Hengjian Enterprise Management Partnership, Shenzhen Yuzao Enterprise Management Partnership, Shanghai Changjiang Wealth Asset Management Co., Ltd. (Employee Strategic Plan)"/>
    <s v="CN "/>
    <s v="A+H (688136.SH)"/>
    <s v="Y, last filled at 06/11/2025"/>
    <s v="Grant Thornton Hong Kong Limited"/>
  </r>
  <r>
    <n v="7"/>
    <s v="Yusheng Holdings Limited"/>
    <s v="Leading used vehicle transaction platform in China operating the &quot;Taocheche&quot; brand with 62 self-operated sales centers."/>
    <x v="2"/>
    <s v="Used Vehicle Transaction Platform"/>
    <s v="RMB"/>
    <n v="6662372"/>
    <n v="-916925"/>
    <x v="7"/>
    <s v="Citi, CLSA"/>
    <d v="2026-05-06T00:00:00"/>
    <s v="Mr. Jiang Dong, East Success Ventures Limited, VehiclePro LP"/>
    <s v="No"/>
    <s v="Tencent, JD, Yixin Group, Bitauto, Hammer Capital"/>
    <s v="CN "/>
    <s v="N "/>
    <s v="N"/>
    <s v="KPMG"/>
  </r>
  <r>
    <n v="8"/>
    <s v="Crealights Technology Co., Ltd."/>
    <s v="Provider of high-speed optoelectronic interconnection products (optical transceivers and active optical cables) with end-to-end capabilities from chip design to manufacturing, focusing on silicon photonics (SiPh) for AI data centers."/>
    <x v="4"/>
    <s v="Semiconductors"/>
    <s v="RMB"/>
    <n v="1221063"/>
    <n v="-100138"/>
    <x v="8"/>
    <s v="Huatai "/>
    <d v="2026-05-07T00:00:00"/>
    <s v="Dr. Hu Zhaoyang, Suzhou Haiyi, and Suzhou Haixu "/>
    <s v="No"/>
    <s v="Alibaba Group Holding Limited; Xiaomi Corporation; Suzhou Industrial Park Management Committee; Suzhou Huqiu District Government; Jiangsu Provincial Government; Beijing Municipal Government; Bondshine Capital; Walden Alps Investment Management; Tianjin TEDA Venture Capital Group Corporation Limited; Fortune-Tech Capital; Jiangsu Zhongtian Technology Co., Ltd.; Bohua Capital; Beijing Haiju Assistance Investment Management Co., Ltd.; Nantong Haifu CCI Capital Ltd; Shanghai Handuo Capital Management Co., Ltd.; Shanghai Changshun Jianye Consulting Management Co., Ltd.; Gongqingcheng Juchuang Investment Partnership; Jiaxing Gaohe Venture Capital Partnership."/>
    <s v="CN "/>
    <s v="N "/>
    <s v="Y, last filled at 31/10/2025"/>
    <s v="EY"/>
  </r>
  <r>
    <n v="9"/>
    <s v="DeepWay Technology Co., Ltd."/>
    <s v="Technology-driven provider of new energy heavy-duty trucks and intelligent road freight technologies (autonomous driving/platooning)."/>
    <x v="5"/>
    <s v="Intelligent Logistics"/>
    <s v="RMB"/>
    <s v="3,961,106 "/>
    <n v="-649066"/>
    <x v="9"/>
    <s v="CICC, CMBI, BOCOM, BOCI, CCBI, ICIBI"/>
    <d v="2026-05-07T00:00:00"/>
    <s v="Mr. Wan Jun and his acting-in-concert group (Shanghai Junwei, Beijing Chengyue, Shanghai Junsheng, Shanghai Junyuan)"/>
    <s v="No"/>
    <s v="Baidu, Inc.; BlueFive Asset Management; China Cinda Asset Management Co., Ltd.; Qiming Venture Partners; Shandong Provincial Department of Finance; CITIC Limited; China Construction Bank Corporation; Anhui Provincial Government; Huagai Capital; Lenovo Group Limited; ABC Impact; Weiqiao Group; China Merchants Group; China Reform Holdings Corporation; Feixi County Government; Tsinghua University; State Power Investment Corporation; Sunwoda Electronic Co., Ltd.; Blue Lake Capital; Bank of Communications Co., Ltd.; NGS Super; Xiamen Municipal Government; WorldEx Supply Chain Technology; Changxing County Finance Bureau; Beijing Guangyue Private Equity Fund Management."/>
    <s v="CN "/>
    <s v="N "/>
    <s v="Y, last filled at 06/11/2025"/>
    <s v="Deloitte"/>
  </r>
  <r>
    <n v="10"/>
    <s v="Jiangsu Silicon Integrity Semiconductor Technology Co., Ltd."/>
    <s v=" A provider of semiconductor assembly and testing technical solutions (OSAT model), specializing in advanced packaging designs (QFN, BGA, LGA, WLP, and 2.5D/3D)."/>
    <x v="4"/>
    <s v="Semiconductors"/>
    <s v="RMB"/>
    <n v="1012159"/>
    <n v="483088"/>
    <x v="8"/>
    <s v="Huatai, Huafu"/>
    <d v="2026-05-08T00:00:00"/>
    <s v="Mr. Zhang Guodong, Mr. Pan Mingdong, Mr. Liu Yi, Ningtaixin, and Ningpuxin"/>
    <s v="No"/>
    <s v="Ningtaixin; Ningpuxin; Xinlianxin; Nanjing Yuanjun; FirstLight Hongtong; FirstLight Growth; Jiaxing Taiying; Shenzhen Gongchuang; Xiaomi Changjiang; Xinchao Jixiang; Xinchao Chenguang; Jiangsu Jiequan; Xunxing Investment; Ningbo Xinshuo; Huaye High Tech; Huaye Xuchuang; Hengrui; Jinpu Pengyuan; Jinpu Consumer; Jinpu Technology; Longxin Intelligent; Longxin Juneng; Suzhou Fenhu; Zhuhai Hongtu; Shenzhen Hongtu; Xinxiang Rongcheng; Kunde Partnership; Azure VC; Qixin Yuanchuang; Gaintech; Zhuoyuan Investment; Yuanhe Puhua; Shanghai Quanqi; Xinchao Group; Ningbo Chentong; Sumin Investment; Sumin Fengfan; Longcheer Technology; Xianfeng Investment."/>
    <s v="CN "/>
    <s v="N "/>
    <s v="Y, last filled at 31/10/2025"/>
    <s v="EY"/>
  </r>
  <r>
    <n v="11"/>
    <s v="Guangdong Tinoos Group Co., Limited"/>
    <s v="Vertically integrated full-industry-chain operator for Qingyuan Chickens, pigs, and related meat products, covering breeding, eco-farming, feed production, and food processing."/>
    <x v="2"/>
    <s v="Agricultural Products"/>
    <s v="RMB"/>
    <n v="4261433"/>
    <n v="-102185"/>
    <x v="10"/>
    <s v="CMS"/>
    <d v="2026-05-08T00:00:00"/>
    <s v="Xiao Wenqing; Zhang Zhengfen"/>
    <s v="No"/>
    <s v="IDG Capital; Zhongshan Liandong Technology Development Co., Ltd.; Zhongshan Liandong Asset Management Co., Ltd.; Continental Capital Limited; Guangdong Provincial State Farms Group Corporation; Guangdong Hengjian Investment Holding Co., Ltd.; Guangdong Bixiang Science and Technology Development Co., Ltd.; Guangdong Guoqiang Charity Foundation; Zhaoken Capital Management (Beijing) Co., Ltd.; China Agricultural Reclamation Industry Development Fund; Guizhou Modern Agricultural and Rural Development Equity Investment Fund."/>
    <s v="CN "/>
    <s v="N "/>
    <s v="N"/>
    <s v="KPMG"/>
  </r>
  <r>
    <n v="12"/>
    <s v="GoNature Outdoor Sports Group Co., Ltd."/>
    <s v="A high-growth performance outdoor garment brand in China that designs and sells apparel, footwear, and equipment under the brands Pelliot and Excelsior. It is recognized as the inventor of the one-piece hardshell down coat in China."/>
    <x v="6"/>
    <s v="Apparel &amp; Luxury Goods"/>
    <s v="RMB"/>
    <s v="2,792,988 "/>
    <n v="355674"/>
    <x v="11"/>
    <s v="CICC, CLSA"/>
    <d v="2026-05-08T00:00:00"/>
    <s v="Liu Zhen, Hua Jingling"/>
    <s v="No"/>
    <s v="Tencent Investment, Qiming Venture, SDF LB (Sinovation Disrupt Fund), GSR Zhaohua, Qingdao Haikong Tiancheng, Anhui Chuangsheng, Anhui Huiyuan, Anhui Wenchuang, Lixin Chantou"/>
    <s v="CN "/>
    <s v="N "/>
    <s v="Y, last filled at 07/11/2025"/>
    <s v="EY"/>
  </r>
  <r>
    <n v="13"/>
    <s v="DIGIWIN CO., LTD."/>
    <s v="Provider of digital and intelligent manufacturing solutions, including software products, integrated software and hardware solutions, and technology services across research and design, digital management, production control, and AIoT."/>
    <x v="4"/>
    <s v="SAAS"/>
    <s v="RMB"/>
    <n v="2433077"/>
    <n v="174099"/>
    <x v="10"/>
    <s v="CMS"/>
    <d v="2026-05-10T00:00:00"/>
    <s v="Foxconn Industrial Internet Co., Ltd., Top Partner Holding Limited, Yeh Tzu-chen, Sun Ur-bane, and Xin’ai Enterprise Management Consulting (Shanghai) Co., Ltd."/>
    <s v="No"/>
    <s v="Foxconn Industrial Internet Co., Ltd. Top Partner Holding Limited. Xin’ai Enterprise Management Consulting (Shanghai) Co., Ltd. Nanjing Runxin Xietong SME Development Fund Partnership Shanghai Fintech Technology Equity Investment Fund 6. Nanjing Pugao Industrial Investment Fund Partnership. Suzhou Fangguang Venture Capital Partnership. Changzhou Qitai Venture Capital Partnership. Changzhou Kechuang Nursery Enterprise Equity Investment Fund. Jiaxing Huisen Haoshi Equity Investment Partnership. Hangzhou Jiayan Xiao’an Information Technology Co., Ltd. Changzhou Fangguang Venture Capital Partnership. Digital China Holding Limited. Digital China Software (BVI) Limited. Talent Gain Developments Limited"/>
    <s v="CN "/>
    <s v="A+H (300378.SZ)"/>
    <s v="N"/>
    <s v="EY"/>
  </r>
  <r>
    <m/>
    <m/>
    <m/>
    <x v="0"/>
    <m/>
    <m/>
    <m/>
    <m/>
    <x v="0"/>
    <m/>
    <m/>
    <m/>
    <m/>
    <m/>
    <m/>
    <m/>
    <m/>
    <m/>
  </r>
  <r>
    <m/>
    <m/>
    <m/>
    <x v="0"/>
    <m/>
    <m/>
    <m/>
    <m/>
    <x v="0"/>
    <m/>
    <m/>
    <m/>
    <m/>
    <m/>
    <m/>
    <m/>
    <m/>
    <m/>
  </r>
  <r>
    <m/>
    <m/>
    <m/>
    <x v="0"/>
    <m/>
    <m/>
    <m/>
    <m/>
    <x v="0"/>
    <m/>
    <m/>
    <m/>
    <m/>
    <m/>
    <m/>
    <m/>
    <m/>
    <m/>
  </r>
  <r>
    <m/>
    <m/>
    <m/>
    <x v="0"/>
    <m/>
    <m/>
    <m/>
    <m/>
    <x v="0"/>
    <m/>
    <m/>
    <m/>
    <m/>
    <m/>
    <m/>
    <m/>
    <m/>
    <m/>
  </r>
  <r>
    <m/>
    <m/>
    <m/>
    <x v="0"/>
    <m/>
    <m/>
    <m/>
    <m/>
    <x v="0"/>
    <m/>
    <m/>
    <m/>
    <m/>
    <m/>
    <m/>
    <m/>
    <m/>
    <m/>
  </r>
  <r>
    <m/>
    <m/>
    <m/>
    <x v="0"/>
    <m/>
    <m/>
    <m/>
    <m/>
    <x v="0"/>
    <m/>
    <m/>
    <m/>
    <m/>
    <m/>
    <m/>
    <m/>
    <m/>
    <m/>
  </r>
  <r>
    <m/>
    <m/>
    <m/>
    <x v="0"/>
    <m/>
    <m/>
    <m/>
    <m/>
    <x v="0"/>
    <m/>
    <m/>
    <m/>
    <m/>
    <m/>
    <m/>
    <m/>
    <m/>
    <m/>
  </r>
  <r>
    <m/>
    <m/>
    <m/>
    <x v="0"/>
    <m/>
    <m/>
    <m/>
    <m/>
    <x v="0"/>
    <m/>
    <m/>
    <m/>
    <m/>
    <m/>
    <m/>
    <m/>
    <m/>
    <m/>
  </r>
  <r>
    <m/>
    <m/>
    <m/>
    <x v="0"/>
    <m/>
    <m/>
    <m/>
    <m/>
    <x v="0"/>
    <m/>
    <m/>
    <m/>
    <m/>
    <m/>
    <m/>
    <m/>
    <m/>
    <m/>
  </r>
  <r>
    <m/>
    <m/>
    <m/>
    <x v="0"/>
    <m/>
    <m/>
    <m/>
    <m/>
    <x v="0"/>
    <m/>
    <m/>
    <m/>
    <m/>
    <m/>
    <m/>
    <m/>
    <m/>
    <m/>
  </r>
  <r>
    <m/>
    <m/>
    <m/>
    <x v="0"/>
    <m/>
    <m/>
    <m/>
    <m/>
    <x v="0"/>
    <m/>
    <m/>
    <m/>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x v="0"/>
  </r>
  <r>
    <x v="0"/>
  </r>
  <r>
    <x v="1"/>
  </r>
  <r>
    <x v="2"/>
  </r>
  <r>
    <x v="1"/>
  </r>
  <r>
    <x v="3"/>
  </r>
  <r>
    <x v="4"/>
  </r>
  <r>
    <x v="1"/>
  </r>
  <r>
    <x v="2"/>
  </r>
  <r>
    <x v="4"/>
  </r>
  <r>
    <x v="5"/>
  </r>
  <r>
    <x v="4"/>
  </r>
  <r>
    <x v="2"/>
  </r>
  <r>
    <x v="6"/>
  </r>
  <r>
    <x v="4"/>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
  <r>
    <x v="0"/>
  </r>
  <r>
    <x v="0"/>
  </r>
  <r>
    <x v="1"/>
  </r>
  <r>
    <x v="2"/>
  </r>
  <r>
    <x v="3"/>
  </r>
  <r>
    <x v="4"/>
  </r>
  <r>
    <x v="1"/>
  </r>
  <r>
    <x v="5"/>
  </r>
  <r>
    <x v="4"/>
  </r>
  <r>
    <x v="1"/>
  </r>
  <r>
    <x v="5"/>
  </r>
  <r>
    <x v="1"/>
  </r>
  <r>
    <x v="4"/>
  </r>
  <r>
    <x v="6"/>
  </r>
  <r>
    <x v="4"/>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
  <r>
    <x v="0"/>
  </r>
  <r>
    <x v="0"/>
  </r>
  <r>
    <x v="1"/>
  </r>
  <r>
    <x v="2"/>
  </r>
  <r>
    <x v="3"/>
  </r>
  <r>
    <x v="1"/>
  </r>
  <r>
    <x v="4"/>
  </r>
  <r>
    <x v="5"/>
  </r>
  <r>
    <x v="4"/>
  </r>
  <r>
    <x v="1"/>
  </r>
  <r>
    <x v="6"/>
  </r>
  <r>
    <x v="1"/>
  </r>
  <r>
    <x v="4"/>
  </r>
  <r>
    <x v="1"/>
  </r>
  <r>
    <x v="1"/>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63FC8C5-5368-428B-AD2A-D50436A243B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G11" firstHeaderRow="1" firstDataRow="2" firstDataCol="1"/>
  <pivotFields count="18">
    <pivotField dataField="1" showAll="0"/>
    <pivotField showAll="0"/>
    <pivotField showAll="0"/>
    <pivotField axis="axisCol" showAll="0">
      <items count="10">
        <item m="1" x="5"/>
        <item m="1" x="6"/>
        <item m="1" x="7"/>
        <item m="1" x="8"/>
        <item x="1"/>
        <item x="0"/>
        <item x="2"/>
        <item x="4"/>
        <item x="3"/>
        <item t="default"/>
      </items>
    </pivotField>
    <pivotField showAll="0"/>
    <pivotField showAll="0"/>
    <pivotField showAll="0"/>
    <pivotField showAll="0"/>
    <pivotField axis="axisRow" showAll="0">
      <items count="22">
        <item m="1" x="12"/>
        <item m="1" x="19"/>
        <item m="1" x="15"/>
        <item m="1" x="16"/>
        <item m="1" x="13"/>
        <item m="1" x="17"/>
        <item m="1" x="18"/>
        <item m="1" x="11"/>
        <item m="1" x="14"/>
        <item m="1" x="20"/>
        <item x="0"/>
        <item m="1" x="6"/>
        <item m="1" x="7"/>
        <item m="1" x="8"/>
        <item m="1" x="9"/>
        <item m="1" x="10"/>
        <item x="1"/>
        <item x="2"/>
        <item x="3"/>
        <item x="4"/>
        <item x="5"/>
        <item t="default"/>
      </items>
    </pivotField>
    <pivotField showAll="0"/>
    <pivotField showAll="0"/>
    <pivotField showAll="0"/>
    <pivotField showAll="0"/>
    <pivotField showAll="0"/>
    <pivotField showAll="0"/>
    <pivotField showAll="0"/>
    <pivotField showAll="0"/>
    <pivotField showAll="0"/>
  </pivotFields>
  <rowFields count="1">
    <field x="8"/>
  </rowFields>
  <rowItems count="7">
    <i>
      <x v="10"/>
    </i>
    <i>
      <x v="16"/>
    </i>
    <i>
      <x v="17"/>
    </i>
    <i>
      <x v="18"/>
    </i>
    <i>
      <x v="19"/>
    </i>
    <i>
      <x v="20"/>
    </i>
    <i t="grand">
      <x/>
    </i>
  </rowItems>
  <colFields count="1">
    <field x="3"/>
  </colFields>
  <colItems count="6">
    <i>
      <x v="4"/>
    </i>
    <i>
      <x v="5"/>
    </i>
    <i>
      <x v="6"/>
    </i>
    <i>
      <x v="7"/>
    </i>
    <i>
      <x v="8"/>
    </i>
    <i t="grand">
      <x/>
    </i>
  </colItems>
  <dataFields count="1">
    <dataField name="Count of #"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F317820-B1BC-4A5E-9A48-233B587074AC}"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R5:Z19" firstHeaderRow="1" firstDataRow="2" firstDataCol="1"/>
  <pivotFields count="18">
    <pivotField showAll="0"/>
    <pivotField showAll="0"/>
    <pivotField showAll="0"/>
    <pivotField axis="axisCol" showAll="0">
      <items count="12">
        <item x="2"/>
        <item x="4"/>
        <item x="0"/>
        <item m="1" x="9"/>
        <item m="1" x="7"/>
        <item x="6"/>
        <item m="1" x="8"/>
        <item m="1" x="10"/>
        <item x="1"/>
        <item x="3"/>
        <item x="5"/>
        <item t="default"/>
      </items>
    </pivotField>
    <pivotField showAll="0"/>
    <pivotField showAll="0"/>
    <pivotField showAll="0"/>
    <pivotField showAll="0"/>
    <pivotField axis="axisRow" dataField="1" showAll="0">
      <items count="31">
        <item m="1" x="12"/>
        <item x="10"/>
        <item m="1" x="20"/>
        <item x="0"/>
        <item m="1" x="22"/>
        <item m="1" x="25"/>
        <item m="1" x="27"/>
        <item m="1" x="24"/>
        <item m="1" x="13"/>
        <item m="1" x="14"/>
        <item m="1" x="15"/>
        <item m="1" x="16"/>
        <item m="1" x="17"/>
        <item m="1" x="18"/>
        <item m="1" x="19"/>
        <item m="1" x="21"/>
        <item m="1" x="23"/>
        <item m="1" x="26"/>
        <item m="1" x="28"/>
        <item m="1" x="29"/>
        <item x="1"/>
        <item x="2"/>
        <item x="3"/>
        <item x="4"/>
        <item x="5"/>
        <item x="6"/>
        <item x="7"/>
        <item x="8"/>
        <item x="9"/>
        <item x="11"/>
        <item t="default"/>
      </items>
    </pivotField>
    <pivotField showAll="0"/>
    <pivotField showAll="0"/>
    <pivotField showAll="0"/>
    <pivotField showAll="0"/>
    <pivotField showAll="0"/>
    <pivotField showAll="0"/>
    <pivotField showAll="0"/>
    <pivotField showAll="0"/>
    <pivotField showAll="0"/>
  </pivotFields>
  <rowFields count="1">
    <field x="8"/>
  </rowFields>
  <rowItems count="13">
    <i>
      <x v="1"/>
    </i>
    <i>
      <x v="3"/>
    </i>
    <i>
      <x v="20"/>
    </i>
    <i>
      <x v="21"/>
    </i>
    <i>
      <x v="22"/>
    </i>
    <i>
      <x v="23"/>
    </i>
    <i>
      <x v="24"/>
    </i>
    <i>
      <x v="25"/>
    </i>
    <i>
      <x v="26"/>
    </i>
    <i>
      <x v="27"/>
    </i>
    <i>
      <x v="28"/>
    </i>
    <i>
      <x v="29"/>
    </i>
    <i t="grand">
      <x/>
    </i>
  </rowItems>
  <colFields count="1">
    <field x="3"/>
  </colFields>
  <colItems count="8">
    <i>
      <x/>
    </i>
    <i>
      <x v="1"/>
    </i>
    <i>
      <x v="2"/>
    </i>
    <i>
      <x v="5"/>
    </i>
    <i>
      <x v="8"/>
    </i>
    <i>
      <x v="9"/>
    </i>
    <i>
      <x v="10"/>
    </i>
    <i t="grand">
      <x/>
    </i>
  </colItems>
  <dataFields count="1">
    <dataField name="Count of Sponsor" fld="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E2C127B-6C5A-4D82-85BE-30DADB3430C0}" name="PivotTable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Q2:R10" firstHeaderRow="1" firstDataRow="1" firstDataCol="1"/>
  <pivotFields count="1">
    <pivotField axis="axisRow" dataField="1" showAll="0">
      <items count="28">
        <item x="6"/>
        <item x="2"/>
        <item x="3"/>
        <item m="1" x="9"/>
        <item m="1" x="7"/>
        <item x="4"/>
        <item x="0"/>
        <item m="1" x="15"/>
        <item m="1" x="26"/>
        <item m="1" x="25"/>
        <item m="1" x="24"/>
        <item x="1"/>
        <item m="1" x="22"/>
        <item m="1" x="19"/>
        <item m="1" x="23"/>
        <item m="1" x="12"/>
        <item m="1" x="8"/>
        <item m="1" x="20"/>
        <item m="1" x="21"/>
        <item m="1" x="18"/>
        <item m="1" x="10"/>
        <item m="1" x="17"/>
        <item m="1" x="16"/>
        <item m="1" x="11"/>
        <item m="1" x="14"/>
        <item m="1" x="13"/>
        <item x="5"/>
        <item t="default"/>
      </items>
    </pivotField>
  </pivotFields>
  <rowFields count="1">
    <field x="0"/>
  </rowFields>
  <rowItems count="8">
    <i>
      <x/>
    </i>
    <i>
      <x v="1"/>
    </i>
    <i>
      <x v="2"/>
    </i>
    <i>
      <x v="5"/>
    </i>
    <i>
      <x v="6"/>
    </i>
    <i>
      <x v="11"/>
    </i>
    <i>
      <x v="26"/>
    </i>
    <i t="grand">
      <x/>
    </i>
  </rowItems>
  <colItems count="1">
    <i/>
  </colItems>
  <dataFields count="1">
    <dataField name="Count of Sector"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52ECDD-BD35-4E92-A7EA-38A454F79CF0}" name="PivotTable2"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I9" firstHeaderRow="1" firstDataRow="1" firstDataCol="1"/>
  <pivotFields count="1">
    <pivotField axis="axisRow" dataField="1" showAll="0">
      <items count="89">
        <item x="4"/>
        <item m="1" x="87"/>
        <item m="1" x="56"/>
        <item m="1" x="82"/>
        <item m="1" x="84"/>
        <item m="1" x="86"/>
        <item x="0"/>
        <item m="1" x="81"/>
        <item m="1" x="83"/>
        <item m="1" x="85"/>
        <item m="1" x="43"/>
        <item m="1" x="41"/>
        <item m="1" x="80"/>
        <item m="1" x="34"/>
        <item m="1" x="76"/>
        <item m="1" x="77"/>
        <item m="1" x="78"/>
        <item m="1" x="79"/>
        <item m="1" x="70"/>
        <item m="1" x="71"/>
        <item m="1" x="72"/>
        <item m="1" x="73"/>
        <item m="1" x="74"/>
        <item m="1" x="75"/>
        <item m="1" x="68"/>
        <item m="1" x="69"/>
        <item m="1" x="67"/>
        <item m="1" x="61"/>
        <item m="1" x="62"/>
        <item m="1" x="63"/>
        <item m="1" x="65"/>
        <item m="1" x="66"/>
        <item m="1" x="64"/>
        <item m="1" x="59"/>
        <item m="1" x="11"/>
        <item m="1" x="60"/>
        <item m="1" x="58"/>
        <item m="1" x="52"/>
        <item m="1" x="53"/>
        <item m="1" x="54"/>
        <item m="1" x="42"/>
        <item m="1" x="55"/>
        <item m="1" x="51"/>
        <item m="1" x="57"/>
        <item m="1" x="46"/>
        <item m="1" x="47"/>
        <item m="1" x="48"/>
        <item m="1" x="49"/>
        <item m="1" x="50"/>
        <item m="1" x="37"/>
        <item m="1" x="26"/>
        <item m="1" x="7"/>
        <item m="1" x="38"/>
        <item m="1" x="39"/>
        <item m="1" x="40"/>
        <item m="1" x="27"/>
        <item m="1" x="20"/>
        <item m="1" x="8"/>
        <item m="1" x="44"/>
        <item m="1" x="45"/>
        <item m="1" x="33"/>
        <item m="1" x="9"/>
        <item m="1" x="23"/>
        <item m="1" x="35"/>
        <item m="1" x="18"/>
        <item m="1" x="36"/>
        <item m="1" x="29"/>
        <item m="1" x="30"/>
        <item m="1" x="31"/>
        <item m="1" x="32"/>
        <item m="1" x="28"/>
        <item m="1" x="19"/>
        <item m="1" x="21"/>
        <item m="1" x="22"/>
        <item m="1" x="24"/>
        <item m="1" x="25"/>
        <item m="1" x="10"/>
        <item m="1" x="12"/>
        <item m="1" x="13"/>
        <item m="1" x="14"/>
        <item m="1" x="15"/>
        <item m="1" x="16"/>
        <item m="1" x="17"/>
        <item x="1"/>
        <item x="2"/>
        <item x="3"/>
        <item x="5"/>
        <item x="6"/>
        <item t="default"/>
      </items>
    </pivotField>
  </pivotFields>
  <rowFields count="1">
    <field x="0"/>
  </rowFields>
  <rowItems count="8">
    <i>
      <x/>
    </i>
    <i>
      <x v="6"/>
    </i>
    <i>
      <x v="83"/>
    </i>
    <i>
      <x v="84"/>
    </i>
    <i>
      <x v="85"/>
    </i>
    <i>
      <x v="86"/>
    </i>
    <i>
      <x v="87"/>
    </i>
    <i t="grand">
      <x/>
    </i>
  </rowItems>
  <colItems count="1">
    <i/>
  </colItems>
  <dataFields count="1">
    <dataField name="Count of Re-filing?"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23254DC-C320-4E8D-BE50-23FE449A1505}" name="PivotTable4"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E11" firstHeaderRow="1" firstDataRow="1" firstDataCol="1"/>
  <pivotFields count="1">
    <pivotField axis="axisRow" dataField="1" showAll="0">
      <items count="25">
        <item m="1" x="7"/>
        <item x="6"/>
        <item x="1"/>
        <item x="4"/>
        <item x="2"/>
        <item m="1" x="13"/>
        <item m="1" x="9"/>
        <item x="0"/>
        <item m="1" x="23"/>
        <item m="1" x="8"/>
        <item m="1" x="10"/>
        <item m="1" x="15"/>
        <item m="1" x="12"/>
        <item m="1" x="18"/>
        <item m="1" x="19"/>
        <item m="1" x="20"/>
        <item m="1" x="21"/>
        <item m="1" x="22"/>
        <item m="1" x="14"/>
        <item m="1" x="16"/>
        <item m="1" x="17"/>
        <item x="3"/>
        <item m="1" x="11"/>
        <item x="5"/>
        <item t="default"/>
      </items>
    </pivotField>
  </pivotFields>
  <rowFields count="1">
    <field x="0"/>
  </rowFields>
  <rowItems count="8">
    <i>
      <x v="1"/>
    </i>
    <i>
      <x v="2"/>
    </i>
    <i>
      <x v="3"/>
    </i>
    <i>
      <x v="4"/>
    </i>
    <i>
      <x v="7"/>
    </i>
    <i>
      <x v="21"/>
    </i>
    <i>
      <x v="23"/>
    </i>
    <i t="grand">
      <x/>
    </i>
  </rowItems>
  <colItems count="1">
    <i/>
  </colItems>
  <dataFields count="1">
    <dataField name="Count of Auditor"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A60D836-B4FE-42AB-9CE9-28FD4A322931}" name="Table1" displayName="Table1" ref="A3:R4" totalsRowShown="0">
  <autoFilter ref="A3:R4" xr:uid="{CA60D836-B4FE-42AB-9CE9-28FD4A322931}"/>
  <tableColumns count="18">
    <tableColumn id="1" xr3:uid="{05946594-6817-424C-B81B-7ABDBCAD692C}" name="#"/>
    <tableColumn id="2" xr3:uid="{11F501A0-1052-4255-8867-6A82390E513A}" name="Name of Company"/>
    <tableColumn id="3" xr3:uid="{A30E132E-9B74-4C17-B595-098030518117}" name="Brief description of business"/>
    <tableColumn id="4" xr3:uid="{E02EC860-D92E-4F4B-A09D-527C1216B65E}" name="Sector"/>
    <tableColumn id="5" xr3:uid="{FE2DB349-C4C5-4606-B169-EE150361BABC}" name="Industry"/>
    <tableColumn id="6" xr3:uid="{624815A3-BF09-4545-8CD0-16A6B461993C}" name="Currency"/>
    <tableColumn id="7" xr3:uid="{58F0A217-CC62-4D33-B71B-339757EA99D0}" name="Revenue"/>
    <tableColumn id="8" xr3:uid="{27869FB3-7F05-4A2B-A643-8D53063015CB}" name="Net Profit/(Loss)"/>
    <tableColumn id="9" xr3:uid="{D5B4A485-D08C-4B47-A674-58ED5B8B9D7C}" name="Sponsor"/>
    <tableColumn id="10" xr3:uid="{31E51004-221B-41A8-9F03-E135CE0642DC}" name="Overall coordinator"/>
    <tableColumn id="11" xr3:uid="{B9A283D4-431C-439D-9746-9D0031C37B86}" name="Listing Application Date"/>
    <tableColumn id="12" xr3:uid="{A064F78B-0EAE-4611-8DE3-19173516C302}" name="Controlling Shareholders"/>
    <tableColumn id="13" xr3:uid="{D28D1C6C-6D6B-4B44-A707-1C8744B624B5}" name="Temasek/GIC-Linked"/>
    <tableColumn id="14" xr3:uid="{25B895BC-6650-41E7-A8C5-DEB3A0A79DD5}" name="PE/VC involved"/>
    <tableColumn id="15" xr3:uid="{EFD6E588-5200-4317-8DDD-7681F7BED4D7}" name="CN/HK/GBA"/>
    <tableColumn id="16" xr3:uid="{2B032763-8C75-45F5-A3C2-B996DFABCE4A}" name="Remarks"/>
    <tableColumn id="17" xr3:uid="{DB259C39-2325-4A42-A14E-9F7D2E2166AE}" name="Re-filing?"/>
    <tableColumn id="18" xr3:uid="{F671A946-FC5B-4C1D-93F9-96674A7DAA84}" name="Auditor"/>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1" dT="2026-01-18T03:46:56.67" personId="{DA9C3FEF-E789-4F45-84BE-C8829CDFF5B5}" id="{30625F22-3116-4CF2-9A45-1AA06009EE02}">
    <text>Jan 1 - Jan 4 to be updated</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ivotTable" Target="../pivotTables/pivotTable5.xm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BDE227-B7D7-48A7-9E4B-21B2DF4365C4}">
  <sheetPr>
    <tabColor theme="7"/>
  </sheetPr>
  <dimension ref="A1:R50"/>
  <sheetViews>
    <sheetView showGridLines="0" zoomScale="70" zoomScaleNormal="70" workbookViewId="0">
      <pane xSplit="2" ySplit="3" topLeftCell="N6" activePane="bottomRight" state="frozen"/>
      <selection pane="topRight" activeCell="D3" sqref="D3"/>
      <selection pane="bottomLeft" activeCell="D3" sqref="D3"/>
      <selection pane="bottomRight" activeCell="I8" sqref="I8"/>
    </sheetView>
  </sheetViews>
  <sheetFormatPr defaultColWidth="8.81640625" defaultRowHeight="14.5"/>
  <cols>
    <col min="1" max="1" width="12.1796875" style="41" customWidth="1"/>
    <col min="2" max="2" width="41.1796875" style="43" customWidth="1"/>
    <col min="3" max="3" width="56" style="41" customWidth="1"/>
    <col min="4" max="4" width="18.453125" style="41" customWidth="1"/>
    <col min="5" max="5" width="17.453125" style="41" customWidth="1"/>
    <col min="6" max="6" width="11.453125" style="41" customWidth="1"/>
    <col min="7" max="7" width="18.1796875" style="41" customWidth="1"/>
    <col min="8" max="8" width="19.1796875" style="41" customWidth="1"/>
    <col min="9" max="9" width="16.81640625" style="41" customWidth="1"/>
    <col min="10" max="10" width="22.81640625" style="41" bestFit="1" customWidth="1"/>
    <col min="11" max="11" width="27.81640625" style="41" bestFit="1" customWidth="1"/>
    <col min="12" max="12" width="62.81640625" style="44" customWidth="1"/>
    <col min="13" max="13" width="15.81640625" style="41" customWidth="1"/>
    <col min="14" max="14" width="98.1796875" style="44" customWidth="1"/>
    <col min="15" max="15" width="14.1796875" style="41" customWidth="1"/>
    <col min="16" max="16" width="17.54296875" style="41" customWidth="1"/>
    <col min="17" max="17" width="14.54296875" style="41" customWidth="1"/>
    <col min="18" max="18" width="18.1796875" style="41" customWidth="1"/>
    <col min="19" max="16384" width="8.81640625" style="41"/>
  </cols>
  <sheetData>
    <row r="1" spans="1:18">
      <c r="A1" s="97" t="s">
        <v>0</v>
      </c>
      <c r="B1" s="98" t="s">
        <v>1</v>
      </c>
      <c r="C1" s="97" t="s">
        <v>2</v>
      </c>
      <c r="D1" s="99" t="s">
        <v>3</v>
      </c>
      <c r="E1" s="97" t="s">
        <v>4</v>
      </c>
      <c r="F1" s="97" t="s">
        <v>5</v>
      </c>
      <c r="G1" s="97" t="s">
        <v>6</v>
      </c>
      <c r="H1" s="97" t="s">
        <v>7</v>
      </c>
      <c r="I1" s="99" t="s">
        <v>8</v>
      </c>
      <c r="J1" s="97" t="s">
        <v>9</v>
      </c>
      <c r="K1" s="97" t="s">
        <v>10</v>
      </c>
      <c r="L1" s="97" t="s">
        <v>11</v>
      </c>
      <c r="M1" s="97" t="s">
        <v>12</v>
      </c>
      <c r="N1" s="97" t="s">
        <v>13</v>
      </c>
      <c r="O1" s="97" t="s">
        <v>14</v>
      </c>
      <c r="P1" s="102" t="s">
        <v>15</v>
      </c>
      <c r="Q1" s="97" t="s">
        <v>16</v>
      </c>
      <c r="R1" s="97" t="s">
        <v>80</v>
      </c>
    </row>
    <row r="2" spans="1:18">
      <c r="A2" s="97"/>
      <c r="B2" s="98"/>
      <c r="C2" s="97"/>
      <c r="D2" s="100"/>
      <c r="E2" s="97"/>
      <c r="F2" s="97"/>
      <c r="G2" s="97"/>
      <c r="H2" s="97"/>
      <c r="I2" s="100"/>
      <c r="J2" s="97"/>
      <c r="K2" s="97"/>
      <c r="L2" s="97"/>
      <c r="M2" s="97"/>
      <c r="N2" s="97"/>
      <c r="O2" s="97"/>
      <c r="P2" s="102"/>
      <c r="Q2" s="97"/>
      <c r="R2" s="97"/>
    </row>
    <row r="3" spans="1:18">
      <c r="A3" s="97"/>
      <c r="B3" s="98"/>
      <c r="C3" s="97"/>
      <c r="D3" s="101"/>
      <c r="E3" s="97"/>
      <c r="F3" s="97"/>
      <c r="G3" s="40" t="s">
        <v>17</v>
      </c>
      <c r="H3" s="40" t="s">
        <v>17</v>
      </c>
      <c r="I3" s="101"/>
      <c r="J3" s="97"/>
      <c r="K3" s="97"/>
      <c r="L3" s="97"/>
      <c r="M3" s="97"/>
      <c r="N3" s="97"/>
      <c r="O3" s="97"/>
      <c r="P3" s="102"/>
      <c r="Q3" s="97"/>
      <c r="R3" s="97"/>
    </row>
    <row r="4" spans="1:18" s="60" customFormat="1" ht="72.5">
      <c r="A4" s="62">
        <v>1</v>
      </c>
      <c r="B4" s="79" t="s">
        <v>144</v>
      </c>
      <c r="C4" s="62" t="s">
        <v>145</v>
      </c>
      <c r="D4" s="67" t="s">
        <v>146</v>
      </c>
      <c r="E4" s="67" t="s">
        <v>147</v>
      </c>
      <c r="F4" s="67" t="s">
        <v>105</v>
      </c>
      <c r="G4" s="65">
        <v>30556</v>
      </c>
      <c r="H4" s="65">
        <v>-751819</v>
      </c>
      <c r="I4" s="67" t="s">
        <v>148</v>
      </c>
      <c r="J4" s="67" t="s">
        <v>149</v>
      </c>
      <c r="K4" s="66">
        <v>46146</v>
      </c>
      <c r="L4" s="69" t="s">
        <v>150</v>
      </c>
      <c r="M4" s="67" t="s">
        <v>151</v>
      </c>
      <c r="N4" s="63" t="s">
        <v>152</v>
      </c>
      <c r="O4" s="67" t="s">
        <v>153</v>
      </c>
      <c r="P4" s="67" t="s">
        <v>154</v>
      </c>
      <c r="Q4" s="42" t="s">
        <v>234</v>
      </c>
      <c r="R4" s="68" t="s">
        <v>82</v>
      </c>
    </row>
    <row r="5" spans="1:18" s="64" customFormat="1" ht="43.5">
      <c r="A5" s="62">
        <v>2</v>
      </c>
      <c r="B5" s="69" t="s">
        <v>155</v>
      </c>
      <c r="C5" s="64" t="s">
        <v>156</v>
      </c>
      <c r="D5" s="67" t="s">
        <v>29</v>
      </c>
      <c r="E5" s="67" t="s">
        <v>157</v>
      </c>
      <c r="F5" s="67" t="s">
        <v>105</v>
      </c>
      <c r="G5" s="65">
        <v>769006</v>
      </c>
      <c r="H5" s="65">
        <v>365029</v>
      </c>
      <c r="I5" s="67" t="s">
        <v>158</v>
      </c>
      <c r="J5" s="67" t="s">
        <v>158</v>
      </c>
      <c r="K5" s="66">
        <v>46146</v>
      </c>
      <c r="L5" s="69" t="s">
        <v>159</v>
      </c>
      <c r="M5" s="67" t="s">
        <v>161</v>
      </c>
      <c r="N5" s="63" t="s">
        <v>160</v>
      </c>
      <c r="O5" s="67" t="s">
        <v>153</v>
      </c>
      <c r="P5" s="67" t="s">
        <v>233</v>
      </c>
      <c r="Q5" s="42" t="s">
        <v>235</v>
      </c>
      <c r="R5" s="68" t="s">
        <v>84</v>
      </c>
    </row>
    <row r="6" spans="1:18" s="64" customFormat="1" ht="58">
      <c r="A6" s="62">
        <v>3</v>
      </c>
      <c r="B6" s="69" t="s">
        <v>162</v>
      </c>
      <c r="C6" s="91" t="s">
        <v>163</v>
      </c>
      <c r="D6" s="67" t="s">
        <v>146</v>
      </c>
      <c r="E6" s="67" t="s">
        <v>147</v>
      </c>
      <c r="F6" s="67" t="s">
        <v>105</v>
      </c>
      <c r="G6" s="65">
        <v>235408</v>
      </c>
      <c r="H6" s="56">
        <v>94794</v>
      </c>
      <c r="I6" s="67" t="s">
        <v>121</v>
      </c>
      <c r="J6" s="67" t="s">
        <v>121</v>
      </c>
      <c r="K6" s="66">
        <v>46146</v>
      </c>
      <c r="L6" s="81" t="s">
        <v>164</v>
      </c>
      <c r="M6" s="67" t="s">
        <v>161</v>
      </c>
      <c r="N6" s="69" t="s">
        <v>165</v>
      </c>
      <c r="O6" s="67" t="s">
        <v>153</v>
      </c>
      <c r="P6" s="67" t="s">
        <v>233</v>
      </c>
      <c r="Q6" s="42" t="s">
        <v>236</v>
      </c>
      <c r="R6" s="68" t="s">
        <v>166</v>
      </c>
    </row>
    <row r="7" spans="1:18" ht="43.5">
      <c r="A7" s="62">
        <v>4</v>
      </c>
      <c r="B7" s="87" t="s">
        <v>167</v>
      </c>
      <c r="C7" s="50" t="s">
        <v>168</v>
      </c>
      <c r="D7" s="41" t="s">
        <v>23</v>
      </c>
      <c r="E7" s="41" t="s">
        <v>169</v>
      </c>
      <c r="F7" s="67" t="s">
        <v>105</v>
      </c>
      <c r="G7" s="56">
        <v>916018</v>
      </c>
      <c r="H7" s="56">
        <v>-28567</v>
      </c>
      <c r="I7" s="67" t="s">
        <v>170</v>
      </c>
      <c r="J7" s="67" t="s">
        <v>171</v>
      </c>
      <c r="K7" s="66">
        <v>46146</v>
      </c>
      <c r="L7" s="49" t="s">
        <v>172</v>
      </c>
      <c r="M7" s="67" t="s">
        <v>161</v>
      </c>
      <c r="N7" s="81" t="s">
        <v>173</v>
      </c>
      <c r="O7" s="67" t="s">
        <v>153</v>
      </c>
      <c r="P7" s="67" t="s">
        <v>233</v>
      </c>
      <c r="Q7" s="42" t="s">
        <v>101</v>
      </c>
      <c r="R7" s="68" t="s">
        <v>82</v>
      </c>
    </row>
    <row r="8" spans="1:18" ht="43.5">
      <c r="A8" s="62">
        <v>5</v>
      </c>
      <c r="B8" s="80" t="s">
        <v>174</v>
      </c>
      <c r="C8" s="46" t="s">
        <v>175</v>
      </c>
      <c r="D8" s="41" t="s">
        <v>19</v>
      </c>
      <c r="E8" s="41" t="s">
        <v>176</v>
      </c>
      <c r="F8" s="67" t="s">
        <v>105</v>
      </c>
      <c r="G8" s="56" t="s">
        <v>177</v>
      </c>
      <c r="H8" s="56">
        <v>93678</v>
      </c>
      <c r="I8" s="46" t="s">
        <v>178</v>
      </c>
      <c r="J8" s="46" t="s">
        <v>178</v>
      </c>
      <c r="K8" s="66">
        <v>46147</v>
      </c>
      <c r="L8" s="81" t="s">
        <v>179</v>
      </c>
      <c r="M8" s="67" t="s">
        <v>161</v>
      </c>
      <c r="N8" s="86" t="s">
        <v>180</v>
      </c>
      <c r="O8" s="67" t="s">
        <v>153</v>
      </c>
      <c r="P8" s="67" t="s">
        <v>233</v>
      </c>
      <c r="Q8" s="42" t="s">
        <v>234</v>
      </c>
      <c r="R8" s="68" t="s">
        <v>83</v>
      </c>
    </row>
    <row r="9" spans="1:18" ht="58">
      <c r="A9" s="62">
        <v>6</v>
      </c>
      <c r="B9" s="80" t="s">
        <v>181</v>
      </c>
      <c r="C9" s="46" t="s">
        <v>182</v>
      </c>
      <c r="D9" s="41" t="s">
        <v>146</v>
      </c>
      <c r="E9" s="41" t="s">
        <v>147</v>
      </c>
      <c r="F9" s="67" t="s">
        <v>105</v>
      </c>
      <c r="G9" s="56">
        <v>1534028</v>
      </c>
      <c r="H9" s="56">
        <v>152745</v>
      </c>
      <c r="I9" s="41" t="s">
        <v>21</v>
      </c>
      <c r="J9" s="41" t="s">
        <v>183</v>
      </c>
      <c r="K9" s="66">
        <v>46148</v>
      </c>
      <c r="L9" s="81" t="s">
        <v>184</v>
      </c>
      <c r="M9" s="67" t="s">
        <v>161</v>
      </c>
      <c r="N9" s="81" t="s">
        <v>185</v>
      </c>
      <c r="O9" s="67" t="s">
        <v>153</v>
      </c>
      <c r="P9" s="67" t="s">
        <v>186</v>
      </c>
      <c r="Q9" s="42" t="s">
        <v>237</v>
      </c>
      <c r="R9" s="68" t="s">
        <v>187</v>
      </c>
    </row>
    <row r="10" spans="1:18" ht="43.5">
      <c r="A10" s="62">
        <v>7</v>
      </c>
      <c r="B10" s="48" t="s">
        <v>188</v>
      </c>
      <c r="C10" s="46" t="s">
        <v>189</v>
      </c>
      <c r="D10" s="46" t="s">
        <v>29</v>
      </c>
      <c r="E10" s="46" t="s">
        <v>191</v>
      </c>
      <c r="F10" s="67" t="s">
        <v>105</v>
      </c>
      <c r="G10" s="56">
        <v>6662372</v>
      </c>
      <c r="H10" s="56">
        <v>-916925</v>
      </c>
      <c r="I10" s="46" t="s">
        <v>53</v>
      </c>
      <c r="J10" s="46" t="s">
        <v>192</v>
      </c>
      <c r="K10" s="66">
        <v>46148</v>
      </c>
      <c r="L10" s="81" t="s">
        <v>193</v>
      </c>
      <c r="M10" s="67" t="s">
        <v>161</v>
      </c>
      <c r="N10" s="86" t="s">
        <v>194</v>
      </c>
      <c r="O10" s="67" t="s">
        <v>153</v>
      </c>
      <c r="P10" s="67" t="s">
        <v>233</v>
      </c>
      <c r="Q10" s="42" t="s">
        <v>101</v>
      </c>
      <c r="R10" s="92" t="s">
        <v>83</v>
      </c>
    </row>
    <row r="11" spans="1:18" ht="101.5">
      <c r="A11" s="62">
        <v>8</v>
      </c>
      <c r="B11" s="48" t="s">
        <v>195</v>
      </c>
      <c r="C11" s="46" t="s">
        <v>196</v>
      </c>
      <c r="D11" s="46" t="s">
        <v>19</v>
      </c>
      <c r="E11" s="46" t="s">
        <v>197</v>
      </c>
      <c r="F11" s="67" t="s">
        <v>105</v>
      </c>
      <c r="G11" s="88">
        <v>1221063</v>
      </c>
      <c r="H11" s="56">
        <v>-100138</v>
      </c>
      <c r="I11" s="46" t="s">
        <v>198</v>
      </c>
      <c r="J11" s="46" t="s">
        <v>198</v>
      </c>
      <c r="K11" s="66">
        <v>46149</v>
      </c>
      <c r="L11" s="81" t="s">
        <v>199</v>
      </c>
      <c r="M11" s="67" t="s">
        <v>161</v>
      </c>
      <c r="N11" s="81" t="s">
        <v>200</v>
      </c>
      <c r="O11" s="67" t="s">
        <v>153</v>
      </c>
      <c r="P11" s="67" t="s">
        <v>233</v>
      </c>
      <c r="Q11" s="42" t="s">
        <v>234</v>
      </c>
      <c r="R11" s="46" t="s">
        <v>82</v>
      </c>
    </row>
    <row r="12" spans="1:18" ht="101.5">
      <c r="A12" s="62">
        <v>9</v>
      </c>
      <c r="B12" s="89" t="s">
        <v>202</v>
      </c>
      <c r="C12" s="46" t="s">
        <v>203</v>
      </c>
      <c r="D12" s="41" t="s">
        <v>190</v>
      </c>
      <c r="E12" s="41" t="s">
        <v>204</v>
      </c>
      <c r="F12" s="67" t="s">
        <v>105</v>
      </c>
      <c r="G12" s="56" t="s">
        <v>205</v>
      </c>
      <c r="H12" s="56">
        <v>-649066</v>
      </c>
      <c r="I12" s="46" t="s">
        <v>206</v>
      </c>
      <c r="J12" s="46" t="s">
        <v>207</v>
      </c>
      <c r="K12" s="66">
        <v>46149</v>
      </c>
      <c r="L12" s="81" t="s">
        <v>208</v>
      </c>
      <c r="M12" s="67" t="s">
        <v>161</v>
      </c>
      <c r="N12" s="81" t="s">
        <v>201</v>
      </c>
      <c r="O12" s="67" t="s">
        <v>153</v>
      </c>
      <c r="P12" s="67" t="s">
        <v>233</v>
      </c>
      <c r="Q12" s="42" t="s">
        <v>237</v>
      </c>
      <c r="R12" s="46" t="s">
        <v>85</v>
      </c>
    </row>
    <row r="13" spans="1:18" ht="87">
      <c r="A13" s="62">
        <v>10</v>
      </c>
      <c r="B13" s="48" t="s">
        <v>209</v>
      </c>
      <c r="C13" s="46" t="s">
        <v>210</v>
      </c>
      <c r="D13" s="47" t="s">
        <v>19</v>
      </c>
      <c r="E13" s="46" t="s">
        <v>197</v>
      </c>
      <c r="F13" s="67" t="s">
        <v>105</v>
      </c>
      <c r="G13" s="56">
        <v>1012159</v>
      </c>
      <c r="H13" s="56">
        <v>483088</v>
      </c>
      <c r="I13" s="46" t="s">
        <v>198</v>
      </c>
      <c r="J13" s="46" t="s">
        <v>211</v>
      </c>
      <c r="K13" s="66">
        <v>46150</v>
      </c>
      <c r="L13" s="81" t="s">
        <v>212</v>
      </c>
      <c r="M13" s="67" t="s">
        <v>161</v>
      </c>
      <c r="N13" s="81" t="s">
        <v>218</v>
      </c>
      <c r="O13" s="67" t="s">
        <v>153</v>
      </c>
      <c r="P13" s="67" t="s">
        <v>233</v>
      </c>
      <c r="Q13" s="42" t="s">
        <v>234</v>
      </c>
      <c r="R13" s="46" t="s">
        <v>82</v>
      </c>
    </row>
    <row r="14" spans="1:18" ht="72.5">
      <c r="A14" s="62">
        <v>11</v>
      </c>
      <c r="B14" s="57" t="s">
        <v>213</v>
      </c>
      <c r="C14" s="50" t="s">
        <v>214</v>
      </c>
      <c r="D14" s="47" t="s">
        <v>29</v>
      </c>
      <c r="E14" s="46" t="s">
        <v>215</v>
      </c>
      <c r="F14" s="67" t="s">
        <v>105</v>
      </c>
      <c r="G14" s="56">
        <v>4261433</v>
      </c>
      <c r="H14" s="56">
        <v>-102185</v>
      </c>
      <c r="I14" s="46" t="s">
        <v>45</v>
      </c>
      <c r="J14" s="46" t="s">
        <v>45</v>
      </c>
      <c r="K14" s="66">
        <v>46150</v>
      </c>
      <c r="L14" s="81" t="s">
        <v>216</v>
      </c>
      <c r="M14" s="67" t="s">
        <v>161</v>
      </c>
      <c r="N14" s="81" t="s">
        <v>217</v>
      </c>
      <c r="O14" s="67" t="s">
        <v>153</v>
      </c>
      <c r="P14" s="67" t="s">
        <v>233</v>
      </c>
      <c r="Q14" s="42" t="s">
        <v>101</v>
      </c>
      <c r="R14" s="46" t="s">
        <v>83</v>
      </c>
    </row>
    <row r="15" spans="1:18" ht="58">
      <c r="A15" s="62">
        <v>12</v>
      </c>
      <c r="B15" s="57" t="s">
        <v>219</v>
      </c>
      <c r="C15" s="50" t="s">
        <v>220</v>
      </c>
      <c r="D15" s="47" t="s">
        <v>28</v>
      </c>
      <c r="E15" s="46" t="s">
        <v>221</v>
      </c>
      <c r="F15" s="67" t="s">
        <v>105</v>
      </c>
      <c r="G15" s="56" t="s">
        <v>222</v>
      </c>
      <c r="H15" s="56">
        <v>355674</v>
      </c>
      <c r="I15" s="46" t="s">
        <v>223</v>
      </c>
      <c r="J15" s="46" t="s">
        <v>224</v>
      </c>
      <c r="K15" s="66">
        <v>46150</v>
      </c>
      <c r="L15" s="81" t="s">
        <v>225</v>
      </c>
      <c r="M15" s="67" t="s">
        <v>161</v>
      </c>
      <c r="N15" s="81" t="s">
        <v>226</v>
      </c>
      <c r="O15" s="67" t="s">
        <v>153</v>
      </c>
      <c r="P15" s="67" t="s">
        <v>233</v>
      </c>
      <c r="Q15" s="42" t="s">
        <v>238</v>
      </c>
      <c r="R15" s="46" t="s">
        <v>82</v>
      </c>
    </row>
    <row r="16" spans="1:18" ht="101.5">
      <c r="A16" s="62">
        <v>13</v>
      </c>
      <c r="B16" s="43" t="s">
        <v>227</v>
      </c>
      <c r="C16" s="50" t="s">
        <v>228</v>
      </c>
      <c r="D16" s="46" t="s">
        <v>19</v>
      </c>
      <c r="E16" s="46" t="s">
        <v>229</v>
      </c>
      <c r="F16" s="67" t="s">
        <v>105</v>
      </c>
      <c r="G16" s="56">
        <v>2433077</v>
      </c>
      <c r="H16" s="56">
        <v>174099</v>
      </c>
      <c r="I16" s="46" t="s">
        <v>45</v>
      </c>
      <c r="J16" s="46" t="s">
        <v>45</v>
      </c>
      <c r="K16" s="66">
        <v>46152</v>
      </c>
      <c r="L16" s="81" t="s">
        <v>230</v>
      </c>
      <c r="M16" s="67" t="s">
        <v>161</v>
      </c>
      <c r="N16" s="81" t="s">
        <v>231</v>
      </c>
      <c r="O16" s="67" t="s">
        <v>153</v>
      </c>
      <c r="P16" s="67" t="s">
        <v>232</v>
      </c>
      <c r="Q16" s="42" t="s">
        <v>101</v>
      </c>
      <c r="R16" s="46" t="s">
        <v>82</v>
      </c>
    </row>
    <row r="17" spans="1:18">
      <c r="A17" s="62"/>
      <c r="C17" s="50"/>
      <c r="D17" s="46"/>
      <c r="E17" s="46"/>
      <c r="F17" s="67"/>
      <c r="G17" s="56"/>
      <c r="H17" s="56"/>
      <c r="K17" s="66"/>
      <c r="L17" s="49"/>
      <c r="M17" s="67"/>
      <c r="N17" s="81"/>
      <c r="O17" s="67"/>
      <c r="P17" s="67"/>
      <c r="Q17" s="64"/>
      <c r="R17" s="46"/>
    </row>
    <row r="18" spans="1:18">
      <c r="A18" s="62"/>
      <c r="B18" s="57"/>
      <c r="C18" s="50"/>
      <c r="D18" s="46"/>
      <c r="E18" s="46"/>
      <c r="F18" s="67"/>
      <c r="G18" s="56"/>
      <c r="H18" s="56"/>
      <c r="K18" s="66"/>
      <c r="L18" s="81"/>
      <c r="M18" s="67"/>
      <c r="N18" s="81"/>
      <c r="O18" s="67"/>
      <c r="P18" s="67"/>
      <c r="Q18" s="64"/>
      <c r="R18" s="46"/>
    </row>
    <row r="19" spans="1:18">
      <c r="A19" s="62"/>
      <c r="D19" s="46"/>
      <c r="E19" s="46"/>
      <c r="F19" s="67"/>
      <c r="G19" s="56"/>
      <c r="H19" s="56"/>
      <c r="I19" s="46"/>
      <c r="J19" s="46"/>
      <c r="K19" s="66"/>
      <c r="L19" s="49"/>
      <c r="M19" s="67"/>
      <c r="N19" s="81"/>
      <c r="O19" s="67"/>
      <c r="P19" s="67"/>
      <c r="Q19" s="42"/>
      <c r="R19" s="46"/>
    </row>
    <row r="20" spans="1:18">
      <c r="A20" s="62"/>
      <c r="C20" s="46"/>
      <c r="D20" s="46"/>
      <c r="E20" s="46"/>
      <c r="F20" s="67"/>
      <c r="G20" s="56"/>
      <c r="H20" s="56"/>
      <c r="I20" s="46"/>
      <c r="J20" s="46"/>
      <c r="K20" s="66"/>
      <c r="L20" s="49"/>
      <c r="M20" s="67"/>
      <c r="N20" s="81"/>
      <c r="O20" s="67"/>
      <c r="P20" s="67"/>
      <c r="Q20" s="64"/>
      <c r="R20" s="46"/>
    </row>
    <row r="21" spans="1:18">
      <c r="A21" s="62"/>
      <c r="C21" s="46"/>
      <c r="D21" s="46"/>
      <c r="E21" s="46"/>
      <c r="F21" s="47"/>
      <c r="G21" s="56"/>
      <c r="H21" s="56"/>
      <c r="I21" s="46"/>
      <c r="J21" s="46"/>
      <c r="K21" s="66"/>
      <c r="L21" s="49"/>
      <c r="M21" s="47"/>
      <c r="N21" s="81"/>
      <c r="O21" s="67"/>
      <c r="P21" s="67"/>
      <c r="Q21" s="64"/>
      <c r="R21" s="46"/>
    </row>
    <row r="22" spans="1:18">
      <c r="A22" s="62"/>
      <c r="C22" s="78"/>
      <c r="D22" s="42"/>
      <c r="E22" s="46"/>
      <c r="F22" s="47"/>
      <c r="G22" s="56"/>
      <c r="H22" s="56"/>
      <c r="I22" s="46"/>
      <c r="J22" s="46"/>
      <c r="K22" s="66"/>
      <c r="L22" s="49"/>
      <c r="M22" s="47"/>
      <c r="N22" s="81"/>
      <c r="P22" s="67"/>
      <c r="Q22" s="64"/>
      <c r="R22" s="46"/>
    </row>
    <row r="23" spans="1:18">
      <c r="A23" s="62"/>
      <c r="C23" s="78"/>
      <c r="D23" s="42"/>
      <c r="E23" s="46"/>
      <c r="F23" s="47"/>
      <c r="G23" s="56"/>
      <c r="H23" s="56"/>
      <c r="I23" s="46"/>
      <c r="J23" s="46"/>
      <c r="K23" s="66"/>
      <c r="L23" s="49"/>
      <c r="M23" s="47"/>
      <c r="N23" s="49"/>
      <c r="O23" s="46"/>
      <c r="P23" s="46"/>
      <c r="Q23" s="42"/>
      <c r="R23" s="46"/>
    </row>
    <row r="24" spans="1:18">
      <c r="A24" s="62"/>
      <c r="B24" s="48"/>
      <c r="C24" s="46"/>
      <c r="D24" s="42"/>
      <c r="E24" s="46"/>
      <c r="F24" s="47"/>
      <c r="G24" s="82"/>
      <c r="H24" s="56"/>
      <c r="I24" s="46"/>
      <c r="J24" s="46"/>
      <c r="K24" s="66"/>
      <c r="L24" s="52"/>
      <c r="M24" s="47"/>
      <c r="N24" s="81"/>
      <c r="O24" s="46"/>
      <c r="Q24" s="64"/>
      <c r="R24" s="46"/>
    </row>
    <row r="25" spans="1:18">
      <c r="A25" s="62"/>
      <c r="B25" s="48"/>
      <c r="C25" s="83"/>
      <c r="D25" s="46"/>
      <c r="F25" s="47"/>
      <c r="G25" s="82"/>
      <c r="H25" s="56"/>
      <c r="I25" s="46"/>
      <c r="J25" s="46"/>
      <c r="K25" s="66"/>
      <c r="L25" s="49"/>
      <c r="M25" s="47"/>
      <c r="N25" s="49"/>
      <c r="O25" s="46"/>
      <c r="P25" s="46"/>
      <c r="Q25" s="64"/>
      <c r="R25" s="46"/>
    </row>
    <row r="26" spans="1:18">
      <c r="A26" s="45"/>
      <c r="B26" s="48"/>
      <c r="C26" s="46"/>
      <c r="D26" s="46"/>
      <c r="E26" s="46"/>
      <c r="F26" s="47"/>
      <c r="G26" s="56"/>
      <c r="H26" s="56"/>
      <c r="I26" s="46"/>
      <c r="J26" s="46"/>
      <c r="K26" s="66"/>
      <c r="L26" s="49"/>
      <c r="M26" s="47"/>
      <c r="N26" s="81"/>
      <c r="O26" s="46"/>
      <c r="P26" s="46"/>
      <c r="Q26" s="46"/>
      <c r="R26" s="46"/>
    </row>
    <row r="27" spans="1:18">
      <c r="A27" s="62"/>
      <c r="B27" s="48"/>
      <c r="C27" s="46"/>
      <c r="D27" s="46"/>
      <c r="E27" s="46"/>
      <c r="F27" s="47"/>
      <c r="G27" s="56"/>
      <c r="H27" s="56"/>
      <c r="I27" s="46"/>
      <c r="J27" s="46"/>
      <c r="K27" s="66"/>
      <c r="L27" s="53"/>
      <c r="M27" s="47"/>
      <c r="N27" s="81"/>
      <c r="O27" s="46"/>
      <c r="P27" s="46"/>
      <c r="Q27" s="64"/>
      <c r="R27" s="46"/>
    </row>
    <row r="28" spans="1:18">
      <c r="A28" s="62"/>
      <c r="B28" s="80"/>
      <c r="C28" s="55"/>
      <c r="D28" s="46"/>
      <c r="E28" s="46"/>
      <c r="F28" s="47"/>
      <c r="G28" s="56"/>
      <c r="H28" s="56"/>
      <c r="I28" s="46"/>
      <c r="J28" s="46"/>
      <c r="K28" s="66"/>
      <c r="L28" s="49"/>
      <c r="M28" s="47"/>
      <c r="N28" s="49"/>
      <c r="O28" s="46"/>
      <c r="P28" s="51"/>
      <c r="Q28" s="42"/>
      <c r="R28" s="46"/>
    </row>
    <row r="29" spans="1:18">
      <c r="A29" s="45"/>
      <c r="B29" s="80"/>
      <c r="C29" s="50"/>
      <c r="D29" s="46"/>
      <c r="E29" s="46"/>
      <c r="F29" s="47"/>
      <c r="G29" s="56"/>
      <c r="H29" s="56"/>
      <c r="I29" s="46"/>
      <c r="J29" s="46"/>
      <c r="K29" s="66"/>
      <c r="L29" s="53"/>
      <c r="M29" s="47"/>
      <c r="N29" s="49"/>
      <c r="O29" s="46"/>
      <c r="P29" s="46"/>
      <c r="Q29" s="42"/>
      <c r="R29" s="46"/>
    </row>
    <row r="30" spans="1:18">
      <c r="A30" s="62"/>
      <c r="B30" s="80"/>
      <c r="C30" s="50"/>
      <c r="D30" s="46"/>
      <c r="E30" s="46"/>
      <c r="F30" s="47"/>
      <c r="G30" s="56"/>
      <c r="H30" s="56"/>
      <c r="I30" s="46"/>
      <c r="J30" s="46"/>
      <c r="K30" s="66"/>
      <c r="L30" s="49"/>
      <c r="M30" s="47"/>
      <c r="N30" s="54"/>
      <c r="O30" s="46"/>
      <c r="P30" s="51"/>
      <c r="Q30" s="46"/>
      <c r="R30" s="46"/>
    </row>
    <row r="31" spans="1:18">
      <c r="A31" s="62"/>
      <c r="B31" s="80"/>
      <c r="C31" s="50"/>
      <c r="D31" s="46"/>
      <c r="E31" s="46"/>
      <c r="F31" s="47"/>
      <c r="G31" s="56"/>
      <c r="H31" s="56"/>
      <c r="I31" s="46"/>
      <c r="J31" s="46"/>
      <c r="K31" s="66"/>
      <c r="L31" s="49"/>
      <c r="M31" s="47"/>
      <c r="N31" s="49"/>
      <c r="O31" s="46"/>
      <c r="P31" s="46"/>
      <c r="Q31" s="42"/>
      <c r="R31" s="46"/>
    </row>
    <row r="32" spans="1:18">
      <c r="A32" s="45"/>
      <c r="B32" s="48"/>
      <c r="C32" s="46"/>
      <c r="D32" s="46"/>
      <c r="E32" s="46"/>
      <c r="F32" s="46"/>
      <c r="G32" s="56"/>
      <c r="H32" s="56"/>
      <c r="I32" s="46"/>
      <c r="J32" s="46"/>
      <c r="K32" s="66"/>
      <c r="L32" s="49"/>
      <c r="M32" s="46"/>
      <c r="N32" s="49"/>
      <c r="O32" s="46"/>
      <c r="P32" s="46"/>
      <c r="Q32" s="46"/>
      <c r="R32" s="46"/>
    </row>
    <row r="33" spans="1:18">
      <c r="A33" s="62"/>
      <c r="B33" s="48"/>
      <c r="C33" s="46"/>
      <c r="D33" s="46"/>
      <c r="E33" s="46"/>
      <c r="F33" s="47"/>
      <c r="G33" s="56"/>
      <c r="H33" s="56"/>
      <c r="I33" s="46"/>
      <c r="J33" s="46"/>
      <c r="K33" s="66"/>
      <c r="L33" s="49"/>
      <c r="M33" s="46"/>
      <c r="N33" s="49"/>
      <c r="O33" s="46"/>
      <c r="P33" s="46"/>
      <c r="Q33" s="42"/>
      <c r="R33" s="46"/>
    </row>
    <row r="34" spans="1:18">
      <c r="A34" s="62"/>
      <c r="B34" s="48"/>
      <c r="C34" s="46"/>
      <c r="D34" s="46"/>
      <c r="E34" s="46"/>
      <c r="F34" s="46"/>
      <c r="G34" s="56"/>
      <c r="H34" s="56"/>
      <c r="I34" s="46"/>
      <c r="J34" s="46"/>
      <c r="K34" s="66"/>
      <c r="L34" s="49"/>
      <c r="M34" s="46"/>
      <c r="N34" s="49"/>
      <c r="O34" s="46"/>
      <c r="P34" s="51"/>
      <c r="Q34" s="46"/>
      <c r="R34" s="46"/>
    </row>
    <row r="35" spans="1:18">
      <c r="A35" s="45"/>
      <c r="B35" s="48"/>
      <c r="C35" s="46"/>
      <c r="D35" s="46"/>
      <c r="E35" s="46"/>
      <c r="F35" s="47"/>
      <c r="G35" s="56"/>
      <c r="H35" s="56"/>
      <c r="I35" s="46"/>
      <c r="J35" s="46"/>
      <c r="K35" s="66"/>
      <c r="L35" s="49"/>
      <c r="M35" s="46"/>
      <c r="N35" s="49"/>
      <c r="O35" s="46"/>
      <c r="P35" s="46"/>
      <c r="Q35" s="46"/>
      <c r="R35" s="46"/>
    </row>
    <row r="36" spans="1:18">
      <c r="A36" s="62"/>
      <c r="B36" s="48"/>
      <c r="C36" s="46"/>
      <c r="D36" s="46"/>
      <c r="E36" s="46"/>
      <c r="F36" s="46"/>
      <c r="G36" s="56"/>
      <c r="H36" s="56"/>
      <c r="I36" s="46"/>
      <c r="J36" s="46"/>
      <c r="K36" s="66"/>
      <c r="L36" s="49"/>
      <c r="M36" s="46"/>
      <c r="N36" s="49"/>
      <c r="O36" s="46"/>
      <c r="P36" s="46"/>
      <c r="Q36" s="42"/>
      <c r="R36" s="46"/>
    </row>
    <row r="37" spans="1:18">
      <c r="A37" s="62"/>
      <c r="B37" s="48"/>
      <c r="C37" s="46"/>
      <c r="D37" s="42"/>
      <c r="E37" s="46"/>
      <c r="F37" s="47"/>
      <c r="G37" s="56"/>
      <c r="H37" s="56"/>
      <c r="I37" s="46"/>
      <c r="K37" s="66"/>
      <c r="L37" s="49"/>
      <c r="M37" s="46"/>
      <c r="N37" s="49"/>
      <c r="O37" s="46"/>
      <c r="P37" s="46"/>
      <c r="Q37" s="46"/>
      <c r="R37" s="46"/>
    </row>
    <row r="38" spans="1:18">
      <c r="A38" s="45"/>
      <c r="B38" s="48"/>
      <c r="C38" s="46"/>
      <c r="E38" s="46"/>
      <c r="F38" s="46"/>
      <c r="G38" s="56"/>
      <c r="H38" s="56"/>
      <c r="I38" s="46"/>
      <c r="J38" s="46"/>
      <c r="K38" s="66"/>
      <c r="L38" s="49"/>
      <c r="M38" s="46"/>
      <c r="N38" s="49"/>
      <c r="O38" s="46"/>
      <c r="P38" s="46"/>
      <c r="Q38" s="42"/>
      <c r="R38" s="46"/>
    </row>
    <row r="39" spans="1:18">
      <c r="A39" s="62"/>
      <c r="F39" s="46"/>
      <c r="G39" s="56"/>
      <c r="H39" s="56"/>
      <c r="K39" s="66"/>
      <c r="M39" s="46"/>
      <c r="P39" s="46"/>
    </row>
    <row r="40" spans="1:18">
      <c r="A40" s="62"/>
      <c r="F40" s="46"/>
      <c r="G40" s="56"/>
      <c r="H40" s="56"/>
      <c r="K40" s="66"/>
      <c r="Q40" s="42"/>
    </row>
    <row r="41" spans="1:18">
      <c r="A41" s="45"/>
      <c r="F41" s="46"/>
      <c r="G41" s="56"/>
      <c r="H41" s="56"/>
      <c r="K41" s="66"/>
    </row>
    <row r="42" spans="1:18">
      <c r="A42" s="62"/>
      <c r="D42" s="46"/>
      <c r="F42" s="46"/>
      <c r="G42" s="56"/>
      <c r="H42" s="56"/>
      <c r="K42" s="66"/>
      <c r="P42" s="46"/>
      <c r="Q42" s="42"/>
    </row>
    <row r="43" spans="1:18">
      <c r="A43" s="62"/>
      <c r="D43" s="46"/>
      <c r="F43" s="47"/>
      <c r="G43" s="56"/>
      <c r="H43" s="56"/>
      <c r="K43" s="46"/>
      <c r="P43" s="46"/>
    </row>
    <row r="44" spans="1:18">
      <c r="A44" s="45"/>
      <c r="F44" s="46"/>
      <c r="G44" s="56"/>
      <c r="H44" s="56"/>
      <c r="K44" s="46"/>
    </row>
    <row r="45" spans="1:18">
      <c r="A45" s="45"/>
      <c r="F45" s="47"/>
      <c r="G45" s="56"/>
      <c r="H45" s="56"/>
      <c r="K45" s="46"/>
    </row>
    <row r="46" spans="1:18">
      <c r="A46" s="45"/>
      <c r="D46" s="46"/>
      <c r="F46" s="46"/>
      <c r="G46" s="56"/>
      <c r="H46" s="56"/>
      <c r="K46" s="46"/>
      <c r="P46" s="46"/>
    </row>
    <row r="47" spans="1:18">
      <c r="A47" s="45"/>
      <c r="D47" s="42"/>
      <c r="F47" s="47"/>
      <c r="G47" s="56"/>
      <c r="H47" s="56"/>
      <c r="K47" s="46"/>
    </row>
    <row r="48" spans="1:18">
      <c r="A48" s="45"/>
      <c r="D48" s="42"/>
      <c r="F48" s="46"/>
      <c r="G48" s="56"/>
      <c r="H48" s="56"/>
      <c r="K48" s="46"/>
    </row>
    <row r="49" spans="1:11">
      <c r="A49" s="45"/>
      <c r="D49" s="42"/>
      <c r="F49" s="47"/>
      <c r="G49" s="56"/>
      <c r="H49" s="56"/>
      <c r="K49" s="46"/>
    </row>
    <row r="50" spans="1:11">
      <c r="A50" s="45"/>
      <c r="F50" s="46"/>
    </row>
  </sheetData>
  <autoFilter ref="A1:Q54" xr:uid="{6BBDE227-B7D7-48A7-9E4B-21B2DF4365C4}"/>
  <mergeCells count="18">
    <mergeCell ref="N1:N3"/>
    <mergeCell ref="O1:O3"/>
    <mergeCell ref="P1:P3"/>
    <mergeCell ref="Q1:Q3"/>
    <mergeCell ref="R1:R3"/>
    <mergeCell ref="M1:M3"/>
    <mergeCell ref="L1:L3"/>
    <mergeCell ref="A1:A3"/>
    <mergeCell ref="B1:B3"/>
    <mergeCell ref="C1:C3"/>
    <mergeCell ref="D1:D3"/>
    <mergeCell ref="E1:E3"/>
    <mergeCell ref="F1:F3"/>
    <mergeCell ref="G1:G2"/>
    <mergeCell ref="H1:H2"/>
    <mergeCell ref="I1:I3"/>
    <mergeCell ref="J1:J3"/>
    <mergeCell ref="K1:K3"/>
  </mergeCells>
  <phoneticPr fontId="8"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F69F7E-C56A-4D95-B18E-B029A162FF30}">
  <dimension ref="A1:R3"/>
  <sheetViews>
    <sheetView workbookViewId="0">
      <selection activeCell="A3" sqref="A3:R4"/>
    </sheetView>
  </sheetViews>
  <sheetFormatPr defaultRowHeight="14.5"/>
  <cols>
    <col min="1" max="1" width="8.81640625" bestFit="1" customWidth="1"/>
    <col min="2" max="2" width="19.1796875" bestFit="1" customWidth="1"/>
    <col min="3" max="3" width="27.81640625" bestFit="1" customWidth="1"/>
    <col min="4" max="4" width="8.81640625" bestFit="1" customWidth="1"/>
    <col min="5" max="5" width="10.1796875" bestFit="1" customWidth="1"/>
    <col min="6" max="7" width="10.81640625" bestFit="1" customWidth="1"/>
    <col min="8" max="8" width="17.453125" bestFit="1" customWidth="1"/>
    <col min="9" max="9" width="10.1796875" bestFit="1" customWidth="1"/>
    <col min="10" max="10" width="19.81640625" bestFit="1" customWidth="1"/>
    <col min="11" max="11" width="23.54296875" bestFit="1" customWidth="1"/>
    <col min="12" max="12" width="24.81640625" bestFit="1" customWidth="1"/>
    <col min="13" max="13" width="21.1796875" bestFit="1" customWidth="1"/>
    <col min="14" max="14" width="16.1796875" bestFit="1" customWidth="1"/>
    <col min="15" max="15" width="13.1796875" bestFit="1" customWidth="1"/>
    <col min="16" max="16" width="10.453125" bestFit="1" customWidth="1"/>
    <col min="17" max="17" width="11.453125" bestFit="1" customWidth="1"/>
    <col min="18" max="18" width="9.81640625" bestFit="1" customWidth="1"/>
  </cols>
  <sheetData>
    <row r="1" spans="1:18">
      <c r="A1" s="77" t="s">
        <v>116</v>
      </c>
    </row>
    <row r="3" spans="1:18">
      <c r="A3" t="s">
        <v>0</v>
      </c>
      <c r="B3" t="s">
        <v>1</v>
      </c>
      <c r="C3" t="s">
        <v>2</v>
      </c>
      <c r="D3" t="s">
        <v>3</v>
      </c>
      <c r="E3" t="s">
        <v>4</v>
      </c>
      <c r="F3" t="s">
        <v>5</v>
      </c>
      <c r="G3" t="s">
        <v>6</v>
      </c>
      <c r="H3" t="s">
        <v>7</v>
      </c>
      <c r="I3" t="s">
        <v>8</v>
      </c>
      <c r="J3" t="s">
        <v>9</v>
      </c>
      <c r="K3" t="s">
        <v>10</v>
      </c>
      <c r="L3" t="s">
        <v>11</v>
      </c>
      <c r="M3" t="s">
        <v>12</v>
      </c>
      <c r="N3" t="s">
        <v>13</v>
      </c>
      <c r="O3" t="s">
        <v>14</v>
      </c>
      <c r="P3" t="s">
        <v>15</v>
      </c>
      <c r="Q3" t="s">
        <v>16</v>
      </c>
      <c r="R3" t="s">
        <v>80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C745A-AAD3-477B-AF4A-E0BDC3F8465A}">
  <dimension ref="A3:G11"/>
  <sheetViews>
    <sheetView topLeftCell="A2" workbookViewId="0">
      <selection activeCell="E11" sqref="A3:H16"/>
    </sheetView>
  </sheetViews>
  <sheetFormatPr defaultRowHeight="14.5"/>
  <cols>
    <col min="1" max="1" width="22.54296875" bestFit="1" customWidth="1"/>
    <col min="2" max="2" width="15.1796875" bestFit="1" customWidth="1"/>
    <col min="3" max="3" width="6.81640625" bestFit="1" customWidth="1"/>
    <col min="4" max="4" width="8.81640625" bestFit="1" customWidth="1"/>
    <col min="5" max="5" width="27.1796875" bestFit="1" customWidth="1"/>
    <col min="6" max="6" width="15.90625" bestFit="1" customWidth="1"/>
    <col min="7" max="8" width="10.81640625" bestFit="1" customWidth="1"/>
  </cols>
  <sheetData>
    <row r="3" spans="1:7">
      <c r="A3" s="36" t="s">
        <v>117</v>
      </c>
      <c r="B3" s="36" t="s">
        <v>102</v>
      </c>
    </row>
    <row r="4" spans="1:7">
      <c r="A4" s="36" t="s">
        <v>98</v>
      </c>
      <c r="B4" t="s">
        <v>19</v>
      </c>
      <c r="C4" t="s">
        <v>99</v>
      </c>
      <c r="D4" t="s">
        <v>18</v>
      </c>
      <c r="E4" t="s">
        <v>27</v>
      </c>
      <c r="F4" t="s">
        <v>29</v>
      </c>
      <c r="G4" t="s">
        <v>35</v>
      </c>
    </row>
    <row r="5" spans="1:7">
      <c r="A5" s="27" t="s">
        <v>99</v>
      </c>
    </row>
    <row r="6" spans="1:7">
      <c r="A6" s="27" t="s">
        <v>120</v>
      </c>
      <c r="B6">
        <v>1</v>
      </c>
      <c r="G6">
        <v>1</v>
      </c>
    </row>
    <row r="7" spans="1:7">
      <c r="A7" s="27" t="s">
        <v>123</v>
      </c>
      <c r="D7">
        <v>1</v>
      </c>
      <c r="G7">
        <v>1</v>
      </c>
    </row>
    <row r="8" spans="1:7">
      <c r="A8" s="27" t="s">
        <v>121</v>
      </c>
      <c r="F8">
        <v>1</v>
      </c>
      <c r="G8">
        <v>1</v>
      </c>
    </row>
    <row r="9" spans="1:7">
      <c r="A9" s="27" t="s">
        <v>21</v>
      </c>
      <c r="D9">
        <v>1</v>
      </c>
      <c r="G9">
        <v>1</v>
      </c>
    </row>
    <row r="10" spans="1:7">
      <c r="A10" s="27" t="s">
        <v>122</v>
      </c>
      <c r="E10">
        <v>1</v>
      </c>
      <c r="G10">
        <v>1</v>
      </c>
    </row>
    <row r="11" spans="1:7">
      <c r="A11" s="27" t="s">
        <v>35</v>
      </c>
      <c r="B11">
        <v>1</v>
      </c>
      <c r="D11">
        <v>2</v>
      </c>
      <c r="E11">
        <v>1</v>
      </c>
      <c r="F11">
        <v>1</v>
      </c>
      <c r="G11">
        <v>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15922E-8F57-461B-AC47-BF0F450094E8}">
  <dimension ref="A1:C12"/>
  <sheetViews>
    <sheetView workbookViewId="0"/>
  </sheetViews>
  <sheetFormatPr defaultRowHeight="14.5"/>
  <cols>
    <col min="1" max="1" width="15.08984375" bestFit="1" customWidth="1"/>
    <col min="2" max="2" width="5.1796875" bestFit="1" customWidth="1"/>
    <col min="3" max="3" width="7.90625" bestFit="1" customWidth="1"/>
  </cols>
  <sheetData>
    <row r="1" spans="1:3">
      <c r="A1" s="84" t="s">
        <v>125</v>
      </c>
    </row>
    <row r="2" spans="1:3">
      <c r="A2" s="85" t="s">
        <v>126</v>
      </c>
      <c r="B2" s="85" t="s">
        <v>127</v>
      </c>
      <c r="C2" s="85" t="s">
        <v>128</v>
      </c>
    </row>
    <row r="4" spans="1:3">
      <c r="A4" s="84" t="s">
        <v>129</v>
      </c>
    </row>
    <row r="5" spans="1:3">
      <c r="A5" s="85" t="s">
        <v>126</v>
      </c>
      <c r="B5" s="85" t="s">
        <v>130</v>
      </c>
      <c r="C5" s="85" t="s">
        <v>128</v>
      </c>
    </row>
    <row r="8" spans="1:3">
      <c r="A8" s="84" t="s">
        <v>131</v>
      </c>
      <c r="B8" t="s">
        <v>132</v>
      </c>
    </row>
    <row r="9" spans="1:3">
      <c r="B9" t="s">
        <v>133</v>
      </c>
    </row>
    <row r="11" spans="1:3">
      <c r="B11" t="s">
        <v>134</v>
      </c>
    </row>
    <row r="12" spans="1:3">
      <c r="B12" t="s">
        <v>135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91404-29D7-4DBB-BDD0-46C23997626D}">
  <dimension ref="A1:Z39"/>
  <sheetViews>
    <sheetView zoomScale="61" zoomScaleNormal="85" workbookViewId="0">
      <pane xSplit="1" ySplit="2" topLeftCell="B3" activePane="bottomRight" state="frozen"/>
      <selection pane="topRight" activeCell="B1" sqref="B1"/>
      <selection pane="bottomLeft" activeCell="A3" sqref="A3"/>
      <selection pane="bottomRight" activeCell="C12" sqref="C12"/>
    </sheetView>
  </sheetViews>
  <sheetFormatPr defaultRowHeight="14.5"/>
  <cols>
    <col min="1" max="1" width="16.1796875" bestFit="1" customWidth="1"/>
    <col min="2" max="2" width="11.453125" customWidth="1"/>
    <col min="3" max="3" width="12.54296875" customWidth="1"/>
    <col min="4" max="4" width="9.81640625" customWidth="1"/>
    <col min="5" max="5" width="9.54296875" customWidth="1"/>
    <col min="7" max="7" width="12.453125" customWidth="1"/>
    <col min="9" max="9" width="14.81640625" customWidth="1"/>
    <col min="10" max="10" width="9.81640625" customWidth="1"/>
    <col min="16" max="16" width="2.453125" customWidth="1"/>
    <col min="17" max="17" width="21.36328125" bestFit="1" customWidth="1"/>
    <col min="18" max="18" width="25.90625" bestFit="1" customWidth="1"/>
    <col min="19" max="19" width="18.6328125" customWidth="1"/>
    <col min="20" max="20" width="12" customWidth="1"/>
    <col min="21" max="21" width="6.7265625" bestFit="1" customWidth="1"/>
    <col min="22" max="22" width="21.1796875" bestFit="1" customWidth="1"/>
    <col min="23" max="23" width="9.90625" bestFit="1" customWidth="1"/>
    <col min="24" max="24" width="6.54296875" bestFit="1" customWidth="1"/>
    <col min="25" max="25" width="10.6328125" bestFit="1" customWidth="1"/>
    <col min="26" max="26" width="10.7265625" bestFit="1" customWidth="1"/>
    <col min="27" max="27" width="10.81640625" bestFit="1" customWidth="1"/>
    <col min="28" max="28" width="12.54296875" bestFit="1" customWidth="1"/>
    <col min="29" max="29" width="11.453125" bestFit="1" customWidth="1"/>
    <col min="30" max="30" width="11.54296875" bestFit="1" customWidth="1"/>
  </cols>
  <sheetData>
    <row r="1" spans="1:26" ht="54.75" customHeight="1">
      <c r="A1" s="22" t="s">
        <v>8</v>
      </c>
      <c r="B1" s="22" t="s">
        <v>22</v>
      </c>
      <c r="C1" s="22" t="s">
        <v>28</v>
      </c>
      <c r="D1" s="22" t="s">
        <v>29</v>
      </c>
      <c r="E1" s="22" t="s">
        <v>30</v>
      </c>
      <c r="F1" s="22" t="s">
        <v>23</v>
      </c>
      <c r="G1" s="22" t="s">
        <v>31</v>
      </c>
      <c r="H1" s="22" t="s">
        <v>32</v>
      </c>
      <c r="I1" s="22" t="s">
        <v>27</v>
      </c>
      <c r="J1" s="22" t="s">
        <v>18</v>
      </c>
      <c r="K1" s="22" t="s">
        <v>33</v>
      </c>
      <c r="L1" s="22" t="s">
        <v>26</v>
      </c>
      <c r="M1" s="22" t="s">
        <v>34</v>
      </c>
      <c r="N1" s="22" t="s">
        <v>19</v>
      </c>
      <c r="O1" s="20" t="s">
        <v>35</v>
      </c>
    </row>
    <row r="2" spans="1:26" ht="15" customHeight="1">
      <c r="A2" s="103" t="s">
        <v>36</v>
      </c>
      <c r="B2" s="103"/>
      <c r="C2" s="103"/>
      <c r="D2" s="103"/>
      <c r="E2" s="103"/>
      <c r="F2" s="103"/>
      <c r="G2" s="103"/>
      <c r="H2" s="103"/>
      <c r="I2" s="103"/>
      <c r="J2" s="103"/>
      <c r="K2" s="103"/>
      <c r="L2" s="103"/>
      <c r="M2" s="103"/>
      <c r="N2" s="103"/>
      <c r="O2" s="103"/>
    </row>
    <row r="3" spans="1:26">
      <c r="A3" s="16" t="s">
        <v>37</v>
      </c>
      <c r="B3" s="17">
        <v>1</v>
      </c>
      <c r="C3" s="17"/>
      <c r="D3" s="17">
        <v>1</v>
      </c>
      <c r="E3" s="17"/>
      <c r="F3" s="17"/>
      <c r="G3" s="17"/>
      <c r="H3" s="17">
        <v>1</v>
      </c>
      <c r="I3" s="17">
        <v>1</v>
      </c>
      <c r="J3" s="17">
        <v>2</v>
      </c>
      <c r="K3" s="17"/>
      <c r="L3" s="17">
        <v>1</v>
      </c>
      <c r="M3" s="17"/>
      <c r="N3" s="17">
        <v>5</v>
      </c>
      <c r="O3" s="17">
        <f>SUM(B3:N3)</f>
        <v>12</v>
      </c>
    </row>
    <row r="4" spans="1:26">
      <c r="A4" s="16" t="s">
        <v>38</v>
      </c>
      <c r="B4" s="17">
        <v>1</v>
      </c>
      <c r="C4" s="17">
        <v>3</v>
      </c>
      <c r="D4" s="17"/>
      <c r="E4" s="17"/>
      <c r="F4" s="17"/>
      <c r="G4" s="17"/>
      <c r="H4" s="17">
        <v>1</v>
      </c>
      <c r="I4" s="17">
        <v>1</v>
      </c>
      <c r="J4" s="17"/>
      <c r="K4" s="17"/>
      <c r="L4" s="17"/>
      <c r="M4" s="17"/>
      <c r="N4" s="17">
        <v>1</v>
      </c>
      <c r="O4" s="17">
        <f>SUM(B4:N4)</f>
        <v>7</v>
      </c>
    </row>
    <row r="5" spans="1:26">
      <c r="A5" s="16" t="s">
        <v>39</v>
      </c>
      <c r="B5" s="17"/>
      <c r="C5" s="17"/>
      <c r="D5" s="17"/>
      <c r="E5" s="17"/>
      <c r="F5" s="17"/>
      <c r="G5" s="17"/>
      <c r="H5" s="17"/>
      <c r="I5" s="17"/>
      <c r="J5" s="17"/>
      <c r="K5" s="17"/>
      <c r="L5" s="17"/>
      <c r="M5" s="17"/>
      <c r="N5" s="17">
        <v>1</v>
      </c>
      <c r="O5" s="17">
        <f t="shared" ref="O5:O18" si="0">SUM(B5:N5)</f>
        <v>1</v>
      </c>
      <c r="R5" s="36" t="s">
        <v>136</v>
      </c>
      <c r="S5" s="36" t="s">
        <v>102</v>
      </c>
    </row>
    <row r="6" spans="1:26">
      <c r="A6" s="16" t="s">
        <v>40</v>
      </c>
      <c r="B6" s="17"/>
      <c r="C6" s="17"/>
      <c r="D6" s="17"/>
      <c r="E6" s="17"/>
      <c r="F6" s="17">
        <v>1</v>
      </c>
      <c r="G6" s="17">
        <v>1</v>
      </c>
      <c r="H6" s="17"/>
      <c r="I6" s="17">
        <v>9</v>
      </c>
      <c r="J6" s="17">
        <v>1</v>
      </c>
      <c r="K6" s="17"/>
      <c r="L6" s="17"/>
      <c r="M6" s="17"/>
      <c r="N6" s="17">
        <v>4</v>
      </c>
      <c r="O6" s="17">
        <f t="shared" si="0"/>
        <v>16</v>
      </c>
      <c r="R6" s="36" t="s">
        <v>98</v>
      </c>
      <c r="S6" t="s">
        <v>29</v>
      </c>
      <c r="T6" t="s">
        <v>19</v>
      </c>
      <c r="U6" t="s">
        <v>99</v>
      </c>
      <c r="V6" t="s">
        <v>28</v>
      </c>
      <c r="W6" t="s">
        <v>146</v>
      </c>
      <c r="X6" t="s">
        <v>23</v>
      </c>
      <c r="Y6" t="s">
        <v>190</v>
      </c>
      <c r="Z6" t="s">
        <v>35</v>
      </c>
    </row>
    <row r="7" spans="1:26">
      <c r="A7" s="16" t="s">
        <v>41</v>
      </c>
      <c r="B7" s="17"/>
      <c r="C7" s="17">
        <v>1</v>
      </c>
      <c r="D7" s="17"/>
      <c r="E7" s="17"/>
      <c r="F7" s="17">
        <v>2</v>
      </c>
      <c r="G7" s="17"/>
      <c r="H7" s="17">
        <v>1</v>
      </c>
      <c r="I7" s="17">
        <v>1</v>
      </c>
      <c r="J7" s="17"/>
      <c r="K7" s="17"/>
      <c r="L7" s="17"/>
      <c r="M7" s="17"/>
      <c r="N7" s="17"/>
      <c r="O7" s="17">
        <f t="shared" si="0"/>
        <v>5</v>
      </c>
      <c r="R7" s="27" t="s">
        <v>45</v>
      </c>
      <c r="S7" s="116">
        <v>1</v>
      </c>
      <c r="T7" s="116">
        <v>1</v>
      </c>
      <c r="U7" s="116"/>
      <c r="V7" s="116"/>
      <c r="W7" s="116"/>
      <c r="X7" s="116"/>
      <c r="Y7" s="116"/>
      <c r="Z7" s="116">
        <v>2</v>
      </c>
    </row>
    <row r="8" spans="1:26">
      <c r="A8" s="16" t="s">
        <v>42</v>
      </c>
      <c r="B8" s="17"/>
      <c r="C8" s="17">
        <v>1</v>
      </c>
      <c r="D8" s="17"/>
      <c r="E8" s="17"/>
      <c r="F8" s="17"/>
      <c r="G8" s="17"/>
      <c r="H8" s="17"/>
      <c r="I8" s="17"/>
      <c r="J8" s="17"/>
      <c r="K8" s="17"/>
      <c r="L8" s="17"/>
      <c r="M8" s="17"/>
      <c r="N8" s="17"/>
      <c r="O8" s="17">
        <f t="shared" si="0"/>
        <v>1</v>
      </c>
      <c r="R8" s="27" t="s">
        <v>99</v>
      </c>
      <c r="S8" s="116"/>
      <c r="T8" s="116"/>
      <c r="U8" s="116"/>
      <c r="V8" s="116"/>
      <c r="W8" s="116"/>
      <c r="X8" s="116"/>
      <c r="Y8" s="116"/>
      <c r="Z8" s="116"/>
    </row>
    <row r="9" spans="1:26">
      <c r="A9" s="16" t="s">
        <v>21</v>
      </c>
      <c r="B9" s="17"/>
      <c r="C9" s="17">
        <v>1</v>
      </c>
      <c r="D9" s="17">
        <v>2</v>
      </c>
      <c r="E9" s="17"/>
      <c r="F9" s="17">
        <v>4</v>
      </c>
      <c r="G9" s="17"/>
      <c r="H9" s="17">
        <v>1</v>
      </c>
      <c r="I9" s="17">
        <v>2</v>
      </c>
      <c r="J9" s="17">
        <v>3</v>
      </c>
      <c r="K9" s="17"/>
      <c r="L9" s="17"/>
      <c r="M9" s="17"/>
      <c r="N9" s="17">
        <v>11</v>
      </c>
      <c r="O9" s="17">
        <f>SUM(B9:N9)</f>
        <v>24</v>
      </c>
      <c r="R9" s="27" t="s">
        <v>148</v>
      </c>
      <c r="S9" s="116"/>
      <c r="T9" s="116"/>
      <c r="U9" s="116"/>
      <c r="V9" s="116"/>
      <c r="W9" s="116">
        <v>1</v>
      </c>
      <c r="X9" s="116"/>
      <c r="Y9" s="116"/>
      <c r="Z9" s="116">
        <v>1</v>
      </c>
    </row>
    <row r="10" spans="1:26">
      <c r="A10" s="16" t="s">
        <v>24</v>
      </c>
      <c r="B10" s="17">
        <v>3</v>
      </c>
      <c r="C10" s="17">
        <v>15</v>
      </c>
      <c r="D10" s="17">
        <v>4</v>
      </c>
      <c r="E10" s="17"/>
      <c r="F10" s="17">
        <v>5</v>
      </c>
      <c r="G10" s="17"/>
      <c r="H10" s="17">
        <v>2</v>
      </c>
      <c r="I10" s="17">
        <v>13</v>
      </c>
      <c r="J10" s="17">
        <v>17</v>
      </c>
      <c r="K10" s="17"/>
      <c r="L10" s="17"/>
      <c r="M10" s="17"/>
      <c r="N10" s="17">
        <v>29</v>
      </c>
      <c r="O10" s="17">
        <f>SUM(B10:N10)</f>
        <v>88</v>
      </c>
      <c r="R10" s="27" t="s">
        <v>158</v>
      </c>
      <c r="S10" s="116">
        <v>1</v>
      </c>
      <c r="T10" s="116"/>
      <c r="U10" s="116"/>
      <c r="V10" s="116"/>
      <c r="W10" s="116"/>
      <c r="X10" s="116"/>
      <c r="Y10" s="116"/>
      <c r="Z10" s="116">
        <v>1</v>
      </c>
    </row>
    <row r="11" spans="1:26">
      <c r="A11" s="16" t="s">
        <v>43</v>
      </c>
      <c r="B11" s="17">
        <v>5</v>
      </c>
      <c r="C11" s="17">
        <v>5</v>
      </c>
      <c r="D11" s="17">
        <v>2</v>
      </c>
      <c r="E11" s="17"/>
      <c r="F11" s="17">
        <v>7</v>
      </c>
      <c r="G11" s="17"/>
      <c r="H11" s="17">
        <v>1</v>
      </c>
      <c r="I11" s="17">
        <v>15</v>
      </c>
      <c r="J11" s="17">
        <v>13</v>
      </c>
      <c r="K11" s="17"/>
      <c r="L11" s="17"/>
      <c r="M11" s="17"/>
      <c r="N11" s="17">
        <v>15</v>
      </c>
      <c r="O11" s="17">
        <f t="shared" si="0"/>
        <v>63</v>
      </c>
      <c r="R11" s="27" t="s">
        <v>121</v>
      </c>
      <c r="S11" s="116"/>
      <c r="T11" s="116"/>
      <c r="U11" s="116"/>
      <c r="V11" s="116"/>
      <c r="W11" s="116">
        <v>1</v>
      </c>
      <c r="X11" s="116"/>
      <c r="Y11" s="116"/>
      <c r="Z11" s="116">
        <v>1</v>
      </c>
    </row>
    <row r="12" spans="1:26">
      <c r="A12" s="16" t="s">
        <v>44</v>
      </c>
      <c r="B12" s="17">
        <v>1</v>
      </c>
      <c r="C12" s="17">
        <v>1</v>
      </c>
      <c r="D12" s="17">
        <v>1</v>
      </c>
      <c r="E12" s="17"/>
      <c r="F12" s="17">
        <v>3</v>
      </c>
      <c r="G12" s="17"/>
      <c r="H12" s="17"/>
      <c r="I12" s="17">
        <v>2</v>
      </c>
      <c r="J12" s="17">
        <v>3</v>
      </c>
      <c r="K12" s="17"/>
      <c r="L12" s="17"/>
      <c r="M12" s="17"/>
      <c r="N12" s="17">
        <v>5</v>
      </c>
      <c r="O12" s="17">
        <f t="shared" si="0"/>
        <v>16</v>
      </c>
      <c r="R12" s="27" t="s">
        <v>170</v>
      </c>
      <c r="S12" s="116"/>
      <c r="T12" s="116"/>
      <c r="U12" s="116"/>
      <c r="V12" s="116"/>
      <c r="W12" s="116"/>
      <c r="X12" s="116">
        <v>1</v>
      </c>
      <c r="Y12" s="116"/>
      <c r="Z12" s="116">
        <v>1</v>
      </c>
    </row>
    <row r="13" spans="1:26">
      <c r="A13" s="16" t="s">
        <v>45</v>
      </c>
      <c r="B13" s="17">
        <v>1</v>
      </c>
      <c r="C13" s="17"/>
      <c r="D13" s="17">
        <v>3</v>
      </c>
      <c r="E13" s="17"/>
      <c r="F13" s="17">
        <v>3</v>
      </c>
      <c r="G13" s="17"/>
      <c r="H13" s="17"/>
      <c r="I13" s="17">
        <v>5</v>
      </c>
      <c r="J13" s="17">
        <v>1</v>
      </c>
      <c r="K13" s="17"/>
      <c r="L13" s="17"/>
      <c r="M13" s="17"/>
      <c r="N13" s="17">
        <v>7</v>
      </c>
      <c r="O13" s="17">
        <f t="shared" si="0"/>
        <v>20</v>
      </c>
      <c r="R13" s="27" t="s">
        <v>178</v>
      </c>
      <c r="S13" s="116"/>
      <c r="T13" s="116">
        <v>1</v>
      </c>
      <c r="U13" s="116"/>
      <c r="V13" s="116"/>
      <c r="W13" s="116"/>
      <c r="X13" s="116"/>
      <c r="Y13" s="116"/>
      <c r="Z13" s="116">
        <v>1</v>
      </c>
    </row>
    <row r="14" spans="1:26">
      <c r="A14" s="16" t="s">
        <v>20</v>
      </c>
      <c r="B14" s="17">
        <v>2</v>
      </c>
      <c r="C14" s="17">
        <v>1</v>
      </c>
      <c r="D14" s="17"/>
      <c r="E14" s="17"/>
      <c r="F14" s="17">
        <v>4</v>
      </c>
      <c r="G14" s="17"/>
      <c r="H14" s="17"/>
      <c r="I14" s="17">
        <v>2</v>
      </c>
      <c r="J14" s="17">
        <v>6</v>
      </c>
      <c r="K14" s="17"/>
      <c r="L14" s="17"/>
      <c r="M14" s="17"/>
      <c r="N14" s="17">
        <v>7</v>
      </c>
      <c r="O14" s="17">
        <f t="shared" si="0"/>
        <v>22</v>
      </c>
      <c r="R14" s="27" t="s">
        <v>21</v>
      </c>
      <c r="S14" s="116"/>
      <c r="T14" s="116"/>
      <c r="U14" s="116"/>
      <c r="V14" s="116"/>
      <c r="W14" s="116">
        <v>1</v>
      </c>
      <c r="X14" s="116"/>
      <c r="Y14" s="116"/>
      <c r="Z14" s="116">
        <v>1</v>
      </c>
    </row>
    <row r="15" spans="1:26">
      <c r="A15" s="16" t="s">
        <v>46</v>
      </c>
      <c r="B15" s="17">
        <v>2</v>
      </c>
      <c r="C15" s="17">
        <v>1</v>
      </c>
      <c r="D15" s="17">
        <v>2</v>
      </c>
      <c r="E15" s="17"/>
      <c r="F15" s="17"/>
      <c r="G15" s="17"/>
      <c r="H15" s="17"/>
      <c r="I15" s="17">
        <v>3</v>
      </c>
      <c r="J15" s="17">
        <v>2</v>
      </c>
      <c r="K15" s="17">
        <v>1</v>
      </c>
      <c r="L15" s="17"/>
      <c r="M15" s="17"/>
      <c r="N15" s="17">
        <v>7</v>
      </c>
      <c r="O15" s="17">
        <f t="shared" si="0"/>
        <v>18</v>
      </c>
      <c r="R15" s="27" t="s">
        <v>53</v>
      </c>
      <c r="S15" s="116">
        <v>1</v>
      </c>
      <c r="T15" s="116"/>
      <c r="U15" s="116"/>
      <c r="V15" s="116"/>
      <c r="W15" s="116"/>
      <c r="X15" s="116"/>
      <c r="Y15" s="116"/>
      <c r="Z15" s="116">
        <v>1</v>
      </c>
    </row>
    <row r="16" spans="1:26">
      <c r="A16" s="16" t="s">
        <v>25</v>
      </c>
      <c r="B16" s="17">
        <v>3</v>
      </c>
      <c r="C16" s="17">
        <v>4</v>
      </c>
      <c r="D16" s="17"/>
      <c r="E16" s="17"/>
      <c r="F16" s="17">
        <v>3</v>
      </c>
      <c r="G16" s="17"/>
      <c r="H16" s="17"/>
      <c r="I16" s="17">
        <v>14</v>
      </c>
      <c r="J16" s="17">
        <v>11</v>
      </c>
      <c r="K16" s="17"/>
      <c r="L16" s="17"/>
      <c r="N16" s="17">
        <v>14</v>
      </c>
      <c r="O16" s="17">
        <f t="shared" si="0"/>
        <v>49</v>
      </c>
      <c r="R16" s="27" t="s">
        <v>198</v>
      </c>
      <c r="S16" s="116"/>
      <c r="T16" s="116">
        <v>2</v>
      </c>
      <c r="U16" s="116"/>
      <c r="V16" s="116"/>
      <c r="W16" s="116"/>
      <c r="X16" s="116"/>
      <c r="Y16" s="116"/>
      <c r="Z16" s="116">
        <v>2</v>
      </c>
    </row>
    <row r="17" spans="1:26">
      <c r="A17" s="16" t="s">
        <v>47</v>
      </c>
      <c r="B17" s="17"/>
      <c r="C17" s="17"/>
      <c r="D17" s="17"/>
      <c r="E17" s="17"/>
      <c r="F17" s="17"/>
      <c r="G17" s="17"/>
      <c r="H17" s="17"/>
      <c r="I17" s="17">
        <v>3</v>
      </c>
      <c r="J17" s="17"/>
      <c r="K17" s="17"/>
      <c r="L17" s="17"/>
      <c r="M17" s="17"/>
      <c r="N17" s="17">
        <v>1</v>
      </c>
      <c r="O17" s="17">
        <f t="shared" si="0"/>
        <v>4</v>
      </c>
      <c r="R17" s="27" t="s">
        <v>206</v>
      </c>
      <c r="S17" s="116"/>
      <c r="T17" s="116"/>
      <c r="U17" s="116"/>
      <c r="V17" s="116"/>
      <c r="W17" s="116"/>
      <c r="X17" s="116"/>
      <c r="Y17" s="116">
        <v>1</v>
      </c>
      <c r="Z17" s="116">
        <v>1</v>
      </c>
    </row>
    <row r="18" spans="1:26">
      <c r="A18" s="16" t="s">
        <v>48</v>
      </c>
      <c r="B18" s="17">
        <v>1</v>
      </c>
      <c r="C18" s="17">
        <v>6</v>
      </c>
      <c r="D18" s="17">
        <v>6</v>
      </c>
      <c r="E18" s="17"/>
      <c r="F18" s="17">
        <v>5</v>
      </c>
      <c r="G18" s="17">
        <v>1</v>
      </c>
      <c r="H18" s="17"/>
      <c r="I18" s="17">
        <v>13</v>
      </c>
      <c r="J18" s="17">
        <v>17</v>
      </c>
      <c r="K18" s="17"/>
      <c r="L18" s="17">
        <v>1</v>
      </c>
      <c r="M18" s="17"/>
      <c r="N18" s="17">
        <v>23</v>
      </c>
      <c r="O18" s="17">
        <f t="shared" si="0"/>
        <v>73</v>
      </c>
      <c r="R18" s="27" t="s">
        <v>223</v>
      </c>
      <c r="S18" s="116"/>
      <c r="T18" s="116"/>
      <c r="U18" s="116"/>
      <c r="V18" s="116">
        <v>1</v>
      </c>
      <c r="W18" s="116"/>
      <c r="X18" s="116"/>
      <c r="Y18" s="116"/>
      <c r="Z18" s="116">
        <v>1</v>
      </c>
    </row>
    <row r="19" spans="1:26" ht="15" customHeight="1">
      <c r="A19" s="104" t="s">
        <v>49</v>
      </c>
      <c r="B19" s="104"/>
      <c r="C19" s="104"/>
      <c r="D19" s="104"/>
      <c r="E19" s="104"/>
      <c r="F19" s="104"/>
      <c r="G19" s="104"/>
      <c r="H19" s="104"/>
      <c r="I19" s="104"/>
      <c r="J19" s="104"/>
      <c r="K19" s="104"/>
      <c r="L19" s="104"/>
      <c r="M19" s="104"/>
      <c r="N19" s="104"/>
      <c r="O19" s="93">
        <f>SUM(O3:O18)</f>
        <v>419</v>
      </c>
      <c r="R19" s="27" t="s">
        <v>35</v>
      </c>
      <c r="S19" s="116">
        <v>3</v>
      </c>
      <c r="T19" s="116">
        <v>4</v>
      </c>
      <c r="U19" s="116"/>
      <c r="V19" s="116">
        <v>1</v>
      </c>
      <c r="W19" s="116">
        <v>3</v>
      </c>
      <c r="X19" s="116">
        <v>1</v>
      </c>
      <c r="Y19" s="116">
        <v>1</v>
      </c>
      <c r="Z19" s="116">
        <v>13</v>
      </c>
    </row>
    <row r="20" spans="1:26" ht="15" customHeight="1">
      <c r="A20" s="103" t="s">
        <v>50</v>
      </c>
      <c r="B20" s="103"/>
      <c r="C20" s="103"/>
      <c r="D20" s="103"/>
      <c r="E20" s="103"/>
      <c r="F20" s="103"/>
      <c r="G20" s="103"/>
      <c r="H20" s="103"/>
      <c r="I20" s="103"/>
      <c r="J20" s="103"/>
      <c r="K20" s="103"/>
      <c r="L20" s="103"/>
      <c r="M20" s="103"/>
      <c r="N20" s="103"/>
      <c r="O20" s="103"/>
    </row>
    <row r="21" spans="1:26">
      <c r="A21" s="16" t="s">
        <v>51</v>
      </c>
      <c r="B21" s="17"/>
      <c r="C21" s="17"/>
      <c r="D21" s="17"/>
      <c r="E21" s="17"/>
      <c r="F21" s="17">
        <v>1</v>
      </c>
      <c r="G21" s="17"/>
      <c r="H21" s="17"/>
      <c r="I21" s="17">
        <v>1</v>
      </c>
      <c r="J21" s="17"/>
      <c r="K21" s="17"/>
      <c r="L21" s="17"/>
      <c r="M21" s="17"/>
      <c r="N21" s="17"/>
      <c r="O21" s="17">
        <f>SUM(B21:N21)</f>
        <v>2</v>
      </c>
    </row>
    <row r="22" spans="1:26">
      <c r="A22" s="16" t="s">
        <v>52</v>
      </c>
      <c r="B22" s="17"/>
      <c r="C22" s="17"/>
      <c r="D22" s="17">
        <v>1</v>
      </c>
      <c r="E22" s="17"/>
      <c r="F22" s="17"/>
      <c r="G22" s="17"/>
      <c r="H22" s="17"/>
      <c r="I22" s="17">
        <v>2</v>
      </c>
      <c r="J22" s="17">
        <v>2</v>
      </c>
      <c r="K22" s="17">
        <v>1</v>
      </c>
      <c r="L22" s="17">
        <v>1</v>
      </c>
      <c r="M22" s="17"/>
      <c r="N22" s="17">
        <v>2</v>
      </c>
      <c r="O22" s="17">
        <f t="shared" ref="O22:O31" si="1">SUM(B22:N22)</f>
        <v>9</v>
      </c>
    </row>
    <row r="23" spans="1:26">
      <c r="A23" s="16" t="s">
        <v>53</v>
      </c>
      <c r="B23" s="17"/>
      <c r="C23" s="17"/>
      <c r="D23" s="17">
        <v>1</v>
      </c>
      <c r="E23" s="17"/>
      <c r="F23" s="17"/>
      <c r="G23" s="17"/>
      <c r="H23" s="17"/>
      <c r="I23" s="17">
        <v>2</v>
      </c>
      <c r="J23" s="17">
        <v>1</v>
      </c>
      <c r="K23" s="17"/>
      <c r="L23" s="17"/>
      <c r="M23" s="17"/>
      <c r="N23" s="17">
        <v>3</v>
      </c>
      <c r="O23" s="17">
        <f t="shared" si="1"/>
        <v>7</v>
      </c>
    </row>
    <row r="24" spans="1:26">
      <c r="A24" s="16" t="s">
        <v>138</v>
      </c>
      <c r="B24" s="17"/>
      <c r="C24" s="17"/>
      <c r="D24" s="17"/>
      <c r="E24" s="17"/>
      <c r="F24" s="17"/>
      <c r="G24" s="17"/>
      <c r="H24" s="17"/>
      <c r="I24" s="17">
        <v>2</v>
      </c>
      <c r="J24" s="17"/>
      <c r="K24" s="17"/>
      <c r="L24" s="17"/>
      <c r="M24" s="17"/>
      <c r="N24" s="17"/>
      <c r="O24" s="17">
        <f t="shared" si="1"/>
        <v>2</v>
      </c>
    </row>
    <row r="25" spans="1:26">
      <c r="A25" s="16" t="s">
        <v>54</v>
      </c>
      <c r="B25" s="17"/>
      <c r="C25" s="17"/>
      <c r="D25" s="17"/>
      <c r="E25" s="17"/>
      <c r="F25" s="17"/>
      <c r="G25" s="17"/>
      <c r="H25" s="17"/>
      <c r="I25" s="17">
        <v>1</v>
      </c>
      <c r="J25" s="17"/>
      <c r="K25" s="17"/>
      <c r="L25" s="17"/>
      <c r="M25" s="17"/>
      <c r="N25" s="17"/>
      <c r="O25" s="17">
        <f t="shared" si="1"/>
        <v>1</v>
      </c>
    </row>
    <row r="26" spans="1:26">
      <c r="A26" s="16" t="s">
        <v>55</v>
      </c>
      <c r="B26" s="17">
        <v>1</v>
      </c>
      <c r="C26" s="17"/>
      <c r="D26" s="17"/>
      <c r="E26" s="17"/>
      <c r="F26" s="17"/>
      <c r="G26" s="17"/>
      <c r="H26" s="17"/>
      <c r="I26" s="17">
        <v>1</v>
      </c>
      <c r="J26" s="17"/>
      <c r="K26" s="17"/>
      <c r="L26" s="17"/>
      <c r="M26" s="17"/>
      <c r="N26" s="17">
        <v>4</v>
      </c>
      <c r="O26" s="17">
        <f t="shared" si="1"/>
        <v>6</v>
      </c>
    </row>
    <row r="27" spans="1:26">
      <c r="A27" s="16" t="s">
        <v>56</v>
      </c>
      <c r="B27" s="17"/>
      <c r="C27" s="17">
        <v>1</v>
      </c>
      <c r="D27" s="17"/>
      <c r="E27" s="17"/>
      <c r="F27" s="17">
        <v>1</v>
      </c>
      <c r="G27" s="17"/>
      <c r="H27" s="17"/>
      <c r="I27" s="17">
        <v>4</v>
      </c>
      <c r="J27" s="17">
        <v>2</v>
      </c>
      <c r="K27" s="17">
        <v>1</v>
      </c>
      <c r="L27" s="17">
        <v>1</v>
      </c>
      <c r="M27" s="17"/>
      <c r="N27" s="17">
        <v>2</v>
      </c>
      <c r="O27" s="17">
        <f t="shared" si="1"/>
        <v>12</v>
      </c>
    </row>
    <row r="28" spans="1:26">
      <c r="A28" s="16" t="s">
        <v>57</v>
      </c>
      <c r="B28" s="17"/>
      <c r="C28" s="17"/>
      <c r="D28" s="17"/>
      <c r="E28" s="17"/>
      <c r="F28" s="17"/>
      <c r="G28" s="17"/>
      <c r="H28" s="17"/>
      <c r="I28" s="17">
        <v>2</v>
      </c>
      <c r="J28" s="17">
        <v>1</v>
      </c>
      <c r="K28" s="17"/>
      <c r="L28" s="17"/>
      <c r="M28" s="17"/>
      <c r="N28" s="17">
        <v>1</v>
      </c>
      <c r="O28" s="17">
        <f t="shared" si="1"/>
        <v>4</v>
      </c>
    </row>
    <row r="29" spans="1:26">
      <c r="A29" s="16" t="s">
        <v>58</v>
      </c>
      <c r="B29" s="17"/>
      <c r="C29" s="17">
        <v>2</v>
      </c>
      <c r="D29" s="17">
        <v>3</v>
      </c>
      <c r="E29" s="17"/>
      <c r="F29" s="17">
        <v>2</v>
      </c>
      <c r="G29" s="17"/>
      <c r="H29" s="17"/>
      <c r="I29" s="17">
        <v>2</v>
      </c>
      <c r="J29" s="17">
        <v>2</v>
      </c>
      <c r="K29" s="17"/>
      <c r="L29" s="17">
        <v>1</v>
      </c>
      <c r="M29" s="17"/>
      <c r="N29" s="17">
        <v>4</v>
      </c>
      <c r="O29" s="17">
        <f t="shared" si="1"/>
        <v>16</v>
      </c>
    </row>
    <row r="30" spans="1:26">
      <c r="A30" s="16" t="s">
        <v>59</v>
      </c>
      <c r="B30" s="17">
        <v>1</v>
      </c>
      <c r="C30" s="17">
        <v>2</v>
      </c>
      <c r="D30" s="17"/>
      <c r="E30" s="17"/>
      <c r="F30" s="17"/>
      <c r="G30" s="17"/>
      <c r="H30" s="17"/>
      <c r="I30" s="17">
        <v>4</v>
      </c>
      <c r="J30" s="17">
        <v>2</v>
      </c>
      <c r="K30" s="17"/>
      <c r="L30" s="17"/>
      <c r="M30" s="17"/>
      <c r="N30" s="17">
        <v>1</v>
      </c>
      <c r="O30" s="17">
        <f t="shared" si="1"/>
        <v>10</v>
      </c>
    </row>
    <row r="31" spans="1:26">
      <c r="A31" s="16" t="s">
        <v>60</v>
      </c>
      <c r="B31" s="17"/>
      <c r="C31" s="17"/>
      <c r="D31" s="17"/>
      <c r="E31" s="17"/>
      <c r="F31" s="17"/>
      <c r="G31" s="17"/>
      <c r="H31" s="17"/>
      <c r="I31" s="17"/>
      <c r="J31" s="17"/>
      <c r="K31" s="17"/>
      <c r="L31" s="17"/>
      <c r="M31" s="17"/>
      <c r="N31" s="17"/>
      <c r="O31" s="17">
        <f t="shared" si="1"/>
        <v>0</v>
      </c>
    </row>
    <row r="32" spans="1:26">
      <c r="A32" s="16" t="s">
        <v>61</v>
      </c>
      <c r="B32" s="17"/>
      <c r="C32" s="17">
        <v>3</v>
      </c>
      <c r="D32" s="17"/>
      <c r="E32" s="17"/>
      <c r="F32" s="17"/>
      <c r="G32" s="17"/>
      <c r="H32" s="17">
        <v>1</v>
      </c>
      <c r="I32" s="17"/>
      <c r="J32" s="17">
        <v>3</v>
      </c>
      <c r="K32" s="17"/>
      <c r="L32" s="17"/>
      <c r="M32" s="17"/>
      <c r="N32" s="17">
        <v>1</v>
      </c>
      <c r="O32" s="17">
        <f>SUM(B32:N32)</f>
        <v>8</v>
      </c>
    </row>
    <row r="33" spans="1:15">
      <c r="A33" s="16" t="s">
        <v>48</v>
      </c>
      <c r="B33" s="17"/>
      <c r="C33" s="17"/>
      <c r="D33" s="17"/>
      <c r="E33" s="17"/>
      <c r="F33" s="17"/>
      <c r="G33" s="17"/>
      <c r="H33" s="17"/>
      <c r="I33" s="17">
        <v>3</v>
      </c>
      <c r="J33" s="17">
        <v>1</v>
      </c>
      <c r="K33" s="17"/>
      <c r="L33" s="17"/>
      <c r="M33" s="17"/>
      <c r="N33" s="17">
        <v>1</v>
      </c>
      <c r="O33" s="17">
        <f>SUM(B33:N33)</f>
        <v>5</v>
      </c>
    </row>
    <row r="34" spans="1:15" ht="15" customHeight="1">
      <c r="A34" s="104" t="s">
        <v>62</v>
      </c>
      <c r="B34" s="104"/>
      <c r="C34" s="104"/>
      <c r="D34" s="104"/>
      <c r="E34" s="104"/>
      <c r="F34" s="104"/>
      <c r="G34" s="104"/>
      <c r="H34" s="104"/>
      <c r="I34" s="104"/>
      <c r="J34" s="104"/>
      <c r="K34" s="104"/>
      <c r="L34" s="104"/>
      <c r="M34" s="104"/>
      <c r="N34" s="104"/>
      <c r="O34" s="94">
        <f>SUM(O21:O33)</f>
        <v>82</v>
      </c>
    </row>
    <row r="39" spans="1:15">
      <c r="A39" s="28"/>
      <c r="B39" s="29"/>
      <c r="C39" s="29"/>
      <c r="D39" s="29"/>
      <c r="E39" s="29"/>
      <c r="F39" s="29"/>
      <c r="G39" s="29"/>
      <c r="H39" s="29"/>
      <c r="I39" s="29"/>
      <c r="J39" s="29"/>
      <c r="K39" s="29"/>
      <c r="L39" s="29"/>
      <c r="M39" s="29"/>
      <c r="N39" s="29"/>
      <c r="O39" s="30"/>
    </row>
  </sheetData>
  <mergeCells count="4">
    <mergeCell ref="A2:O2"/>
    <mergeCell ref="A19:N19"/>
    <mergeCell ref="A20:O20"/>
    <mergeCell ref="A34:N34"/>
  </mergeCells>
  <pageMargins left="0.7" right="0.7" top="0.75" bottom="0.75" header="0.3" footer="0.3"/>
  <pageSetup paperSize="9"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72370F-B11A-4B20-A5AD-61C4E9B583AE}">
  <dimension ref="A1:R10"/>
  <sheetViews>
    <sheetView zoomScale="74" zoomScaleNormal="55" workbookViewId="0">
      <selection activeCell="B3" sqref="B3"/>
    </sheetView>
  </sheetViews>
  <sheetFormatPr defaultRowHeight="14.5"/>
  <cols>
    <col min="1" max="1" width="14.1796875" customWidth="1"/>
    <col min="2" max="8" width="12.54296875" customWidth="1"/>
    <col min="9" max="9" width="13.1796875" customWidth="1"/>
    <col min="10" max="15" width="12.54296875" customWidth="1"/>
    <col min="17" max="17" width="22.6328125" bestFit="1" customWidth="1"/>
    <col min="18" max="18" width="14.26953125" bestFit="1" customWidth="1"/>
  </cols>
  <sheetData>
    <row r="1" spans="1:18" ht="58.5" thickBot="1">
      <c r="A1" s="2" t="s">
        <v>143</v>
      </c>
      <c r="B1" s="2" t="s">
        <v>22</v>
      </c>
      <c r="C1" s="2" t="s">
        <v>28</v>
      </c>
      <c r="D1" s="2" t="s">
        <v>29</v>
      </c>
      <c r="E1" s="2" t="s">
        <v>30</v>
      </c>
      <c r="F1" s="2" t="s">
        <v>23</v>
      </c>
      <c r="G1" s="2" t="s">
        <v>31</v>
      </c>
      <c r="H1" s="2" t="s">
        <v>32</v>
      </c>
      <c r="I1" s="2" t="s">
        <v>27</v>
      </c>
      <c r="J1" s="2" t="s">
        <v>18</v>
      </c>
      <c r="K1" s="2" t="s">
        <v>33</v>
      </c>
      <c r="L1" s="2" t="s">
        <v>26</v>
      </c>
      <c r="M1" s="2" t="s">
        <v>34</v>
      </c>
      <c r="N1" s="2" t="s">
        <v>19</v>
      </c>
      <c r="O1" s="3" t="s">
        <v>35</v>
      </c>
    </row>
    <row r="2" spans="1:18" ht="31.5" customHeight="1">
      <c r="A2" s="39" t="s">
        <v>63</v>
      </c>
      <c r="B2" s="17">
        <v>15</v>
      </c>
      <c r="C2" s="17">
        <v>34</v>
      </c>
      <c r="D2" s="17">
        <v>16</v>
      </c>
      <c r="E2" s="17"/>
      <c r="F2" s="17">
        <v>25</v>
      </c>
      <c r="G2" s="17">
        <v>4</v>
      </c>
      <c r="H2" s="17">
        <v>4</v>
      </c>
      <c r="I2" s="17">
        <v>67</v>
      </c>
      <c r="J2" s="17">
        <v>57</v>
      </c>
      <c r="K2" s="17">
        <v>1</v>
      </c>
      <c r="L2" s="17">
        <v>3</v>
      </c>
      <c r="M2" s="17"/>
      <c r="N2" s="17">
        <v>96</v>
      </c>
      <c r="O2" s="17">
        <f>SUM(B2:N2)</f>
        <v>322</v>
      </c>
      <c r="Q2" s="36" t="s">
        <v>98</v>
      </c>
      <c r="R2" t="s">
        <v>104</v>
      </c>
    </row>
    <row r="3" spans="1:18">
      <c r="Q3" s="27" t="s">
        <v>28</v>
      </c>
      <c r="R3" s="116">
        <v>1</v>
      </c>
    </row>
    <row r="4" spans="1:18">
      <c r="Q4" s="27" t="s">
        <v>29</v>
      </c>
      <c r="R4" s="116">
        <v>3</v>
      </c>
    </row>
    <row r="5" spans="1:18" ht="27.5" customHeight="1">
      <c r="Q5" s="27" t="s">
        <v>23</v>
      </c>
      <c r="R5" s="116">
        <v>1</v>
      </c>
    </row>
    <row r="6" spans="1:18">
      <c r="Q6" s="27" t="s">
        <v>19</v>
      </c>
      <c r="R6" s="116">
        <v>4</v>
      </c>
    </row>
    <row r="7" spans="1:18">
      <c r="Q7" s="27" t="s">
        <v>99</v>
      </c>
      <c r="R7" s="116"/>
    </row>
    <row r="8" spans="1:18">
      <c r="Q8" s="27" t="s">
        <v>146</v>
      </c>
      <c r="R8" s="116">
        <v>3</v>
      </c>
    </row>
    <row r="9" spans="1:18">
      <c r="Q9" s="27" t="s">
        <v>190</v>
      </c>
      <c r="R9" s="116">
        <v>1</v>
      </c>
    </row>
    <row r="10" spans="1:18">
      <c r="Q10" s="27" t="s">
        <v>35</v>
      </c>
      <c r="R10" s="116">
        <v>13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3A7354-9CCA-491E-952E-F4217CCD2C87}">
  <dimension ref="A1:I9"/>
  <sheetViews>
    <sheetView zoomScale="120" zoomScaleNormal="130" workbookViewId="0">
      <selection activeCell="E3" sqref="E3"/>
    </sheetView>
  </sheetViews>
  <sheetFormatPr defaultRowHeight="14.5"/>
  <cols>
    <col min="1" max="6" width="8.81640625" customWidth="1"/>
    <col min="8" max="8" width="23.1796875" bestFit="1" customWidth="1"/>
    <col min="9" max="9" width="17" bestFit="1" customWidth="1"/>
  </cols>
  <sheetData>
    <row r="1" spans="1:9" ht="29.25" customHeight="1" thickBot="1">
      <c r="A1" s="105" t="s">
        <v>142</v>
      </c>
      <c r="B1" s="105"/>
      <c r="C1" s="105" t="s">
        <v>239</v>
      </c>
      <c r="D1" s="105"/>
      <c r="E1" s="105" t="s">
        <v>115</v>
      </c>
      <c r="F1" s="105"/>
      <c r="H1" s="36" t="s">
        <v>98</v>
      </c>
      <c r="I1" t="s">
        <v>103</v>
      </c>
    </row>
    <row r="2" spans="1:9" ht="29.5" thickBot="1">
      <c r="A2" s="1" t="s">
        <v>64</v>
      </c>
      <c r="B2" s="9" t="s">
        <v>35</v>
      </c>
      <c r="C2" s="1" t="s">
        <v>64</v>
      </c>
      <c r="D2" s="9" t="s">
        <v>35</v>
      </c>
      <c r="E2" s="75" t="s">
        <v>64</v>
      </c>
      <c r="F2" s="76" t="s">
        <v>35</v>
      </c>
      <c r="H2" s="27" t="s">
        <v>101</v>
      </c>
      <c r="I2" s="116">
        <v>4</v>
      </c>
    </row>
    <row r="3" spans="1:9">
      <c r="A3" s="21">
        <v>126</v>
      </c>
      <c r="B3" s="21">
        <f>'3.Deals_total'!O2</f>
        <v>322</v>
      </c>
      <c r="C3" s="21">
        <v>35</v>
      </c>
      <c r="D3" s="21">
        <v>116</v>
      </c>
      <c r="E3" s="21">
        <v>197</v>
      </c>
      <c r="F3" s="21">
        <v>549</v>
      </c>
      <c r="H3" s="27" t="s">
        <v>99</v>
      </c>
      <c r="I3" s="116"/>
    </row>
    <row r="4" spans="1:9">
      <c r="A4" s="37">
        <f>A3/B3</f>
        <v>0.39130434782608697</v>
      </c>
      <c r="B4" s="37">
        <v>1</v>
      </c>
      <c r="C4" s="37">
        <f>C3/D3</f>
        <v>0.30172413793103448</v>
      </c>
      <c r="D4" s="37">
        <v>1</v>
      </c>
      <c r="E4" s="37">
        <f>E3/F3</f>
        <v>0.35883424408014569</v>
      </c>
      <c r="F4" s="37">
        <v>1</v>
      </c>
      <c r="H4" s="27" t="s">
        <v>234</v>
      </c>
      <c r="I4" s="116">
        <v>4</v>
      </c>
    </row>
    <row r="5" spans="1:9">
      <c r="A5" s="23"/>
      <c r="B5" s="23"/>
      <c r="C5" s="23"/>
      <c r="D5" s="23"/>
      <c r="E5" s="23"/>
      <c r="F5" s="23"/>
      <c r="H5" s="27" t="s">
        <v>235</v>
      </c>
      <c r="I5" s="116">
        <v>1</v>
      </c>
    </row>
    <row r="6" spans="1:9">
      <c r="A6" s="61"/>
      <c r="H6" s="27" t="s">
        <v>236</v>
      </c>
      <c r="I6" s="116">
        <v>1</v>
      </c>
    </row>
    <row r="7" spans="1:9">
      <c r="H7" s="27" t="s">
        <v>237</v>
      </c>
      <c r="I7" s="116">
        <v>2</v>
      </c>
    </row>
    <row r="8" spans="1:9" ht="15" customHeight="1">
      <c r="H8" s="27" t="s">
        <v>238</v>
      </c>
      <c r="I8" s="116">
        <v>1</v>
      </c>
    </row>
    <row r="9" spans="1:9">
      <c r="H9" s="27" t="s">
        <v>35</v>
      </c>
      <c r="I9" s="116">
        <v>13</v>
      </c>
    </row>
  </sheetData>
  <mergeCells count="3">
    <mergeCell ref="A1:B1"/>
    <mergeCell ref="C1:D1"/>
    <mergeCell ref="E1:F1"/>
  </mergeCells>
  <phoneticPr fontId="8" type="noConversion"/>
  <pageMargins left="0.7" right="0.7" top="0.75" bottom="0.75" header="0.3" footer="0.3"/>
  <pageSetup paperSize="9"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86EEE1-86E1-4922-B4C6-4FAF78A179EC}">
  <dimension ref="A1:D3"/>
  <sheetViews>
    <sheetView zoomScale="175" zoomScaleNormal="175" workbookViewId="0">
      <selection activeCell="E9" sqref="E9"/>
    </sheetView>
  </sheetViews>
  <sheetFormatPr defaultRowHeight="14.5"/>
  <cols>
    <col min="1" max="1" width="16.81640625" bestFit="1" customWidth="1"/>
  </cols>
  <sheetData>
    <row r="1" spans="1:4" ht="44" thickBot="1">
      <c r="A1" s="10"/>
      <c r="B1" s="1" t="s">
        <v>65</v>
      </c>
      <c r="C1" s="1" t="s">
        <v>66</v>
      </c>
      <c r="D1" s="1" t="s">
        <v>67</v>
      </c>
    </row>
    <row r="2" spans="1:4" ht="15" thickBot="1">
      <c r="A2" s="4" t="s">
        <v>68</v>
      </c>
      <c r="B2" s="70">
        <v>0</v>
      </c>
      <c r="C2" s="21">
        <v>322</v>
      </c>
      <c r="D2" s="21">
        <f>'3.Deals_total'!O2</f>
        <v>322</v>
      </c>
    </row>
    <row r="3" spans="1:4" ht="15" thickBot="1">
      <c r="A3" s="4" t="s">
        <v>69</v>
      </c>
      <c r="B3" s="71">
        <f>B2/D2</f>
        <v>0</v>
      </c>
      <c r="C3" s="71">
        <f>C2/D2</f>
        <v>1</v>
      </c>
      <c r="D3" s="71">
        <f>B3+C3</f>
        <v>1</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1BC172-C8A1-4815-9F67-DFC7C59B1240}">
  <dimension ref="A1:B14"/>
  <sheetViews>
    <sheetView workbookViewId="0">
      <selection activeCell="E13" sqref="E13"/>
    </sheetView>
  </sheetViews>
  <sheetFormatPr defaultRowHeight="14.5"/>
  <cols>
    <col min="1" max="1" width="27" bestFit="1" customWidth="1"/>
    <col min="2" max="2" width="19.54296875" customWidth="1"/>
  </cols>
  <sheetData>
    <row r="1" spans="1:2" ht="15" thickBot="1">
      <c r="A1" s="5" t="s">
        <v>3</v>
      </c>
      <c r="B1" s="6" t="s">
        <v>70</v>
      </c>
    </row>
    <row r="2" spans="1:2" ht="15" thickBot="1">
      <c r="A2" s="7" t="s">
        <v>18</v>
      </c>
      <c r="B2" s="8"/>
    </row>
    <row r="3" spans="1:2" ht="15" thickBot="1">
      <c r="A3" s="7" t="s">
        <v>71</v>
      </c>
      <c r="B3" s="8"/>
    </row>
    <row r="4" spans="1:2" ht="15" thickBot="1">
      <c r="A4" s="7" t="s">
        <v>29</v>
      </c>
      <c r="B4" s="8"/>
    </row>
    <row r="5" spans="1:2" ht="15" thickBot="1">
      <c r="A5" s="7" t="s">
        <v>33</v>
      </c>
      <c r="B5" s="8"/>
    </row>
    <row r="6" spans="1:2" ht="15" thickBot="1">
      <c r="A6" s="7" t="s">
        <v>26</v>
      </c>
      <c r="B6" s="8"/>
    </row>
    <row r="7" spans="1:2" ht="15" thickBot="1">
      <c r="A7" s="7" t="s">
        <v>23</v>
      </c>
      <c r="B7" s="8"/>
    </row>
    <row r="8" spans="1:2" ht="32" customHeight="1" thickBot="1">
      <c r="A8" s="7" t="s">
        <v>27</v>
      </c>
      <c r="B8" s="8"/>
    </row>
    <row r="9" spans="1:2" ht="15" thickBot="1">
      <c r="A9" s="7" t="s">
        <v>22</v>
      </c>
      <c r="B9" s="8"/>
    </row>
    <row r="10" spans="1:2" ht="15" thickBot="1">
      <c r="A10" s="7" t="s">
        <v>30</v>
      </c>
      <c r="B10" s="8"/>
    </row>
    <row r="11" spans="1:2" ht="15" thickBot="1">
      <c r="A11" s="7" t="s">
        <v>31</v>
      </c>
      <c r="B11" s="8"/>
    </row>
    <row r="12" spans="1:2" ht="15" thickBot="1">
      <c r="A12" s="7" t="s">
        <v>32</v>
      </c>
      <c r="B12" s="8"/>
    </row>
    <row r="13" spans="1:2" ht="15" thickBot="1">
      <c r="A13" s="7" t="s">
        <v>34</v>
      </c>
      <c r="B13" s="8"/>
    </row>
    <row r="14" spans="1:2" ht="15" thickBot="1">
      <c r="A14" s="7" t="s">
        <v>19</v>
      </c>
      <c r="B14" s="8"/>
    </row>
  </sheetData>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DA9E7-1022-4881-B1AD-9BFB3C5E5083}">
  <sheetPr>
    <tabColor rgb="FFFFC000"/>
  </sheetPr>
  <dimension ref="A1:H26"/>
  <sheetViews>
    <sheetView zoomScaleNormal="130" workbookViewId="0">
      <pane xSplit="2" ySplit="2" topLeftCell="C3" activePane="bottomRight" state="frozen"/>
      <selection pane="topRight" activeCell="C1" sqref="C1"/>
      <selection pane="bottomLeft" activeCell="A3" sqref="A3"/>
      <selection pane="bottomRight" activeCell="I15" sqref="I15"/>
    </sheetView>
  </sheetViews>
  <sheetFormatPr defaultRowHeight="14.5"/>
  <cols>
    <col min="1" max="1" width="4.1796875" bestFit="1" customWidth="1"/>
    <col min="2" max="2" width="23.54296875" customWidth="1"/>
    <col min="3" max="3" width="19.81640625" bestFit="1" customWidth="1"/>
    <col min="4" max="4" width="16.1796875" bestFit="1" customWidth="1"/>
    <col min="5" max="5" width="13.81640625" bestFit="1" customWidth="1"/>
    <col min="6" max="6" width="12.81640625" bestFit="1" customWidth="1"/>
    <col min="7" max="7" width="27.81640625" bestFit="1" customWidth="1"/>
    <col min="8" max="8" width="13.81640625" bestFit="1" customWidth="1"/>
    <col min="9" max="9" width="21.54296875" bestFit="1" customWidth="1"/>
    <col min="10" max="10" width="16.1796875" bestFit="1" customWidth="1"/>
    <col min="11" max="11" width="10.81640625" bestFit="1" customWidth="1"/>
  </cols>
  <sheetData>
    <row r="1" spans="1:8" ht="30" customHeight="1" thickBot="1">
      <c r="A1" s="111"/>
      <c r="B1" s="111"/>
      <c r="C1" s="109" t="s">
        <v>72</v>
      </c>
      <c r="D1" s="11" t="s">
        <v>73</v>
      </c>
      <c r="E1" s="12" t="s">
        <v>74</v>
      </c>
      <c r="F1" s="13" t="s">
        <v>75</v>
      </c>
      <c r="G1" s="13" t="s">
        <v>75</v>
      </c>
      <c r="H1" s="14" t="s">
        <v>74</v>
      </c>
    </row>
    <row r="2" spans="1:8" ht="43.5" customHeight="1" thickBot="1">
      <c r="A2" s="111"/>
      <c r="B2" s="111"/>
      <c r="C2" s="110"/>
      <c r="D2" s="11" t="s">
        <v>76</v>
      </c>
      <c r="E2" s="12" t="s">
        <v>77</v>
      </c>
      <c r="F2" s="13" t="s">
        <v>76</v>
      </c>
      <c r="G2" s="13" t="s">
        <v>78</v>
      </c>
      <c r="H2" s="14" t="s">
        <v>77</v>
      </c>
    </row>
    <row r="3" spans="1:8" ht="15" thickBot="1">
      <c r="A3" s="112" t="s">
        <v>79</v>
      </c>
      <c r="B3" s="15" t="s">
        <v>107</v>
      </c>
      <c r="C3" s="18">
        <v>119</v>
      </c>
      <c r="D3" s="18">
        <v>118</v>
      </c>
      <c r="E3" s="19">
        <f>D3/C3</f>
        <v>0.99159663865546221</v>
      </c>
      <c r="F3" s="18">
        <v>159</v>
      </c>
      <c r="G3" s="18">
        <v>25</v>
      </c>
      <c r="H3" s="19">
        <f>159/(159+25)</f>
        <v>0.86413043478260865</v>
      </c>
    </row>
    <row r="4" spans="1:8" ht="15" thickBot="1">
      <c r="A4" s="112"/>
      <c r="B4" s="15" t="s">
        <v>106</v>
      </c>
      <c r="C4" s="58">
        <v>36</v>
      </c>
      <c r="D4" s="58">
        <v>35</v>
      </c>
      <c r="E4" s="19">
        <f t="shared" ref="E4:E7" si="0">D4/C4</f>
        <v>0.97222222222222221</v>
      </c>
      <c r="F4" s="58">
        <v>52</v>
      </c>
      <c r="G4" s="58">
        <v>13</v>
      </c>
      <c r="H4" s="19">
        <f t="shared" ref="H4:H12" si="1">F4/(F4+G4)</f>
        <v>0.8</v>
      </c>
    </row>
    <row r="5" spans="1:8" ht="15" thickBot="1">
      <c r="A5" s="112" t="s">
        <v>108</v>
      </c>
      <c r="B5" s="15" t="s">
        <v>110</v>
      </c>
      <c r="C5" s="18">
        <v>44</v>
      </c>
      <c r="D5" s="18">
        <v>43</v>
      </c>
      <c r="E5" s="19">
        <f t="shared" si="0"/>
        <v>0.97727272727272729</v>
      </c>
      <c r="F5" s="18">
        <f>208-159</f>
        <v>49</v>
      </c>
      <c r="G5" s="18">
        <v>10</v>
      </c>
      <c r="H5" s="19">
        <f t="shared" si="1"/>
        <v>0.83050847457627119</v>
      </c>
    </row>
    <row r="6" spans="1:8" ht="15" thickBot="1">
      <c r="A6" s="112"/>
      <c r="B6" s="15" t="s">
        <v>111</v>
      </c>
      <c r="C6" s="18">
        <v>18</v>
      </c>
      <c r="D6" s="18">
        <v>18</v>
      </c>
      <c r="E6" s="19">
        <f t="shared" si="0"/>
        <v>1</v>
      </c>
      <c r="F6" s="18">
        <v>27</v>
      </c>
      <c r="G6" s="18">
        <v>9</v>
      </c>
      <c r="H6" s="19">
        <f t="shared" si="1"/>
        <v>0.75</v>
      </c>
    </row>
    <row r="7" spans="1:8" ht="15" thickBot="1">
      <c r="A7" s="114" t="s">
        <v>114</v>
      </c>
      <c r="B7" s="72" t="s">
        <v>118</v>
      </c>
      <c r="C7" s="18">
        <v>75</v>
      </c>
      <c r="D7" s="18">
        <v>74</v>
      </c>
      <c r="E7" s="19">
        <f t="shared" si="0"/>
        <v>0.98666666666666669</v>
      </c>
      <c r="F7" s="18">
        <v>85</v>
      </c>
      <c r="G7" s="18">
        <v>22</v>
      </c>
      <c r="H7" s="19">
        <f t="shared" si="1"/>
        <v>0.79439252336448596</v>
      </c>
    </row>
    <row r="8" spans="1:8" ht="15" thickBot="1">
      <c r="A8" s="115"/>
      <c r="B8" s="72" t="s">
        <v>119</v>
      </c>
      <c r="C8" s="18">
        <v>16</v>
      </c>
      <c r="D8" s="18">
        <v>16</v>
      </c>
      <c r="E8" s="19">
        <f>D8/C8</f>
        <v>1</v>
      </c>
      <c r="F8" s="18">
        <v>33</v>
      </c>
      <c r="G8" s="18">
        <v>5</v>
      </c>
      <c r="H8" s="19">
        <f t="shared" si="1"/>
        <v>0.86842105263157898</v>
      </c>
    </row>
    <row r="9" spans="1:8" ht="15" thickBot="1">
      <c r="A9" s="113" t="s">
        <v>124</v>
      </c>
      <c r="B9" s="72" t="s">
        <v>139</v>
      </c>
      <c r="C9" s="18">
        <v>80</v>
      </c>
      <c r="D9" s="18">
        <v>78</v>
      </c>
      <c r="E9" s="19">
        <f>D9/C9</f>
        <v>0.97499999999999998</v>
      </c>
      <c r="F9" s="18">
        <v>112</v>
      </c>
      <c r="G9" s="18">
        <v>22</v>
      </c>
      <c r="H9" s="19">
        <f t="shared" si="1"/>
        <v>0.83582089552238803</v>
      </c>
    </row>
    <row r="10" spans="1:8" ht="15" thickBot="1">
      <c r="A10" s="113"/>
      <c r="B10" s="72" t="s">
        <v>140</v>
      </c>
      <c r="C10" s="18">
        <v>43</v>
      </c>
      <c r="D10" s="18">
        <v>41</v>
      </c>
      <c r="E10" s="19">
        <f t="shared" ref="E10:E11" si="2">D10/C10</f>
        <v>0.95348837209302328</v>
      </c>
      <c r="F10" s="18">
        <v>66</v>
      </c>
      <c r="G10" s="18">
        <v>14</v>
      </c>
      <c r="H10" s="19">
        <f t="shared" si="1"/>
        <v>0.82499999999999996</v>
      </c>
    </row>
    <row r="11" spans="1:8" ht="15" thickBot="1">
      <c r="A11" s="112" t="s">
        <v>141</v>
      </c>
      <c r="B11" s="15" t="s">
        <v>240</v>
      </c>
      <c r="C11" s="18">
        <v>13</v>
      </c>
      <c r="D11" s="18">
        <v>12</v>
      </c>
      <c r="E11" s="19">
        <f t="shared" si="2"/>
        <v>0.92307692307692313</v>
      </c>
      <c r="F11" s="18">
        <v>17</v>
      </c>
      <c r="G11" s="18">
        <v>3</v>
      </c>
      <c r="H11" s="19">
        <f t="shared" si="1"/>
        <v>0.85</v>
      </c>
    </row>
    <row r="12" spans="1:8" ht="15" thickBot="1">
      <c r="A12" s="112"/>
      <c r="B12" s="15" t="s">
        <v>241</v>
      </c>
      <c r="C12" s="18">
        <v>9</v>
      </c>
      <c r="D12" s="18">
        <v>9</v>
      </c>
      <c r="E12" s="19">
        <v>1</v>
      </c>
      <c r="F12" s="18">
        <v>13</v>
      </c>
      <c r="G12" s="18">
        <v>2</v>
      </c>
      <c r="H12" s="19">
        <v>0.8666666666666667</v>
      </c>
    </row>
    <row r="13" spans="1:8" ht="15" thickBot="1">
      <c r="A13" s="112"/>
      <c r="B13" s="15"/>
      <c r="C13" s="18"/>
      <c r="D13" s="18"/>
      <c r="E13" s="19"/>
      <c r="F13" s="18"/>
      <c r="G13" s="18"/>
      <c r="H13" s="19"/>
    </row>
    <row r="14" spans="1:8" ht="15" thickBot="1">
      <c r="A14" s="112"/>
      <c r="B14" s="15"/>
      <c r="C14" s="25"/>
      <c r="D14" s="25"/>
      <c r="E14" s="26"/>
      <c r="F14" s="25"/>
      <c r="G14" s="25"/>
      <c r="H14" s="19"/>
    </row>
    <row r="15" spans="1:8" ht="15" thickBot="1">
      <c r="A15" s="106"/>
      <c r="B15" s="24"/>
      <c r="C15" s="18"/>
      <c r="D15" s="18"/>
      <c r="E15" s="19"/>
      <c r="F15" s="18"/>
      <c r="G15" s="18"/>
      <c r="H15" s="19"/>
    </row>
    <row r="16" spans="1:8" ht="15" thickBot="1">
      <c r="A16" s="108"/>
      <c r="B16" s="15"/>
      <c r="C16" s="18"/>
      <c r="D16" s="18"/>
      <c r="E16" s="19"/>
      <c r="F16" s="18"/>
      <c r="G16" s="18"/>
      <c r="H16" s="19"/>
    </row>
    <row r="17" spans="1:8" ht="15" thickBot="1">
      <c r="A17" s="106"/>
      <c r="B17" s="15"/>
      <c r="C17" s="31"/>
      <c r="D17" s="31"/>
      <c r="E17" s="32"/>
      <c r="F17" s="31"/>
      <c r="G17" s="31"/>
      <c r="H17" s="19"/>
    </row>
    <row r="18" spans="1:8" ht="15" thickBot="1">
      <c r="A18" s="107"/>
      <c r="B18" s="24"/>
      <c r="C18" s="18"/>
      <c r="D18" s="18"/>
      <c r="E18" s="32"/>
      <c r="F18" s="18"/>
      <c r="G18" s="18"/>
      <c r="H18" s="19"/>
    </row>
    <row r="19" spans="1:8" ht="15" thickBot="1">
      <c r="A19" s="106"/>
      <c r="B19" s="15"/>
      <c r="C19" s="31"/>
      <c r="D19" s="31"/>
      <c r="E19" s="32"/>
      <c r="F19" s="31"/>
      <c r="G19" s="31"/>
      <c r="H19" s="19"/>
    </row>
    <row r="20" spans="1:8" ht="15" thickBot="1">
      <c r="A20" s="107"/>
      <c r="B20" s="15"/>
      <c r="C20" s="18"/>
      <c r="D20" s="18"/>
      <c r="E20" s="32"/>
      <c r="F20" s="18"/>
      <c r="G20" s="18"/>
      <c r="H20" s="19"/>
    </row>
    <row r="21" spans="1:8" ht="15" thickBot="1">
      <c r="A21" s="106"/>
      <c r="B21" s="15"/>
      <c r="C21" s="31"/>
      <c r="D21" s="31"/>
      <c r="E21" s="32"/>
      <c r="F21" s="31"/>
      <c r="G21" s="31"/>
      <c r="H21" s="19"/>
    </row>
    <row r="22" spans="1:8" ht="15" thickBot="1">
      <c r="A22" s="107"/>
      <c r="B22" s="15"/>
      <c r="C22" s="8"/>
      <c r="D22" s="31"/>
      <c r="E22" s="38"/>
      <c r="F22" s="31"/>
      <c r="G22" s="8"/>
      <c r="H22" s="19"/>
    </row>
    <row r="23" spans="1:8" ht="15" thickBot="1">
      <c r="A23" s="106"/>
      <c r="B23" s="15"/>
      <c r="C23" s="31"/>
      <c r="D23" s="31"/>
      <c r="E23" s="32"/>
      <c r="F23" s="31"/>
      <c r="G23" s="31"/>
      <c r="H23" s="19"/>
    </row>
    <row r="24" spans="1:8" ht="15" thickBot="1">
      <c r="A24" s="107"/>
      <c r="B24" s="15"/>
      <c r="C24" s="8"/>
      <c r="D24" s="31"/>
      <c r="E24" s="38"/>
      <c r="F24" s="31"/>
      <c r="G24" s="8"/>
      <c r="H24" s="19"/>
    </row>
    <row r="25" spans="1:8" ht="15" thickBot="1">
      <c r="A25" s="106"/>
      <c r="B25" s="15"/>
      <c r="C25" s="31"/>
      <c r="D25" s="31"/>
      <c r="E25" s="32"/>
      <c r="F25" s="31"/>
      <c r="G25" s="31"/>
      <c r="H25" s="19"/>
    </row>
    <row r="26" spans="1:8" ht="15" thickBot="1">
      <c r="A26" s="107"/>
      <c r="B26" s="15"/>
      <c r="C26" s="8"/>
      <c r="D26" s="31"/>
      <c r="E26" s="38"/>
      <c r="F26" s="31"/>
      <c r="G26" s="8"/>
      <c r="H26" s="19"/>
    </row>
  </sheetData>
  <mergeCells count="14">
    <mergeCell ref="A15:A16"/>
    <mergeCell ref="C1:C2"/>
    <mergeCell ref="A1:B2"/>
    <mergeCell ref="A3:A4"/>
    <mergeCell ref="A13:A14"/>
    <mergeCell ref="A11:A12"/>
    <mergeCell ref="A9:A10"/>
    <mergeCell ref="A7:A8"/>
    <mergeCell ref="A5:A6"/>
    <mergeCell ref="A23:A24"/>
    <mergeCell ref="A25:A26"/>
    <mergeCell ref="A21:A22"/>
    <mergeCell ref="A19:A20"/>
    <mergeCell ref="A17:A18"/>
  </mergeCells>
  <phoneticPr fontId="8" type="noConversion"/>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67C64-E03D-4EED-9950-4D517FADDC86}">
  <dimension ref="A1:E29"/>
  <sheetViews>
    <sheetView tabSelected="1" topLeftCell="A2" zoomScale="99" zoomScaleNormal="100" workbookViewId="0">
      <selection activeCell="D21" sqref="D21"/>
    </sheetView>
  </sheetViews>
  <sheetFormatPr defaultRowHeight="14.5"/>
  <cols>
    <col min="1" max="1" width="33.1796875" customWidth="1"/>
    <col min="2" max="2" width="36.453125" customWidth="1"/>
    <col min="4" max="4" width="30.90625" bestFit="1" customWidth="1"/>
    <col min="5" max="5" width="15.26953125" bestFit="1" customWidth="1"/>
    <col min="6" max="9" width="2.1796875" bestFit="1" customWidth="1"/>
    <col min="10" max="10" width="3.1796875" bestFit="1" customWidth="1"/>
    <col min="11" max="11" width="10.81640625" bestFit="1" customWidth="1"/>
    <col min="12" max="12" width="4.81640625" bestFit="1" customWidth="1"/>
    <col min="13" max="13" width="10.1796875" bestFit="1" customWidth="1"/>
    <col min="14" max="14" width="10" bestFit="1" customWidth="1"/>
    <col min="15" max="15" width="27.1796875" bestFit="1" customWidth="1"/>
    <col min="16" max="16" width="10.81640625" bestFit="1" customWidth="1"/>
  </cols>
  <sheetData>
    <row r="1" spans="1:5" ht="33" customHeight="1" thickBot="1">
      <c r="A1" s="33" t="s">
        <v>81</v>
      </c>
      <c r="B1" s="34" t="s">
        <v>113</v>
      </c>
    </row>
    <row r="2" spans="1:5" ht="16" thickBot="1">
      <c r="A2" s="35" t="s">
        <v>86</v>
      </c>
      <c r="B2" s="31">
        <v>17</v>
      </c>
    </row>
    <row r="3" spans="1:5" ht="16" thickBot="1">
      <c r="A3" s="35" t="s">
        <v>91</v>
      </c>
      <c r="B3" s="31"/>
      <c r="D3" s="36" t="s">
        <v>98</v>
      </c>
      <c r="E3" t="s">
        <v>100</v>
      </c>
    </row>
    <row r="4" spans="1:5" ht="16" thickBot="1">
      <c r="A4" s="35" t="s">
        <v>94</v>
      </c>
      <c r="B4" s="31">
        <v>7</v>
      </c>
      <c r="D4" s="27" t="s">
        <v>85</v>
      </c>
      <c r="E4" s="116">
        <v>1</v>
      </c>
    </row>
    <row r="5" spans="1:5" ht="16" thickBot="1">
      <c r="A5" s="35" t="s">
        <v>92</v>
      </c>
      <c r="B5" s="31"/>
      <c r="D5" s="27" t="s">
        <v>82</v>
      </c>
      <c r="E5" s="116">
        <v>6</v>
      </c>
    </row>
    <row r="6" spans="1:5" ht="16" thickBot="1">
      <c r="A6" s="35" t="s">
        <v>85</v>
      </c>
      <c r="B6" s="31">
        <v>32</v>
      </c>
      <c r="D6" s="27" t="s">
        <v>83</v>
      </c>
      <c r="E6" s="116">
        <v>3</v>
      </c>
    </row>
    <row r="7" spans="1:5" ht="16" thickBot="1">
      <c r="A7" s="35" t="s">
        <v>93</v>
      </c>
      <c r="B7" s="73"/>
      <c r="D7" s="27" t="s">
        <v>84</v>
      </c>
      <c r="E7" s="116">
        <v>1</v>
      </c>
    </row>
    <row r="8" spans="1:5" ht="16" thickBot="1">
      <c r="A8" s="35" t="s">
        <v>82</v>
      </c>
      <c r="B8" s="31">
        <v>80</v>
      </c>
      <c r="D8" s="27" t="s">
        <v>99</v>
      </c>
      <c r="E8" s="116"/>
    </row>
    <row r="9" spans="1:5" ht="16" thickBot="1">
      <c r="A9" s="35" t="s">
        <v>95</v>
      </c>
      <c r="B9" s="31">
        <v>4</v>
      </c>
      <c r="D9" s="27" t="s">
        <v>166</v>
      </c>
      <c r="E9" s="116">
        <v>1</v>
      </c>
    </row>
    <row r="10" spans="1:5" ht="16" thickBot="1">
      <c r="A10" s="35" t="s">
        <v>87</v>
      </c>
      <c r="B10" s="31">
        <v>1</v>
      </c>
      <c r="D10" s="27" t="s">
        <v>187</v>
      </c>
      <c r="E10" s="116">
        <v>1</v>
      </c>
    </row>
    <row r="11" spans="1:5" ht="16" thickBot="1">
      <c r="A11" s="35" t="s">
        <v>97</v>
      </c>
      <c r="B11" s="31">
        <v>1</v>
      </c>
      <c r="D11" s="27" t="s">
        <v>35</v>
      </c>
      <c r="E11" s="116">
        <v>13</v>
      </c>
    </row>
    <row r="12" spans="1:5" ht="16" thickBot="1">
      <c r="A12" s="35" t="s">
        <v>83</v>
      </c>
      <c r="B12" s="31">
        <v>43</v>
      </c>
    </row>
    <row r="13" spans="1:5" ht="16" thickBot="1">
      <c r="A13" s="35" t="s">
        <v>89</v>
      </c>
      <c r="B13" s="31"/>
    </row>
    <row r="14" spans="1:5" ht="16" thickBot="1">
      <c r="A14" s="35" t="s">
        <v>84</v>
      </c>
      <c r="B14" s="74">
        <v>21</v>
      </c>
    </row>
    <row r="15" spans="1:5" ht="16" thickBot="1">
      <c r="A15" s="35" t="s">
        <v>96</v>
      </c>
      <c r="B15" s="31">
        <v>11</v>
      </c>
    </row>
    <row r="16" spans="1:5" ht="16" thickBot="1">
      <c r="A16" s="35" t="s">
        <v>90</v>
      </c>
      <c r="B16" s="31">
        <v>4</v>
      </c>
      <c r="D16" s="27"/>
    </row>
    <row r="17" spans="1:4" ht="16" thickBot="1">
      <c r="A17" s="35" t="s">
        <v>88</v>
      </c>
      <c r="B17" s="31"/>
      <c r="D17" s="27"/>
    </row>
    <row r="18" spans="1:4" ht="16" thickBot="1">
      <c r="A18" s="59" t="s">
        <v>109</v>
      </c>
      <c r="B18" s="95">
        <v>2</v>
      </c>
      <c r="D18" s="27"/>
    </row>
    <row r="19" spans="1:4" ht="16" thickBot="1">
      <c r="A19" s="96" t="s">
        <v>112</v>
      </c>
      <c r="B19" s="90">
        <v>2</v>
      </c>
      <c r="D19" s="27"/>
    </row>
    <row r="20" spans="1:4" ht="16" thickBot="1">
      <c r="A20" s="96" t="s">
        <v>137</v>
      </c>
      <c r="B20" s="18">
        <v>1</v>
      </c>
      <c r="D20" s="27"/>
    </row>
    <row r="21" spans="1:4">
      <c r="A21" s="27" t="s">
        <v>187</v>
      </c>
      <c r="B21" s="117">
        <v>1</v>
      </c>
      <c r="D21" s="27"/>
    </row>
    <row r="22" spans="1:4">
      <c r="D22" s="27"/>
    </row>
    <row r="23" spans="1:4">
      <c r="D23" s="27"/>
    </row>
    <row r="24" spans="1:4">
      <c r="D24" s="27"/>
    </row>
    <row r="25" spans="1:4">
      <c r="D25" s="27"/>
    </row>
    <row r="26" spans="1:4">
      <c r="D26" s="27"/>
    </row>
    <row r="27" spans="1:4">
      <c r="D27" s="27"/>
    </row>
    <row r="28" spans="1:4">
      <c r="D28" s="27"/>
    </row>
    <row r="29" spans="1:4">
      <c r="D29" s="27"/>
    </row>
  </sheetData>
  <sortState xmlns:xlrd2="http://schemas.microsoft.com/office/spreadsheetml/2017/richdata2" ref="A2:B18">
    <sortCondition ref="A2:A18"/>
  </sortState>
  <pageMargins left="0.7" right="0.7" top="0.75" bottom="0.75" header="0.3" footer="0.3"/>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844B7434887FE47B5C76A44D552D845" ma:contentTypeVersion="14" ma:contentTypeDescription="Create a new document." ma:contentTypeScope="" ma:versionID="f88cadb1cbbe3cfaace38c72a3bf1ac1">
  <xsd:schema xmlns:xsd="http://www.w3.org/2001/XMLSchema" xmlns:xs="http://www.w3.org/2001/XMLSchema" xmlns:p="http://schemas.microsoft.com/office/2006/metadata/properties" xmlns:ns3="3fdc548c-9527-4c06-95a3-6b31b33499bb" xmlns:ns4="5f28956e-7651-44b6-8883-827cb26a07a4" targetNamespace="http://schemas.microsoft.com/office/2006/metadata/properties" ma:root="true" ma:fieldsID="0c57ca82b7b2f2ba4c30e0b194a27cc4" ns3:_="" ns4:_="">
    <xsd:import namespace="3fdc548c-9527-4c06-95a3-6b31b33499bb"/>
    <xsd:import namespace="5f28956e-7651-44b6-8883-827cb26a07a4"/>
    <xsd:element name="properties">
      <xsd:complexType>
        <xsd:sequence>
          <xsd:element name="documentManagement">
            <xsd:complexType>
              <xsd:all>
                <xsd:element ref="ns3:_activity" minOccurs="0"/>
                <xsd:element ref="ns4:SharedWithDetails" minOccurs="0"/>
                <xsd:element ref="ns4:SharingHintHash" minOccurs="0"/>
                <xsd:element ref="ns4:SharedWithUsers"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SystemTags" minOccurs="0"/>
                <xsd:element ref="ns3:MediaServiceOCR"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fdc548c-9527-4c06-95a3-6b31b33499bb" elementFormDefault="qualified">
    <xsd:import namespace="http://schemas.microsoft.com/office/2006/documentManagement/types"/>
    <xsd:import namespace="http://schemas.microsoft.com/office/infopath/2007/PartnerControls"/>
    <xsd:element name="_activity" ma:index="8" nillable="true" ma:displayName="_activity" ma:hidden="true" ma:internalName="_activity">
      <xsd:simpleType>
        <xsd:restriction base="dms:Note"/>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SearchProperties" ma:index="14" nillable="true" ma:displayName="MediaServiceSearchProperties" ma:hidden="true" ma:internalName="MediaServiceSearchProperties" ma:readOnly="true">
      <xsd:simpleType>
        <xsd:restriction base="dms:Note"/>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SystemTags" ma:index="17" nillable="true" ma:displayName="MediaServiceSystemTags" ma:hidden="true" ma:internalName="MediaServiceSystemTags" ma:readOnly="true">
      <xsd:simpleType>
        <xsd:restriction base="dms:Note"/>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f28956e-7651-44b6-8883-827cb26a07a4" elementFormDefault="qualified">
    <xsd:import namespace="http://schemas.microsoft.com/office/2006/documentManagement/types"/>
    <xsd:import namespace="http://schemas.microsoft.com/office/infopath/2007/PartnerControls"/>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3fdc548c-9527-4c06-95a3-6b31b33499bb" xsi:nil="true"/>
  </documentManagement>
</p:properties>
</file>

<file path=customXml/itemProps1.xml><?xml version="1.0" encoding="utf-8"?>
<ds:datastoreItem xmlns:ds="http://schemas.openxmlformats.org/officeDocument/2006/customXml" ds:itemID="{4E127F18-5AF9-40DA-99F7-90AF96059F41}">
  <ds:schemaRefs>
    <ds:schemaRef ds:uri="http://schemas.microsoft.com/sharepoint/v3/contenttype/forms"/>
  </ds:schemaRefs>
</ds:datastoreItem>
</file>

<file path=customXml/itemProps2.xml><?xml version="1.0" encoding="utf-8"?>
<ds:datastoreItem xmlns:ds="http://schemas.openxmlformats.org/officeDocument/2006/customXml" ds:itemID="{577C564F-CC4E-463F-A81D-C84B20E6718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fdc548c-9527-4c06-95a3-6b31b33499bb"/>
    <ds:schemaRef ds:uri="5f28956e-7651-44b6-8883-827cb26a07a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5C3857F-340C-427F-ABB2-95946E63DF66}">
  <ds:schemaRefs>
    <ds:schemaRef ds:uri="http://schemas.microsoft.com/office/2006/documentManagement/types"/>
    <ds:schemaRef ds:uri="http://www.w3.org/XML/1998/namespace"/>
    <ds:schemaRef ds:uri="http://purl.org/dc/dcmitype/"/>
    <ds:schemaRef ds:uri="5f28956e-7651-44b6-8883-827cb26a07a4"/>
    <ds:schemaRef ds:uri="http://purl.org/dc/terms/"/>
    <ds:schemaRef ds:uri="http://schemas.microsoft.com/office/2006/metadata/properties"/>
    <ds:schemaRef ds:uri="http://schemas.microsoft.com/office/infopath/2007/PartnerControls"/>
    <ds:schemaRef ds:uri="http://schemas.openxmlformats.org/package/2006/metadata/core-properties"/>
    <ds:schemaRef ds:uri="3fdc548c-9527-4c06-95a3-6b31b33499bb"/>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1.Summary</vt:lpstr>
      <vt:lpstr>Detail1</vt:lpstr>
      <vt:lpstr>Sheet1</vt:lpstr>
      <vt:lpstr>Sheet2</vt:lpstr>
      <vt:lpstr>2.Sponsors_summary</vt:lpstr>
      <vt:lpstr>3.Deals_total</vt:lpstr>
      <vt:lpstr>4.Re-filings</vt:lpstr>
      <vt:lpstr>5.GBA</vt:lpstr>
      <vt:lpstr>6.GBA-detail</vt:lpstr>
      <vt:lpstr>7.CN_banks_involved</vt:lpstr>
      <vt:lpstr>8. Auditor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Jayson</dc:creator>
  <cp:keywords/>
  <dc:description/>
  <cp:lastModifiedBy>Jayson Xicheng LU</cp:lastModifiedBy>
  <cp:revision/>
  <dcterms:created xsi:type="dcterms:W3CDTF">2024-03-15T01:49:46Z</dcterms:created>
  <dcterms:modified xsi:type="dcterms:W3CDTF">2026-05-10T16:56:15Z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0x0101005844B7434887FE47B5C76A44D552D845</vt:lpwstr>
  </property>
</Properties>
</file>