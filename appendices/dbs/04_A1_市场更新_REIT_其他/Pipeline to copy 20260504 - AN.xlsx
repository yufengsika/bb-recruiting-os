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ublic\A1 Filings_Intern\File\"/>
    </mc:Choice>
  </mc:AlternateContent>
  <xr:revisionPtr revIDLastSave="0" documentId="13_ncr:1_{82DC5638-2689-4115-84E2-119BD533807F}" xr6:coauthVersionLast="47" xr6:coauthVersionMax="47" xr10:uidLastSave="{00000000-0000-0000-0000-000000000000}"/>
  <bookViews>
    <workbookView xWindow="3130" yWindow="290" windowWidth="16040" windowHeight="10250" xr2:uid="{1B6DFA8A-C7CB-4E9D-B48D-0DAF6CA56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1" i="1" l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B1" i="1"/>
  <c r="K459" i="1" s="1"/>
  <c r="K483" i="1" l="1"/>
  <c r="K503" i="1"/>
  <c r="K499" i="1"/>
  <c r="K496" i="1"/>
  <c r="K481" i="1"/>
  <c r="K492" i="1"/>
  <c r="K491" i="1"/>
  <c r="K486" i="1"/>
  <c r="K490" i="1"/>
  <c r="K498" i="1"/>
  <c r="K495" i="1"/>
  <c r="K494" i="1"/>
  <c r="K493" i="1"/>
  <c r="K502" i="1"/>
  <c r="K501" i="1"/>
  <c r="K489" i="1"/>
  <c r="K487" i="1"/>
  <c r="K484" i="1"/>
  <c r="K482" i="1"/>
  <c r="K500" i="1"/>
  <c r="K488" i="1"/>
  <c r="K497" i="1"/>
  <c r="K485" i="1"/>
  <c r="K480" i="1"/>
  <c r="K474" i="1"/>
  <c r="K464" i="1"/>
  <c r="K468" i="1"/>
  <c r="K470" i="1"/>
  <c r="K471" i="1"/>
  <c r="K463" i="1"/>
  <c r="K476" i="1"/>
  <c r="K465" i="1"/>
  <c r="K469" i="1"/>
  <c r="K472" i="1"/>
  <c r="K475" i="1"/>
  <c r="K477" i="1"/>
  <c r="K473" i="1"/>
  <c r="K466" i="1"/>
  <c r="K478" i="1"/>
  <c r="K467" i="1"/>
  <c r="K479" i="1"/>
  <c r="K462" i="1"/>
  <c r="K461" i="1"/>
  <c r="K460" i="1"/>
  <c r="K458" i="1"/>
  <c r="K457" i="1"/>
  <c r="K45" i="1"/>
  <c r="K9" i="1"/>
  <c r="K21" i="1"/>
  <c r="K33" i="1"/>
  <c r="K57" i="1"/>
  <c r="K69" i="1"/>
  <c r="K81" i="1"/>
  <c r="K93" i="1"/>
  <c r="K105" i="1"/>
  <c r="K117" i="1"/>
  <c r="K129" i="1"/>
  <c r="K141" i="1"/>
  <c r="K153" i="1"/>
  <c r="K165" i="1"/>
  <c r="K213" i="1"/>
  <c r="K249" i="1"/>
  <c r="K285" i="1"/>
  <c r="K321" i="1"/>
  <c r="K345" i="1"/>
  <c r="K177" i="1"/>
  <c r="K201" i="1"/>
  <c r="K225" i="1"/>
  <c r="K273" i="1"/>
  <c r="K309" i="1"/>
  <c r="K333" i="1"/>
  <c r="K189" i="1"/>
  <c r="K237" i="1"/>
  <c r="K261" i="1"/>
  <c r="K297" i="1"/>
  <c r="K369" i="1"/>
  <c r="K456" i="1"/>
  <c r="K357" i="1"/>
  <c r="K381" i="1"/>
  <c r="K393" i="1"/>
  <c r="K405" i="1"/>
  <c r="K12" i="1"/>
  <c r="K24" i="1"/>
  <c r="K48" i="1"/>
  <c r="K36" i="1"/>
  <c r="K72" i="1"/>
  <c r="K120" i="1"/>
  <c r="K84" i="1"/>
  <c r="K108" i="1"/>
  <c r="K60" i="1"/>
  <c r="K96" i="1"/>
  <c r="K132" i="1"/>
  <c r="K144" i="1"/>
  <c r="K156" i="1"/>
  <c r="K168" i="1"/>
  <c r="K180" i="1"/>
  <c r="K192" i="1"/>
  <c r="K264" i="1"/>
  <c r="K417" i="1"/>
  <c r="K429" i="1"/>
  <c r="K441" i="1"/>
  <c r="K444" i="1"/>
  <c r="K445" i="1"/>
  <c r="K276" i="1"/>
  <c r="K288" i="1"/>
  <c r="K312" i="1"/>
  <c r="K336" i="1"/>
  <c r="K348" i="1"/>
  <c r="K360" i="1"/>
  <c r="K372" i="1"/>
  <c r="K384" i="1"/>
  <c r="K396" i="1"/>
  <c r="K408" i="1"/>
  <c r="K420" i="1"/>
  <c r="K432" i="1"/>
  <c r="K13" i="1"/>
  <c r="K25" i="1"/>
  <c r="K37" i="1"/>
  <c r="K49" i="1"/>
  <c r="K61" i="1"/>
  <c r="K73" i="1"/>
  <c r="K85" i="1"/>
  <c r="K97" i="1"/>
  <c r="K109" i="1"/>
  <c r="K121" i="1"/>
  <c r="K133" i="1"/>
  <c r="K145" i="1"/>
  <c r="K157" i="1"/>
  <c r="K169" i="1"/>
  <c r="K181" i="1"/>
  <c r="K193" i="1"/>
  <c r="K205" i="1"/>
  <c r="K217" i="1"/>
  <c r="K229" i="1"/>
  <c r="K241" i="1"/>
  <c r="K253" i="1"/>
  <c r="K265" i="1"/>
  <c r="K277" i="1"/>
  <c r="K289" i="1"/>
  <c r="K301" i="1"/>
  <c r="K313" i="1"/>
  <c r="K325" i="1"/>
  <c r="K337" i="1"/>
  <c r="K349" i="1"/>
  <c r="K361" i="1"/>
  <c r="K373" i="1"/>
  <c r="K385" i="1"/>
  <c r="K397" i="1"/>
  <c r="K409" i="1"/>
  <c r="K421" i="1"/>
  <c r="K433" i="1"/>
  <c r="K14" i="1"/>
  <c r="K26" i="1"/>
  <c r="K38" i="1"/>
  <c r="K50" i="1"/>
  <c r="K62" i="1"/>
  <c r="K74" i="1"/>
  <c r="K86" i="1"/>
  <c r="K98" i="1"/>
  <c r="K110" i="1"/>
  <c r="K122" i="1"/>
  <c r="K134" i="1"/>
  <c r="K146" i="1"/>
  <c r="K158" i="1"/>
  <c r="K170" i="1"/>
  <c r="K182" i="1"/>
  <c r="K194" i="1"/>
  <c r="K206" i="1"/>
  <c r="K218" i="1"/>
  <c r="K230" i="1"/>
  <c r="K242" i="1"/>
  <c r="K254" i="1"/>
  <c r="K266" i="1"/>
  <c r="K278" i="1"/>
  <c r="K290" i="1"/>
  <c r="K302" i="1"/>
  <c r="K314" i="1"/>
  <c r="K326" i="1"/>
  <c r="K338" i="1"/>
  <c r="K350" i="1"/>
  <c r="K362" i="1"/>
  <c r="K374" i="1"/>
  <c r="K386" i="1"/>
  <c r="K398" i="1"/>
  <c r="K410" i="1"/>
  <c r="K422" i="1"/>
  <c r="K434" i="1"/>
  <c r="K446" i="1"/>
  <c r="K447" i="1"/>
  <c r="K448" i="1"/>
  <c r="K27" i="1"/>
  <c r="K63" i="1"/>
  <c r="K111" i="1"/>
  <c r="K147" i="1"/>
  <c r="K183" i="1"/>
  <c r="K219" i="1"/>
  <c r="K255" i="1"/>
  <c r="K303" i="1"/>
  <c r="K339" i="1"/>
  <c r="K387" i="1"/>
  <c r="K411" i="1"/>
  <c r="K16" i="1"/>
  <c r="K64" i="1"/>
  <c r="K100" i="1"/>
  <c r="K136" i="1"/>
  <c r="K148" i="1"/>
  <c r="K184" i="1"/>
  <c r="K196" i="1"/>
  <c r="K208" i="1"/>
  <c r="K220" i="1"/>
  <c r="K232" i="1"/>
  <c r="K244" i="1"/>
  <c r="K256" i="1"/>
  <c r="K268" i="1"/>
  <c r="K280" i="1"/>
  <c r="K292" i="1"/>
  <c r="K304" i="1"/>
  <c r="K316" i="1"/>
  <c r="K328" i="1"/>
  <c r="K340" i="1"/>
  <c r="K352" i="1"/>
  <c r="K364" i="1"/>
  <c r="K376" i="1"/>
  <c r="K388" i="1"/>
  <c r="K400" i="1"/>
  <c r="K412" i="1"/>
  <c r="K424" i="1"/>
  <c r="K436" i="1"/>
  <c r="K5" i="1"/>
  <c r="K17" i="1"/>
  <c r="K29" i="1"/>
  <c r="K41" i="1"/>
  <c r="K53" i="1"/>
  <c r="K65" i="1"/>
  <c r="K77" i="1"/>
  <c r="K89" i="1"/>
  <c r="K101" i="1"/>
  <c r="K113" i="1"/>
  <c r="K125" i="1"/>
  <c r="K137" i="1"/>
  <c r="K149" i="1"/>
  <c r="K161" i="1"/>
  <c r="K173" i="1"/>
  <c r="K185" i="1"/>
  <c r="K197" i="1"/>
  <c r="K209" i="1"/>
  <c r="K221" i="1"/>
  <c r="K233" i="1"/>
  <c r="K245" i="1"/>
  <c r="K257" i="1"/>
  <c r="K269" i="1"/>
  <c r="K281" i="1"/>
  <c r="K293" i="1"/>
  <c r="K305" i="1"/>
  <c r="K317" i="1"/>
  <c r="K329" i="1"/>
  <c r="K341" i="1"/>
  <c r="K353" i="1"/>
  <c r="K365" i="1"/>
  <c r="K377" i="1"/>
  <c r="K389" i="1"/>
  <c r="K401" i="1"/>
  <c r="K413" i="1"/>
  <c r="K425" i="1"/>
  <c r="K437" i="1"/>
  <c r="K449" i="1"/>
  <c r="K450" i="1"/>
  <c r="K216" i="1"/>
  <c r="K240" i="1"/>
  <c r="K300" i="1"/>
  <c r="K39" i="1"/>
  <c r="K87" i="1"/>
  <c r="K123" i="1"/>
  <c r="K171" i="1"/>
  <c r="K207" i="1"/>
  <c r="K243" i="1"/>
  <c r="K279" i="1"/>
  <c r="K327" i="1"/>
  <c r="K363" i="1"/>
  <c r="K435" i="1"/>
  <c r="K40" i="1"/>
  <c r="K76" i="1"/>
  <c r="K112" i="1"/>
  <c r="K172" i="1"/>
  <c r="K18" i="1"/>
  <c r="K54" i="1"/>
  <c r="K78" i="1"/>
  <c r="K114" i="1"/>
  <c r="K138" i="1"/>
  <c r="K162" i="1"/>
  <c r="K186" i="1"/>
  <c r="K210" i="1"/>
  <c r="K246" i="1"/>
  <c r="K270" i="1"/>
  <c r="K294" i="1"/>
  <c r="K318" i="1"/>
  <c r="K342" i="1"/>
  <c r="K378" i="1"/>
  <c r="K438" i="1"/>
  <c r="K7" i="1"/>
  <c r="K19" i="1"/>
  <c r="K31" i="1"/>
  <c r="K43" i="1"/>
  <c r="K55" i="1"/>
  <c r="K67" i="1"/>
  <c r="K79" i="1"/>
  <c r="K91" i="1"/>
  <c r="K103" i="1"/>
  <c r="K115" i="1"/>
  <c r="K127" i="1"/>
  <c r="K139" i="1"/>
  <c r="K151" i="1"/>
  <c r="K163" i="1"/>
  <c r="K175" i="1"/>
  <c r="K187" i="1"/>
  <c r="K199" i="1"/>
  <c r="K211" i="1"/>
  <c r="K223" i="1"/>
  <c r="K235" i="1"/>
  <c r="K247" i="1"/>
  <c r="K259" i="1"/>
  <c r="K271" i="1"/>
  <c r="K283" i="1"/>
  <c r="K295" i="1"/>
  <c r="K307" i="1"/>
  <c r="K319" i="1"/>
  <c r="K331" i="1"/>
  <c r="K343" i="1"/>
  <c r="K355" i="1"/>
  <c r="K367" i="1"/>
  <c r="K379" i="1"/>
  <c r="K391" i="1"/>
  <c r="K403" i="1"/>
  <c r="K415" i="1"/>
  <c r="K427" i="1"/>
  <c r="K439" i="1"/>
  <c r="K451" i="1"/>
  <c r="K204" i="1"/>
  <c r="K228" i="1"/>
  <c r="K252" i="1"/>
  <c r="K324" i="1"/>
  <c r="K15" i="1"/>
  <c r="K51" i="1"/>
  <c r="K75" i="1"/>
  <c r="K99" i="1"/>
  <c r="K135" i="1"/>
  <c r="K159" i="1"/>
  <c r="K195" i="1"/>
  <c r="K231" i="1"/>
  <c r="K267" i="1"/>
  <c r="K291" i="1"/>
  <c r="K315" i="1"/>
  <c r="K351" i="1"/>
  <c r="K375" i="1"/>
  <c r="K399" i="1"/>
  <c r="K423" i="1"/>
  <c r="K4" i="1"/>
  <c r="K28" i="1"/>
  <c r="K52" i="1"/>
  <c r="K88" i="1"/>
  <c r="K124" i="1"/>
  <c r="K160" i="1"/>
  <c r="K6" i="1"/>
  <c r="K30" i="1"/>
  <c r="K42" i="1"/>
  <c r="K66" i="1"/>
  <c r="K90" i="1"/>
  <c r="K102" i="1"/>
  <c r="K126" i="1"/>
  <c r="K150" i="1"/>
  <c r="K174" i="1"/>
  <c r="K198" i="1"/>
  <c r="K222" i="1"/>
  <c r="K234" i="1"/>
  <c r="K258" i="1"/>
  <c r="K282" i="1"/>
  <c r="K306" i="1"/>
  <c r="K330" i="1"/>
  <c r="K354" i="1"/>
  <c r="K366" i="1"/>
  <c r="K390" i="1"/>
  <c r="K402" i="1"/>
  <c r="K414" i="1"/>
  <c r="K426" i="1"/>
  <c r="K8" i="1"/>
  <c r="K20" i="1"/>
  <c r="K32" i="1"/>
  <c r="K44" i="1"/>
  <c r="K56" i="1"/>
  <c r="K68" i="1"/>
  <c r="K80" i="1"/>
  <c r="K92" i="1"/>
  <c r="K104" i="1"/>
  <c r="K116" i="1"/>
  <c r="K128" i="1"/>
  <c r="K140" i="1"/>
  <c r="K152" i="1"/>
  <c r="K164" i="1"/>
  <c r="K176" i="1"/>
  <c r="K188" i="1"/>
  <c r="K200" i="1"/>
  <c r="K212" i="1"/>
  <c r="K224" i="1"/>
  <c r="K236" i="1"/>
  <c r="K248" i="1"/>
  <c r="K260" i="1"/>
  <c r="K272" i="1"/>
  <c r="K284" i="1"/>
  <c r="K296" i="1"/>
  <c r="K308" i="1"/>
  <c r="K320" i="1"/>
  <c r="K332" i="1"/>
  <c r="K344" i="1"/>
  <c r="K356" i="1"/>
  <c r="K368" i="1"/>
  <c r="K380" i="1"/>
  <c r="K392" i="1"/>
  <c r="K404" i="1"/>
  <c r="K416" i="1"/>
  <c r="K428" i="1"/>
  <c r="K440" i="1"/>
  <c r="K452" i="1"/>
  <c r="K453" i="1"/>
  <c r="K454" i="1"/>
  <c r="K10" i="1"/>
  <c r="K22" i="1"/>
  <c r="K34" i="1"/>
  <c r="K46" i="1"/>
  <c r="K58" i="1"/>
  <c r="K70" i="1"/>
  <c r="K82" i="1"/>
  <c r="K94" i="1"/>
  <c r="K106" i="1"/>
  <c r="K118" i="1"/>
  <c r="K130" i="1"/>
  <c r="K142" i="1"/>
  <c r="K154" i="1"/>
  <c r="K166" i="1"/>
  <c r="K178" i="1"/>
  <c r="K190" i="1"/>
  <c r="K202" i="1"/>
  <c r="K214" i="1"/>
  <c r="K226" i="1"/>
  <c r="K238" i="1"/>
  <c r="K250" i="1"/>
  <c r="K262" i="1"/>
  <c r="K274" i="1"/>
  <c r="K286" i="1"/>
  <c r="K298" i="1"/>
  <c r="K310" i="1"/>
  <c r="K322" i="1"/>
  <c r="K334" i="1"/>
  <c r="K346" i="1"/>
  <c r="K358" i="1"/>
  <c r="K370" i="1"/>
  <c r="K382" i="1"/>
  <c r="K394" i="1"/>
  <c r="K406" i="1"/>
  <c r="K418" i="1"/>
  <c r="K430" i="1"/>
  <c r="K442" i="1"/>
  <c r="K11" i="1"/>
  <c r="K23" i="1"/>
  <c r="K35" i="1"/>
  <c r="K47" i="1"/>
  <c r="K59" i="1"/>
  <c r="K71" i="1"/>
  <c r="K83" i="1"/>
  <c r="K95" i="1"/>
  <c r="K107" i="1"/>
  <c r="K119" i="1"/>
  <c r="K131" i="1"/>
  <c r="K143" i="1"/>
  <c r="K155" i="1"/>
  <c r="K167" i="1"/>
  <c r="K179" i="1"/>
  <c r="K191" i="1"/>
  <c r="K203" i="1"/>
  <c r="K215" i="1"/>
  <c r="K227" i="1"/>
  <c r="K239" i="1"/>
  <c r="K251" i="1"/>
  <c r="K263" i="1"/>
  <c r="K275" i="1"/>
  <c r="K287" i="1"/>
  <c r="K299" i="1"/>
  <c r="K311" i="1"/>
  <c r="K323" i="1"/>
  <c r="K335" i="1"/>
  <c r="K347" i="1"/>
  <c r="K359" i="1"/>
  <c r="K371" i="1"/>
  <c r="K383" i="1"/>
  <c r="K395" i="1"/>
  <c r="K407" i="1"/>
  <c r="K419" i="1"/>
  <c r="K431" i="1"/>
  <c r="K443" i="1"/>
  <c r="K455" i="1"/>
</calcChain>
</file>

<file path=xl/sharedStrings.xml><?xml version="1.0" encoding="utf-8"?>
<sst xmlns="http://schemas.openxmlformats.org/spreadsheetml/2006/main" count="2326" uniqueCount="552">
  <si>
    <t>TODAY</t>
  </si>
  <si>
    <t>Listing Applicant</t>
  </si>
  <si>
    <t>Sector</t>
  </si>
  <si>
    <t xml:space="preserve">Sponsor </t>
  </si>
  <si>
    <t>Date of Listing Application</t>
  </si>
  <si>
    <t>Date of Lapse of Listing Application</t>
  </si>
  <si>
    <t>Status (Active / Lapsed)</t>
  </si>
  <si>
    <t>Stage</t>
  </si>
  <si>
    <t>Shuanglin Co., Ltd.</t>
  </si>
  <si>
    <t>Automotive</t>
  </si>
  <si>
    <t>CITIC</t>
  </si>
  <si>
    <t>GF</t>
  </si>
  <si>
    <t>A1</t>
  </si>
  <si>
    <t>Shanjin International Gold Co., Ltd.</t>
  </si>
  <si>
    <t>Industrial</t>
  </si>
  <si>
    <t>UBS</t>
  </si>
  <si>
    <t>CICC</t>
  </si>
  <si>
    <t>Cosin Solar Technology Co., Ltd.</t>
  </si>
  <si>
    <t>Energy</t>
  </si>
  <si>
    <t>China Securities</t>
  </si>
  <si>
    <t>Wondershare Technology Group Co., Ltd.</t>
  </si>
  <si>
    <t>TMT</t>
  </si>
  <si>
    <t>Guangzhou Xaircraft Technology Co., Ltd.</t>
  </si>
  <si>
    <t>Huatai</t>
  </si>
  <si>
    <t>DKE Holding Company Limited</t>
  </si>
  <si>
    <t>Amlogic (Shanghai) Co.,Ltd.</t>
  </si>
  <si>
    <t>Haitong</t>
  </si>
  <si>
    <t>TOP TOY International Group Limited</t>
  </si>
  <si>
    <t>Consumer Discretionary</t>
  </si>
  <si>
    <t>JP Morgan</t>
  </si>
  <si>
    <t>Suzhou UIGreen Micro&amp;Nano Technologies Co., Ltd.</t>
  </si>
  <si>
    <t>GJTA</t>
  </si>
  <si>
    <t>SigmaStar Technology Ltd.</t>
  </si>
  <si>
    <t>PCI Technology Group Co., Ltd.</t>
  </si>
  <si>
    <t>ABCI</t>
  </si>
  <si>
    <t>Motovis Intelligent Technology (Shanghai) Co., Ltd.</t>
  </si>
  <si>
    <t>GTJA</t>
  </si>
  <si>
    <t>Guosen Securities</t>
  </si>
  <si>
    <t>Jiangsu Slender West Lake Cultural Tourism Co. Ltd</t>
  </si>
  <si>
    <t>Servicing</t>
  </si>
  <si>
    <t>China Everbright</t>
  </si>
  <si>
    <t>IMPACT Therapeutics, Inc. - B</t>
  </si>
  <si>
    <t>Healthcare and Pharmaceutical</t>
  </si>
  <si>
    <t>Goldman Sachs</t>
  </si>
  <si>
    <t>Hefei Youibot Robotics Co., Ltd.</t>
  </si>
  <si>
    <t>Guangdong Rong Tai Pharmaceutical Co., Ltd.</t>
  </si>
  <si>
    <t>FJD Inc.</t>
  </si>
  <si>
    <t>Morgan Stanley</t>
  </si>
  <si>
    <t>WYBOTICS Co.,LTD</t>
  </si>
  <si>
    <t>Wuhan Ammunition Life-tech Co., Ltd.</t>
  </si>
  <si>
    <t>CCBI</t>
  </si>
  <si>
    <t>BOCOM</t>
  </si>
  <si>
    <t>SG Micro Corp</t>
  </si>
  <si>
    <t>Sirius Therapeutics</t>
  </si>
  <si>
    <t>HSBC</t>
  </si>
  <si>
    <t>Changzhou Microintelligence Co., Ltd</t>
  </si>
  <si>
    <t>Orient</t>
  </si>
  <si>
    <t>Yantai Lannacheng Biotechnology Co., Ltd. - B</t>
  </si>
  <si>
    <t>XGIMI Tech Co., Ltd.</t>
  </si>
  <si>
    <t>Wuhan Silicon Integrated Co., Ltd.</t>
  </si>
  <si>
    <t>We Doctor Holdings Limited</t>
  </si>
  <si>
    <t>CMBI</t>
  </si>
  <si>
    <t>Sichuan Biokin Pharmaceutical Co., Ltd.</t>
  </si>
  <si>
    <t>PHIP</t>
  </si>
  <si>
    <t>Shenzhen Camsense Technologies Co., Ltd.</t>
  </si>
  <si>
    <t>Shaanxi Micot Pharmaceutical Technology Co., Ltd. - B</t>
  </si>
  <si>
    <t>Rokae (Shandong) Robotics Group Inc.</t>
  </si>
  <si>
    <t>RIGOL Technologies Co., Ltd.</t>
  </si>
  <si>
    <t>Rayson HI-TECH(SZ) Co., Ltd.</t>
  </si>
  <si>
    <t>PRM Technology Co., Ltd.</t>
  </si>
  <si>
    <t>SPDB</t>
  </si>
  <si>
    <t>Nexchip Semiconductor Corporation</t>
  </si>
  <si>
    <t>Milian Technology Inc.</t>
  </si>
  <si>
    <t>LEO Group Co., Ltd.</t>
  </si>
  <si>
    <t>China Galaxy</t>
  </si>
  <si>
    <t>Dajin Heavy Industry Co., Ltd.</t>
  </si>
  <si>
    <t>CHANGCHUN HIGH-TECH INDUSTRY (GROUP) CO., LTD.</t>
  </si>
  <si>
    <t>CHANDO GLOBAL HOLDING LIMITED</t>
  </si>
  <si>
    <t>Betta Pharmaceuticals Co., Ltd.</t>
  </si>
  <si>
    <t>Streamax Technology Co., Ltd.</t>
  </si>
  <si>
    <t>Shenzhen Huafu Technology Co., Ltd.</t>
  </si>
  <si>
    <t>SDIC</t>
  </si>
  <si>
    <t>Shanghai Synyi Medical Technology Co., Ltd.</t>
  </si>
  <si>
    <t>Good Doctor Cloud Healthcare &amp; Technology Group Co., Ltd.</t>
  </si>
  <si>
    <t>China Guo Xin Service Holding Limited</t>
  </si>
  <si>
    <t>Real Estate</t>
  </si>
  <si>
    <t>Fosun</t>
  </si>
  <si>
    <t>Boffotto Semiconductor Co., Ltd.</t>
  </si>
  <si>
    <t>Boche Holding Limited (Cayman)</t>
  </si>
  <si>
    <t>Binhui Biopharmaceutical Co., Ltd. - B</t>
  </si>
  <si>
    <t>BOCI</t>
  </si>
  <si>
    <t>AOLG Services Group Co., Ltd</t>
  </si>
  <si>
    <t>Annoroad Gene Technology (Beijing) Co., Ltd.</t>
  </si>
  <si>
    <t>Anhui Huaheng Biotechnology Co., Ltd.</t>
  </si>
  <si>
    <t>SUNGROW POWER SUPPLY CO., LTD.</t>
  </si>
  <si>
    <t>Eccogene Inc.</t>
  </si>
  <si>
    <t>Jefferies</t>
  </si>
  <si>
    <t>BofA</t>
  </si>
  <si>
    <t>Tanboer Group Co., Ltd.</t>
  </si>
  <si>
    <t>Epiworld International Co., Ltd.</t>
  </si>
  <si>
    <t>Baishan Cloud Holdings Limited</t>
  </si>
  <si>
    <t>Chongqing Afari Technology Co., Ltd.</t>
  </si>
  <si>
    <t>Capital Securities Corporation Limited</t>
  </si>
  <si>
    <t>Financial Service</t>
  </si>
  <si>
    <t>SIMCo Infrastructure Private Credit OFC</t>
  </si>
  <si>
    <t>DBS</t>
  </si>
  <si>
    <t>Sichuan Neautus Traditional Chinese Medicine Co., Ltd.</t>
  </si>
  <si>
    <t>QST Information Technology Limited</t>
  </si>
  <si>
    <t>ICBCI</t>
  </si>
  <si>
    <t>Lakala Payment Co., Ltd.</t>
  </si>
  <si>
    <t>Yuwang BioNutrition Limited</t>
  </si>
  <si>
    <t>Jintan Limited</t>
  </si>
  <si>
    <t>CMS</t>
  </si>
  <si>
    <t>Sharetronic Data Technology Co., Ltd.</t>
  </si>
  <si>
    <t>TF International</t>
  </si>
  <si>
    <t xml:space="preserve"> CEB International</t>
  </si>
  <si>
    <t>Befar Group Co., Ltd.</t>
  </si>
  <si>
    <t>Everdisplay Optronics (Shanghai) Co., Ltd.</t>
  </si>
  <si>
    <t>Jiangxi Institute of Biological Products Inc.</t>
  </si>
  <si>
    <t>Xiamen Hithium Energy Storage Technology Co., Ltd.</t>
  </si>
  <si>
    <t>LALATECH HOLDINGS LIMITED</t>
  </si>
  <si>
    <t>Shanghai Fullhan Microelectronics Co., Ltd.</t>
  </si>
  <si>
    <t>RoboTechnik Intelligent Technology Co., Ltd.</t>
  </si>
  <si>
    <t>Citi</t>
  </si>
  <si>
    <t>Liuliu Orchard Group Co., Ltd.</t>
  </si>
  <si>
    <t>Guoyuan</t>
  </si>
  <si>
    <t>EnjoyGo Technology Limited</t>
  </si>
  <si>
    <t>BIWIN STORAGE TECHNOLOGY CO., LTD.</t>
  </si>
  <si>
    <t>Beijing Hiducation Technology Corporation Limited</t>
  </si>
  <si>
    <t>Education</t>
  </si>
  <si>
    <t>Sichuan Teway Food Group Co., Ltd.</t>
  </si>
  <si>
    <t>Shenzhen Hosonsoft Co., Ltd.</t>
  </si>
  <si>
    <t>Sinolink</t>
  </si>
  <si>
    <t>PROYA COSMETICS CO., LTD.</t>
  </si>
  <si>
    <t>Hangzhou Qiandaohu Xunlong Sci-tech Co., Ltd.</t>
  </si>
  <si>
    <t>GUANGDONG TINOOS GROUP CO., LIMITED</t>
  </si>
  <si>
    <t>Consumer Staples</t>
  </si>
  <si>
    <t>DERMAVON HOLDINGS LIMITED</t>
  </si>
  <si>
    <t>BrightGene Bio-Medical Technology Co., Ltd.</t>
  </si>
  <si>
    <t>Zhejiang Taotao Vehicles Co., Ltd.</t>
  </si>
  <si>
    <t>TriApex Laboratories Co., Ltd.</t>
  </si>
  <si>
    <t>Suzhou Calmcar Electronics Technology Co., Limited</t>
  </si>
  <si>
    <t>NovaBridge Biosciences</t>
  </si>
  <si>
    <t>Ningbo Physis Technology Co., Ltd.</t>
  </si>
  <si>
    <t>Nanjing Silicon Intelligence Technology Group Co., Ltd.</t>
  </si>
  <si>
    <t>Lupeng Pharmaceutical Ltd.</t>
  </si>
  <si>
    <t>Keytop Parking Inc.</t>
  </si>
  <si>
    <t>CMBC</t>
  </si>
  <si>
    <t>Jiangsu Silicon Integrity Semiconductor Technology Co., Ltd.</t>
  </si>
  <si>
    <t>Crealights Technology Co., Ltd.</t>
  </si>
  <si>
    <t>Artificial Intelligent Interconnection Technology Co., Ltd.</t>
  </si>
  <si>
    <t>Alebund Pharmaceuticals (Jiangsu) Limited</t>
  </si>
  <si>
    <t>Guangzhou Haote Energy Saving Technology Co., Ltd.</t>
  </si>
  <si>
    <t>SWHY</t>
  </si>
  <si>
    <t>DeepWay Technology Co., Ltd.</t>
  </si>
  <si>
    <t>Kexing Biopharm Co., Ltd.</t>
  </si>
  <si>
    <t>Lingong Heavy Machinery Co., Ltd.</t>
  </si>
  <si>
    <t>CISI</t>
  </si>
  <si>
    <t>Janbon High Tech Co., Ltd.</t>
  </si>
  <si>
    <t>Boxihe Outdoor Sports Group Co., Ltd.</t>
  </si>
  <si>
    <t>Nanjing Healthnice Pharmaceutical Technology Co., Ltd.</t>
  </si>
  <si>
    <t>WinHealth International Holding Group Company Limited</t>
  </si>
  <si>
    <t>Genuine Biotech Limited - B</t>
  </si>
  <si>
    <t>Zhongding Intelligent (Wuxi) Technology Co., Ltd.</t>
  </si>
  <si>
    <t>Shenzhen Mindray Bio-Medical Electronics Co., Ltd.</t>
  </si>
  <si>
    <t>Hangzhou Tongshifu Cultural and Creative (Group) Co., Ltd.</t>
  </si>
  <si>
    <t>Axbio International Limited</t>
  </si>
  <si>
    <t>Zhejiang Shimai Pharmaceutical Co., Ltd. - B</t>
  </si>
  <si>
    <t>Jiangsu New Vision Automotive Electronics Co., Ltd.</t>
  </si>
  <si>
    <t>Genor Biopharma Holdings Limited</t>
  </si>
  <si>
    <t>Chengdu CRP Robot Technology Co., Ltd.</t>
  </si>
  <si>
    <t>Suzhou Dongshan Precision Manufacturing Co., Ltd.</t>
  </si>
  <si>
    <t>LINGYI iTECH (GUANGDONG) COMPANY</t>
  </si>
  <si>
    <t>Mandi Inc.</t>
  </si>
  <si>
    <t>HLA Group Corp., Ltd.</t>
  </si>
  <si>
    <t>Ming Yu Pharmaceutical Limited</t>
  </si>
  <si>
    <t>Freetech (Zhejiang) Intelligent Technology Co., Ltd.</t>
  </si>
  <si>
    <t>Elpiscience Biopharmaceuticals, Inc.</t>
  </si>
  <si>
    <t>Zhejiang Zhongjian Technology Co., Ltd.</t>
  </si>
  <si>
    <t>Ping An</t>
  </si>
  <si>
    <t>TERMINUS SMART TECHNOLOGY CO., LTD.</t>
  </si>
  <si>
    <t>Chengdu Olymvax Biopharmaceuticals Inc.</t>
  </si>
  <si>
    <t>XGD INC.</t>
  </si>
  <si>
    <t>Shanghai Top Numerical Control Technology Co., Ltd.</t>
  </si>
  <si>
    <t>Soulgate Inc.</t>
  </si>
  <si>
    <t>Ningbo Haishangxian Information Technology Co., Ltd.</t>
  </si>
  <si>
    <t>Sunny Fortune</t>
  </si>
  <si>
    <t>AVATR Technology (Chongqing) Company Limited</t>
  </si>
  <si>
    <t>Audiowell Electronics (Guangdong) Co., Ltd.</t>
  </si>
  <si>
    <t>Zhejiang Zentel Memory Technology Co. LTD</t>
  </si>
  <si>
    <t>Wuxi Autolink Intelligence Tech Co., Ltd.</t>
  </si>
  <si>
    <t>WUS PRINTED CIRCUIT (KUNSHAN) CO., LTD.</t>
  </si>
  <si>
    <t>UISEE Technologies (Beijing) Co., Ltd.</t>
  </si>
  <si>
    <t>Sublime China Information Co., Ltd.</t>
  </si>
  <si>
    <t>Shanghai Seer Intelligent Technology Co., Ltd.</t>
  </si>
  <si>
    <t>Shanghai Keying E-Commerce Co., Ltd.</t>
  </si>
  <si>
    <t>Luxvisions Innovation Technology Corp. Limited</t>
  </si>
  <si>
    <t>Lung Fung Group Holdings Limited</t>
  </si>
  <si>
    <t>Shanghai Eigencomm Technologies Co., Ltd.</t>
  </si>
  <si>
    <t>Lynk Pharmaceuticals Co., Ltd. - B</t>
  </si>
  <si>
    <t>Beijing DeepZero Technology Co., Ltd.</t>
  </si>
  <si>
    <t>Ganzhou Hemay Pharmaceutical Co., Ltd. - B</t>
  </si>
  <si>
    <t>Guangdong Dtech Technology Co., Ltd.</t>
  </si>
  <si>
    <t>Huoli Group Holdings Limited</t>
  </si>
  <si>
    <t>SHENZHEN LDROBOT CO., LTD</t>
  </si>
  <si>
    <t>Anker Innovations Technology Co., Ltd.</t>
  </si>
  <si>
    <t>Pharmeyes Cayman Holding Limited</t>
  </si>
  <si>
    <t>Shenzhen Transsion Holdings Co., Ltd.</t>
  </si>
  <si>
    <t>Shenzhen SDMC Technology Co., Ltd.</t>
  </si>
  <si>
    <t>Sunking Semiconductor CO., LIMITED</t>
  </si>
  <si>
    <t>Goldlink</t>
  </si>
  <si>
    <t>Shenzhen CVA Innovation Co., Ltd</t>
  </si>
  <si>
    <t>Unisplendour Corporation Limited</t>
  </si>
  <si>
    <t>BNP</t>
  </si>
  <si>
    <t>Hangzhou Highlightll Pharmaceutical Co., Ltd. - B</t>
  </si>
  <si>
    <t>BASiC Semiconductor Co., Ltd.</t>
  </si>
  <si>
    <t>Sainte Nutritional Inc.</t>
  </si>
  <si>
    <t>Chaozhou Three-Circle (Group) Co., Ltd.</t>
  </si>
  <si>
    <t>MIDUODUO GROUP INC.</t>
  </si>
  <si>
    <t>Shanghai Juncell Therapeutics Co., Ltd.</t>
  </si>
  <si>
    <t>CSPC Innovation Pharmaceutical Co., Ltd.</t>
  </si>
  <si>
    <t>Trunk Technology (Beijing) Co., Ltd.</t>
  </si>
  <si>
    <t>Kidswant Children Products Co., Ltd</t>
  </si>
  <si>
    <t>Guangdong Marubi Biotechnology Co., Ltd.</t>
  </si>
  <si>
    <t>Aulton New Energy Co., Ltd</t>
  </si>
  <si>
    <t>Zhuhai Kingsware Artificial Intelligence Co., Ltd.</t>
  </si>
  <si>
    <t>BANU INTERNATIONAL HOLDING LTD</t>
  </si>
  <si>
    <t>SKG Health Technologies Co., Ltd.</t>
  </si>
  <si>
    <t>ENN Natural Gas Co., Ltd.</t>
  </si>
  <si>
    <t>EpimAb Biotherapeutics Inc. - B</t>
  </si>
  <si>
    <t>COREE Company Limited</t>
  </si>
  <si>
    <t>Suzhou Zelgen Biopharmaceuticals Co., Ltd.</t>
  </si>
  <si>
    <t>Gpixel Changchun Microelectronics Inc.</t>
  </si>
  <si>
    <t>Fortunetone Technology Co., Ltd.</t>
  </si>
  <si>
    <t>Consumer Solutions Worldwide (CSW), (Cayman) Limited</t>
  </si>
  <si>
    <t>Autel Intelligent Technology Corp., Ltd.</t>
  </si>
  <si>
    <t>Allystar Technology (Shenzhen) Co., Ltd.</t>
  </si>
  <si>
    <t>Geneplus Technology (Shaoxing) Co., Limited</t>
  </si>
  <si>
    <t>Weichai Lovol Intelligent Agricultural Technology Co., Ltd.</t>
  </si>
  <si>
    <t>Ringpai Veterinary Hospital Management Holdings Co., Ltd.</t>
  </si>
  <si>
    <t>Lontium Semiconductor Corporation</t>
  </si>
  <si>
    <t>Frontera Therapeutics - B</t>
  </si>
  <si>
    <t>Guangzhou Novaken Pharm Co., Ltd. - B</t>
  </si>
  <si>
    <t>Zhejiang Meorient Commerce &amp; Exhibition Inc.</t>
  </si>
  <si>
    <t>Yusys Technologies Co., Ltd.</t>
  </si>
  <si>
    <t>Shenzhen Forms Syntron Information Co., Ltd.</t>
  </si>
  <si>
    <t>Guangzhou Shiyuan Electronic Technology Company Limited</t>
  </si>
  <si>
    <t>Youcare Pharmaceutical Group Co., Ltd.</t>
  </si>
  <si>
    <t>Yonyou Network Technology Co., Ltd.</t>
  </si>
  <si>
    <t>Intsig Information Co., Ltd.</t>
  </si>
  <si>
    <t>Hand Enterprise Solutions Co., Ltd.</t>
  </si>
  <si>
    <t>EACON Group Co., Ltd</t>
  </si>
  <si>
    <t>Tojoy Shared Smart Enterprise Services Co., Ltd.</t>
  </si>
  <si>
    <t>BlueFocus Intelligent Communications Group Co., Ltd.</t>
  </si>
  <si>
    <t>China Renaissance</t>
  </si>
  <si>
    <t>Suzhou ecMAX Technology Co., Ltd.</t>
  </si>
  <si>
    <t>Jingze Biopharmaceutical (Hefei) Co., Ltd. - B</t>
  </si>
  <si>
    <t>Hoosun Technology Group Co., Ltd.</t>
  </si>
  <si>
    <t>Coosea Smart Technology Company Limited</t>
  </si>
  <si>
    <t>Beijing Roborock Technology Co., Ltd.</t>
  </si>
  <si>
    <t>xTool Innovate Limited</t>
  </si>
  <si>
    <t>Suplay Inc.</t>
  </si>
  <si>
    <t>Shenzhen Kinwong Electronic Co., Ltd.</t>
  </si>
  <si>
    <t>Guolian</t>
  </si>
  <si>
    <t>InventisBio Co., Limited - B</t>
  </si>
  <si>
    <t>HOSIN Global Electronics Co., Ltd.</t>
  </si>
  <si>
    <t>Healife Group Co., Ltd.</t>
  </si>
  <si>
    <t>Guangdong Asensing Technology Co., Ltd.</t>
  </si>
  <si>
    <t>Zhejiang Galaxis Technology Group Co., Ltd.</t>
  </si>
  <si>
    <t>Pinecone Wisdom Inc.</t>
  </si>
  <si>
    <t>New Shicoh Motor Co., Ltd.</t>
  </si>
  <si>
    <t>Leadrive Technology (SHANGHAI) Co., Ltd.</t>
  </si>
  <si>
    <t>EVE Energy Co., Ltd.</t>
  </si>
  <si>
    <t>Wanbang Digital Energy Co., Ltd.</t>
  </si>
  <si>
    <t>Standard Robots (Wuxi) Co., Ltd.</t>
  </si>
  <si>
    <t>ZhongAn Information Technology (Shenzhen) Co., Ltd.</t>
  </si>
  <si>
    <t>Inmyshow Digital Technology (Group) Co., Ltd.</t>
  </si>
  <si>
    <t>Deutsche Bank</t>
  </si>
  <si>
    <t>Granpa's Farm International Holdings Limited</t>
  </si>
  <si>
    <t>Hangzhou Diagens Biotechnology Co., Ltd. - B</t>
  </si>
  <si>
    <t>BioRay Biopharmaceutical Co., Ltd.</t>
  </si>
  <si>
    <t>Silicon Magic Semiconductor Technology (Hangzhou) Co., Ltd.</t>
  </si>
  <si>
    <t>Sunny &amp; Sandy (Hunan) Group Limited</t>
  </si>
  <si>
    <t>LXJ International Holdings Limited</t>
  </si>
  <si>
    <t>Hunan Xizi Health Group Co., LTD</t>
  </si>
  <si>
    <t>XTX Technology Inc.</t>
  </si>
  <si>
    <t>Simcere Zaiming Pharmaceutical Co., Ltd.</t>
  </si>
  <si>
    <t>RelyEZ Energy Storage Technology Co., Ltd.</t>
  </si>
  <si>
    <t>Jiwusiwei Limited</t>
  </si>
  <si>
    <t>Haid International Holdings Limited</t>
  </si>
  <si>
    <t>Hangzhou BOCO Electronics Co., Ltd.</t>
  </si>
  <si>
    <t>Qdama International Holdings Ltd.</t>
  </si>
  <si>
    <t>Shenzhen Vergiga Semiconductor Co., Ltd.</t>
  </si>
  <si>
    <t>SSI New Material (Zhenjiang) Co., Ltd.</t>
  </si>
  <si>
    <t>YUEN KEE FOOD GROUP CO., LTD.</t>
  </si>
  <si>
    <t>Chengdu Zenitar Biomedical Technology Co., Ltd.</t>
  </si>
  <si>
    <t>HENAN KINGSTAR BREWERY CO., LTD</t>
  </si>
  <si>
    <t>Lianchi Hospital Group Co., Ltd.</t>
  </si>
  <si>
    <t>JoulWatt Technology Co., Ltd.</t>
  </si>
  <si>
    <t>Robotphoenix Intelligent Technology Co., Ltd.</t>
  </si>
  <si>
    <t>Shanghai Shengsheng Pharmaceutical Cold Chain Technology Co., Ltd.</t>
  </si>
  <si>
    <t>Shanghai Sunmi Technology Co., Ltd.</t>
  </si>
  <si>
    <t>Changzhou Fusion New Material Co., Ltd.</t>
  </si>
  <si>
    <t>Exegenesis Bio Inc.</t>
  </si>
  <si>
    <t>Immvira Bioscience Inc.</t>
  </si>
  <si>
    <t>Akuvox (Xiamen) Networks Co., Ltd.</t>
  </si>
  <si>
    <t>Big Catering International Holding Co., Ltd</t>
  </si>
  <si>
    <t>Guangdong Topstar Technology Co., Ltd.</t>
  </si>
  <si>
    <t>Harbin Yuyantang Traditional Chinese Medicine Outpatient Group Co., Ltd.</t>
  </si>
  <si>
    <t>MGS Eco-Home Limited</t>
  </si>
  <si>
    <t>Onyx International Inc.</t>
  </si>
  <si>
    <t>Shandong Huawutang Cosmetics Co., Ltd.</t>
  </si>
  <si>
    <t>Shanghai MediTrust Health Technology Group Co., Ltd.</t>
  </si>
  <si>
    <t>Suzhou Genhouse Bio Co., Ltd.</t>
  </si>
  <si>
    <t>Shanghai Fuiou Payment Service Corp., Ltd.</t>
  </si>
  <si>
    <t>Shanghai Duoning Biotechnology Co., Ltd.</t>
  </si>
  <si>
    <t>Zhejiang HuaRay Technology Co., Ltd.</t>
  </si>
  <si>
    <t>Viewtrix Technology Co., Ltd.</t>
  </si>
  <si>
    <t>Suzhou Junion Intelligent Technology Co., Ltd.</t>
  </si>
  <si>
    <t>Junlebao Dairy Group Co., Ltd.</t>
  </si>
  <si>
    <t>CSG Smart Science &amp; Technology Co., Ltd.</t>
  </si>
  <si>
    <t>Hangzhou Yodosmart Automotive Technology Co., Ltd.</t>
  </si>
  <si>
    <t>SHENZHEN WOKE TECHNOLOGY Co., LTD</t>
  </si>
  <si>
    <t>Shandong Extreme Vision Technology Co., Ltd.</t>
  </si>
  <si>
    <t>Beijing Deltaphone Technology Co., Limited</t>
  </si>
  <si>
    <t>PrimeGenX Therapeutics Co., Ltd. - B</t>
  </si>
  <si>
    <t>Anhui Zhongji Guoyi Medical Technology Co., Ltd.</t>
  </si>
  <si>
    <t>Shanghai A&amp;I Co., Ltd.</t>
  </si>
  <si>
    <t>Hangzhou Bangshun Pharmaceutical Co., Ltd. - B</t>
  </si>
  <si>
    <t>Zhejiang IPLUSMOBOT Technology Co., Ltd.</t>
  </si>
  <si>
    <t>Shanghai Junyi Industrial Automation Co., Ltd.</t>
  </si>
  <si>
    <t>Dizal Pharmaceutical Co., Ltd.</t>
  </si>
  <si>
    <t>Knature Biopharmaceutical Co., Ltd</t>
  </si>
  <si>
    <t>Tobita (Group) Holdings Limited</t>
  </si>
  <si>
    <t>Zhongtai</t>
  </si>
  <si>
    <t>Shenzhen Yueshi Digital Intelligence Co., Ltd.</t>
  </si>
  <si>
    <t>Shenzhen HBN Technology (Group) Company Limited</t>
  </si>
  <si>
    <t>Shanghai Aucta Pharmaceuticals Co., Ltd. - B</t>
  </si>
  <si>
    <t>Ningbo Sunny Smart Autotech Company Limited</t>
  </si>
  <si>
    <t xml:space="preserve">Automotive </t>
  </si>
  <si>
    <t>JINGDONG Property, Inc.</t>
  </si>
  <si>
    <t>Guangzhou Yanqu Information Technology Co., Ltd.</t>
  </si>
  <si>
    <t>Guangdong Mic-Power New Energy Co., Ltd.</t>
  </si>
  <si>
    <t>Giantec Semiconductor Corporation</t>
  </si>
  <si>
    <t>Changzhou Xingyu Automotive Lighting Systems Co., Ltd.</t>
  </si>
  <si>
    <t>Beijing Tong Ren Tang Healthcare Investment Co., Ltd.</t>
  </si>
  <si>
    <t>ACROBIOSYSTEMS CO., LTD</t>
  </si>
  <si>
    <t>Wayon Energy Technology Co., Ltd.</t>
  </si>
  <si>
    <t>SHENZHEN CAPCHEM TECHNOLOGY CO., LTD.</t>
  </si>
  <si>
    <t>Ningbo Deye Technology Corporation</t>
  </si>
  <si>
    <t>Jiangsu Xinquan Automotive Trim Co., Ltd.</t>
  </si>
  <si>
    <t>Hangzhou Ganzhicao Technology Co., Ltd.</t>
  </si>
  <si>
    <t>Guangxi Yuchai Marine and Genset Power Co., Ltd.</t>
  </si>
  <si>
    <t>Beijing XSKY Technology Co., Ltd.</t>
  </si>
  <si>
    <t>Tianjin Atomrobot Co., Ltd.</t>
  </si>
  <si>
    <t>Kunlun New Energy Materials Technology (Yichang) Co., Ltd.</t>
  </si>
  <si>
    <t>Jiangxi Tongbo Technology Co., Ltd.</t>
  </si>
  <si>
    <t>Hefei Kuxin Microelectronics Co., Ltd.</t>
  </si>
  <si>
    <t>Zhejiang Rongtai Electric Material Co., Ltd.</t>
  </si>
  <si>
    <t>Tyligand Bioscience Ltd. - B</t>
  </si>
  <si>
    <t>Sirio Pharma Co., Ltd.</t>
  </si>
  <si>
    <t>Shanghai Boonray Intelligent Technology Co., Ltd.</t>
  </si>
  <si>
    <t>Gemilai Holdings Limited</t>
  </si>
  <si>
    <t>ZHEJIANG ENERGY MARINE ENVIRONMENTAL TECHNOLOGY CO., LTD</t>
  </si>
  <si>
    <t>ZHE JIANG HAI LIANG CO., LTD.</t>
  </si>
  <si>
    <t>Zenshine Pharmaceuticals (Nanjing) Group Co., Ltd. - B</t>
  </si>
  <si>
    <t>YESMRO Holdings Limited</t>
  </si>
  <si>
    <t>WiseTek Med Ltd.</t>
  </si>
  <si>
    <t>Ti Testing &amp; Certification Group Co., Ltd.</t>
  </si>
  <si>
    <t>TAILG Technology Co., Ltd.</t>
  </si>
  <si>
    <t>Sunwoda Electronic Co., Ltd.</t>
  </si>
  <si>
    <t>Shenzhen Senior Technology Material Co., Ltd.</t>
  </si>
  <si>
    <t>Ruigu Group Co., Ltd.</t>
  </si>
  <si>
    <t>Jiangsu Zhongxin Pridon New Material Co., Ltd.</t>
  </si>
  <si>
    <t>Guangzhou Great Power Energy &amp; Technology Co., Ltd.</t>
  </si>
  <si>
    <t>Eaglerise Electric &amp; Electronic (CHINA) Co., Ltd.</t>
  </si>
  <si>
    <t>COSMOPlat IoT Technology Co., Ltd.</t>
  </si>
  <si>
    <t>Beijing Tiandi Hexing Technology Co., Ltd.</t>
  </si>
  <si>
    <t>Beijing ESWIN Computing Technology Co., Ltd.</t>
  </si>
  <si>
    <t>Anhui Haimacloud Technology Co., Ltd.</t>
  </si>
  <si>
    <t>Ugreen Group Limited</t>
  </si>
  <si>
    <t>TenNor Therapeutics (Suzhou) Limited</t>
  </si>
  <si>
    <t>Lockin Technology (Beijing) Co., Ltd.</t>
  </si>
  <si>
    <t>Weiheng Intelligent Technology Co., Ltd.</t>
  </si>
  <si>
    <t>Vitalink Technology Co., Ltd.</t>
  </si>
  <si>
    <t>Hangzhou CIEC Group Co., Ltd.</t>
  </si>
  <si>
    <t>Hangzhou Tangji Medical Technology Co., Ltd.</t>
  </si>
  <si>
    <t>Caitong</t>
  </si>
  <si>
    <t>Shenzhen Zeroth AI Technology Co., Ltd.</t>
  </si>
  <si>
    <t>ICS Corporate Services Group Inc.</t>
  </si>
  <si>
    <t>PANACRO (Hangzhou) Pharmaceutical Technology Co., Ltd.</t>
  </si>
  <si>
    <t>Sieyuan Electric Co., Ltd.</t>
  </si>
  <si>
    <t>Zhejiang Jingxin Pharmaceutical Co., Ltd.</t>
  </si>
  <si>
    <t>SHENZHEN SALUBRIS PHARMACEUTICALS CO., LTD.</t>
  </si>
  <si>
    <t>Suzhou Leadsynbio Technology Co., Ltd.</t>
  </si>
  <si>
    <t>Hai Robotics Innovation Group Co., Ltd.</t>
  </si>
  <si>
    <t>Hunan Junxin Environmental Protection Co., Ltd.</t>
  </si>
  <si>
    <t>Environment</t>
  </si>
  <si>
    <t>Nanjing Novlead Biotechnology Co., Ltd.</t>
  </si>
  <si>
    <t>ProteLight Pharmaceuticals (Jiangsu) Co., Ltd.</t>
  </si>
  <si>
    <t>Shenzhen Immunofoco Biotechnology Co., Ltd.</t>
  </si>
  <si>
    <t>VivaVision Biotech (Zhejiang) Co., Ltd.</t>
  </si>
  <si>
    <t>Zaihui Inc.</t>
  </si>
  <si>
    <t>Shenzhen PowerOak Newener Co., Ltd.</t>
  </si>
  <si>
    <t>Zero2IPO</t>
  </si>
  <si>
    <t>Shenzhen Hongyeji Geotechnical Technology Co., Ltd.</t>
  </si>
  <si>
    <t>Glorysoft (Shanghai) Co., Ltd.</t>
  </si>
  <si>
    <t>Shandong Sinder Technology Co., Ltd</t>
  </si>
  <si>
    <t>Hangzhou GreenCloud Software Co., Ltd.</t>
  </si>
  <si>
    <t>Victory Giant Technology (Hui Zhou) Co., Ltd.</t>
  </si>
  <si>
    <t>Shanghai W-Ibeda High Tech. Group Co., Ltd.</t>
  </si>
  <si>
    <t>Manycore Tech Inc.</t>
  </si>
  <si>
    <t>Jinxin Eldercare Industry Group Limited</t>
  </si>
  <si>
    <t>LongBio Pharma (Suzhou) Co., Ltd. - B</t>
  </si>
  <si>
    <t>SinoLink</t>
  </si>
  <si>
    <t>Shandong Hanfang Pharmaceutical Co., Ltd.</t>
  </si>
  <si>
    <t>Qingdao TGOOD Electric Co., Ltd.</t>
  </si>
  <si>
    <t>Wolong Electric Group Co., Ltd.</t>
  </si>
  <si>
    <t>TecDo Technology Co., Limited</t>
  </si>
  <si>
    <t>Radvance Cayman Limited</t>
  </si>
  <si>
    <t>Pinnacle Marine Holdings Ltd</t>
  </si>
  <si>
    <t>Alliance</t>
  </si>
  <si>
    <t>Luxshare Precision Industry Co., Ltd.</t>
  </si>
  <si>
    <t>Huge Dental Limited</t>
  </si>
  <si>
    <t>COL Global Co., Ltd.</t>
  </si>
  <si>
    <t>Beijing Wehand-Bio Pharmaceutical Co., Ltd.</t>
  </si>
  <si>
    <t>Anhui Sinomags Technology Co., Ltd.</t>
  </si>
  <si>
    <t>Star Sports Medicine Co., Ltd.</t>
  </si>
  <si>
    <t>Ligent Technologies, Inc.</t>
  </si>
  <si>
    <t>SENASIC Electronics Technology Co., Ltd.</t>
  </si>
  <si>
    <t>Huaming Power Equipment Co., Ltd.</t>
  </si>
  <si>
    <t>Sigenergy Technology Co., Ltd.</t>
  </si>
  <si>
    <t>Shenzhen Creality 3D Technology Co., Ltd.</t>
  </si>
  <si>
    <t>Herb Standard Holdings Limited</t>
  </si>
  <si>
    <t>Rainbow Capital</t>
  </si>
  <si>
    <t>Medcaptain Medical Technology Co., Ltd.</t>
  </si>
  <si>
    <t>Jiangxi Qiyunshan Food Co., Ltd.</t>
  </si>
  <si>
    <t>Holyfire Holdings Group Limited</t>
  </si>
  <si>
    <t>Cinda</t>
  </si>
  <si>
    <t>Hope Sea Inc.</t>
  </si>
  <si>
    <t>Circuit Fabology Microelectronics Equipment Co., Ltd.</t>
  </si>
  <si>
    <t>Shanghai FourSemi Semiconductor Co., Ltd.</t>
  </si>
  <si>
    <t>Guangdong Huayan Robotics Co., Ltd.</t>
  </si>
  <si>
    <t>Cofoe Medical Technology Co., Ltd.</t>
  </si>
  <si>
    <t>Shanghai Putailai New Energy Technology Group Co., Ltd.</t>
  </si>
  <si>
    <t>Shenzhen HQVT Technology Co., Ltd.</t>
  </si>
  <si>
    <t>SmartMore Inc.</t>
  </si>
  <si>
    <t>Shanghai Ark Biopharmaceutical Co., Ltd.</t>
  </si>
  <si>
    <t>Baige Online Digital Technology Co., Ltd.</t>
  </si>
  <si>
    <t>Banma Intelligence Group</t>
  </si>
  <si>
    <t>Sichuan Yingfa Ruineng Technology CO., LTD.</t>
  </si>
  <si>
    <t>Atom Therapeutics Co., Ltd.</t>
  </si>
  <si>
    <t>PT Merdeka Gold Resources Tbk</t>
  </si>
  <si>
    <t>Shenzhen Cheng-Tech Co., Ltd.</t>
  </si>
  <si>
    <t>Huaqin Co., Ltd.</t>
  </si>
  <si>
    <t>Hangzhou Sciwind Biosciences Co., Ltd. - B</t>
  </si>
  <si>
    <t>Yuanjie Semiconductor Technology Co., Ltd.</t>
  </si>
  <si>
    <t>Transwarp Technology (Shanghai) Co., Ltd.</t>
  </si>
  <si>
    <t>Metis TechBio Co., Ltd. - P</t>
  </si>
  <si>
    <t>Mabwell (Shanghai) Bioscience Co., Ltd. - B</t>
  </si>
  <si>
    <t>Reconova Technologies Co., Ltd.</t>
  </si>
  <si>
    <t>Easy Click Worldwide Network Technology Co., Ltd.</t>
  </si>
  <si>
    <t>AutoAI (Nanjing) Technology Co., Ltd.</t>
  </si>
  <si>
    <t>Shenzhen Xiaokuo Technology Co., Ltd.</t>
  </si>
  <si>
    <t xml:space="preserve">Industrial </t>
  </si>
  <si>
    <t>Shanghai Jin Jiang International Hotels Co., Ltd.</t>
  </si>
  <si>
    <t>Guangzhou Tinci Materials Technology Co., Ltd.</t>
  </si>
  <si>
    <t xml:space="preserve">Energy </t>
  </si>
  <si>
    <t>Easylive Group Inc.</t>
  </si>
  <si>
    <t>Beijing Shougang LanzaTech Technology Co., Ltd.</t>
  </si>
  <si>
    <t>YueXiu</t>
  </si>
  <si>
    <t>Beijing GeoEnviron Engineering &amp; Technology, Inc.</t>
  </si>
  <si>
    <t>Aqara International Ltd</t>
  </si>
  <si>
    <t>Shanghai Xizhi Technology Co., Ltd.</t>
  </si>
  <si>
    <t>Kunshan Wanyuantong Electronics Technology Co., Ltd.</t>
  </si>
  <si>
    <t>Industrial Securities</t>
  </si>
  <si>
    <t>FUJIAN WANCHEN FOOD GROUP CO., LTD.</t>
  </si>
  <si>
    <t>CHINA MICRO SEMICON (SHENZHEN) LIMITED</t>
  </si>
  <si>
    <t>Shaanxi Micot Pharmaceutical Technology Co., Ltd.</t>
  </si>
  <si>
    <t>Jiangsu Slender West Lake Culture and Tourism Co., Ltd.</t>
  </si>
  <si>
    <t>Semi-Tech Group Co., Ltd.</t>
  </si>
  <si>
    <t>ROKAE (SHANDONG) ROBOTICS GROUP INC.</t>
  </si>
  <si>
    <t>Ningbo Tuopu Group Co., Ltd.</t>
  </si>
  <si>
    <t>Kunshan MAZO Tech Co., Ltd.</t>
  </si>
  <si>
    <t>FOCUS INTERNATIONAL GROUP LTD.</t>
  </si>
  <si>
    <t>VBG Capital</t>
  </si>
  <si>
    <t>Beijing Data Intelink Technology Co., Ltd.</t>
  </si>
  <si>
    <t>Alkaidsemi (Shanghai) Technologies Corporation</t>
  </si>
  <si>
    <t>XREAL Ltd.</t>
  </si>
  <si>
    <t>VeriSilicon Microelectronics (Shanghai) Co., Ltd.</t>
  </si>
  <si>
    <t>Shida Shinghwa Advanced Material Group Co., Ltd.</t>
  </si>
  <si>
    <t>SHENZHEN IMAGE TECHNOLOGY CO., LTD.</t>
  </si>
  <si>
    <t>EKH LIMITED</t>
  </si>
  <si>
    <t>Quam Securities</t>
  </si>
  <si>
    <t>Alliance Capital</t>
  </si>
  <si>
    <t>Zhejiang Maoyuanchang Eyewear Co., Ltd.</t>
  </si>
  <si>
    <t>Suzhou Canmax Technologies Limited</t>
  </si>
  <si>
    <t>Shanghai Innovatech Information Technology Co., Ltd.</t>
  </si>
  <si>
    <t>Shanghai Huilun Pharmaceutical Co., Ltd.</t>
  </si>
  <si>
    <t>New Hope Dairy Co., Ltd.</t>
  </si>
  <si>
    <t>Guangdong CHJ Industry Co., Ltd.</t>
  </si>
  <si>
    <t>ENGINETECH COMPUTER CO., LTD.</t>
  </si>
  <si>
    <t>Casstime Holdings Ltd.</t>
  </si>
  <si>
    <t>Binhui Biopharmaceutical Co., Ltd.</t>
  </si>
  <si>
    <t>Qingtao (Kunshan) Energy Development Group Co., Ltd.</t>
  </si>
  <si>
    <t>Guosen</t>
  </si>
  <si>
    <t>ABCI </t>
  </si>
  <si>
    <t>Suzhou TFC Optical Communication Co., Ltd.</t>
  </si>
  <si>
    <t xml:space="preserve"> CICC</t>
  </si>
  <si>
    <t>Yeeper Nutrition Technology (Qingdao) Group Co., Ltd.</t>
  </si>
  <si>
    <t>Huizhou Desay SV Automotive Co., Ltd.</t>
  </si>
  <si>
    <t>Automotive </t>
  </si>
  <si>
    <t>Beijing Zhongke WengAI Science and Technology Co., Ltd.</t>
  </si>
  <si>
    <t>Amlogic (Shanghai) Co., Ltd.</t>
  </si>
  <si>
    <t>Nova Insight Technology Limited</t>
  </si>
  <si>
    <t>HGTECH Company Limited</t>
  </si>
  <si>
    <t>Fairland Corporation Limited</t>
  </si>
  <si>
    <t>Wuhan DR Laser Technology Corp., Ltd</t>
  </si>
  <si>
    <t>WeiMai Inc.</t>
  </si>
  <si>
    <t>InxMed Limited</t>
  </si>
  <si>
    <t>Nanjing Lingxing Technology Co., Ltd.</t>
  </si>
  <si>
    <t>Hunan Mingzhu Mining Chemical Technology Co., Ltd.</t>
  </si>
  <si>
    <t>Beijing Yuanxin Technology Group Co., Ltd.</t>
  </si>
  <si>
    <t>JVS (Suzhou) Technologies Co., Ltd.</t>
  </si>
  <si>
    <t>Sungrow Power Supply Co., Ltd.</t>
  </si>
  <si>
    <t>Makesense Energy Technology Co., Limited</t>
  </si>
  <si>
    <t>Horen Cortp Co., Ltd.</t>
  </si>
  <si>
    <t>Extransfer Limited - W</t>
  </si>
  <si>
    <t>Carraro China Drive Systems Co., Ltd.</t>
  </si>
  <si>
    <t>Beijing QL Biopharmaceutical Co., Ltd - B</t>
  </si>
  <si>
    <t xml:space="preserve"> CMBC</t>
  </si>
  <si>
    <t>CSIC</t>
  </si>
  <si>
    <t xml:space="preserve"> CCBI</t>
  </si>
  <si>
    <t>PT MNC Digital Entertainment Tbk</t>
  </si>
  <si>
    <t>Guangzhou Ruoyuchen Technology Co., Ltd.</t>
  </si>
  <si>
    <t>GEM Co., Ltd.</t>
  </si>
  <si>
    <t>Shenzhen Inovance Technology Co., Ltd</t>
  </si>
  <si>
    <t>Shenzhen Chuangzhi Semi-link Technology Co., Ltd.</t>
  </si>
  <si>
    <t>COLIPU TECHNOLOGIES GROUP CO., LTD.</t>
  </si>
  <si>
    <t>Beijing Dynaflow Lab Solutions Co., Ltd.</t>
  </si>
  <si>
    <t>Amos Food (Group) Co., Ltd.</t>
  </si>
  <si>
    <t>Wecare Probiotics Co., Ltd.</t>
  </si>
  <si>
    <t>Shenzhen Intellifusion Technologies Co., Ltd.</t>
  </si>
  <si>
    <t>Shanghai Buy Quickly BMax Technology Services Group Co., Ltd.</t>
  </si>
  <si>
    <t>NASN Intelligent Tech (Zhejiang) Co., Ltd.</t>
  </si>
  <si>
    <t>Infrawaves Co., Ltd.</t>
  </si>
  <si>
    <t>Shantui Construction Machinery Co., Ltd.</t>
  </si>
  <si>
    <t>Shanghai Newrank Info &amp; Tech Co., Ltd.</t>
  </si>
  <si>
    <t>Junqi Holdings Limited</t>
  </si>
  <si>
    <t>JPMorgan</t>
  </si>
  <si>
    <t>CLSA</t>
  </si>
  <si>
    <t>Haiting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</si>
</sst>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14" fontId="0" fillId="0" borderId="0" xfId="0" applyNumberFormat="1"/>
    <xf numFmtId="0" fontId="4" fillId="0" borderId="0" xfId="0" applyFont="1"/>
    <xf numFmtId="0" fontId="0" fillId="2" borderId="0" xfId="0" applyFill="1"/>
    <xf numFmtId="15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vertical="center" wrapText="1"/>
    </xf>
    <xf numFmtId="0" fontId="7" fillId="3" borderId="0" xfId="1" applyNumberFormat="1" applyFont="1" applyFill="1" applyBorder="1" applyAlignment="1">
      <alignment horizontal="left" vertical="center" wrapText="1"/>
    </xf>
    <xf numFmtId="0" fontId="1" fillId="3" borderId="0" xfId="1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9" fontId="0" fillId="0" borderId="0" xfId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1" applyNumberFormat="1" applyFont="1" applyBorder="1" applyAlignment="1">
      <alignment vertical="center" wrapText="1"/>
    </xf>
    <xf numFmtId="0" fontId="0" fillId="0" borderId="0" xfId="1" applyNumberFormat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8" fillId="3" borderId="0" xfId="1" applyNumberFormat="1" applyFont="1" applyFill="1" applyBorder="1" applyAlignment="1">
      <alignment horizontal="left" vertical="center" wrapText="1"/>
    </xf>
    <xf numFmtId="9" fontId="0" fillId="0" borderId="0" xfId="1" applyFont="1" applyBorder="1" applyAlignment="1">
      <alignment vertical="center" wrapText="1"/>
    </xf>
    <xf numFmtId="9" fontId="9" fillId="3" borderId="0" xfId="1" applyFont="1" applyFill="1" applyBorder="1" applyAlignment="1">
      <alignment horizontal="left" vertical="center" wrapText="1"/>
    </xf>
    <xf numFmtId="15" fontId="2" fillId="4" borderId="0" xfId="0" applyNumberFormat="1" applyFont="1" applyFill="1"/>
    <xf numFmtId="0" fontId="2" fillId="4" borderId="0" xfId="0" applyFont="1" applyFill="1"/>
    <xf numFmtId="0" fontId="0" fillId="4" borderId="0" xfId="0" applyFill="1"/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2558-EEDD-47AF-AC93-2E000795706A}">
  <dimension ref="A1:L505"/>
  <sheetViews>
    <sheetView tabSelected="1" topLeftCell="C480" zoomScale="75" zoomScaleNormal="85" workbookViewId="0">
      <selection activeCell="J498" sqref="J498"/>
    </sheetView>
  </sheetViews>
  <sheetFormatPr defaultRowHeight="14.5" x14ac:dyDescent="0.35"/>
  <cols>
    <col min="2" max="2" width="61.36328125" bestFit="1" customWidth="1"/>
    <col min="3" max="3" width="29" bestFit="1" customWidth="1"/>
    <col min="4" max="4" width="17.81640625" customWidth="1"/>
    <col min="5" max="6" width="15.6328125" bestFit="1" customWidth="1"/>
    <col min="7" max="8" width="10.54296875" bestFit="1" customWidth="1"/>
    <col min="9" max="9" width="25.453125" bestFit="1" customWidth="1"/>
    <col min="10" max="10" width="32.90625" bestFit="1" customWidth="1"/>
    <col min="11" max="11" width="23.1796875" bestFit="1" customWidth="1"/>
    <col min="12" max="12" width="5.6328125" bestFit="1" customWidth="1"/>
  </cols>
  <sheetData>
    <row r="1" spans="1:12" x14ac:dyDescent="0.35">
      <c r="A1" s="1" t="s">
        <v>0</v>
      </c>
      <c r="B1" s="2">
        <f ca="1">TODAY()</f>
        <v>46146</v>
      </c>
    </row>
    <row r="2" spans="1:12" x14ac:dyDescent="0.35">
      <c r="A2" s="1"/>
    </row>
    <row r="3" spans="1:12" x14ac:dyDescent="0.35">
      <c r="B3" s="1" t="s">
        <v>1</v>
      </c>
      <c r="C3" s="1" t="s">
        <v>2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4</v>
      </c>
      <c r="J3" s="1" t="s">
        <v>5</v>
      </c>
      <c r="K3" s="1" t="s">
        <v>6</v>
      </c>
      <c r="L3" s="1" t="s">
        <v>7</v>
      </c>
    </row>
    <row r="4" spans="1:12" x14ac:dyDescent="0.35">
      <c r="B4" s="3" t="s">
        <v>8</v>
      </c>
      <c r="C4" t="s">
        <v>9</v>
      </c>
      <c r="D4" t="s">
        <v>10</v>
      </c>
      <c r="E4" s="4" t="s">
        <v>11</v>
      </c>
      <c r="I4" s="5">
        <v>45924</v>
      </c>
      <c r="J4" s="5">
        <f>EDATE(I4,6)-1</f>
        <v>46104</v>
      </c>
      <c r="K4" t="str">
        <f t="shared" ref="K4:K67" ca="1" si="0">IF(J4&gt;=$B$1,"Active","Lapsed")</f>
        <v>Lapsed</v>
      </c>
      <c r="L4" t="s">
        <v>12</v>
      </c>
    </row>
    <row r="5" spans="1:12" x14ac:dyDescent="0.35">
      <c r="B5" s="3" t="s">
        <v>13</v>
      </c>
      <c r="C5" s="3" t="s">
        <v>14</v>
      </c>
      <c r="D5" t="s">
        <v>10</v>
      </c>
      <c r="E5" t="s">
        <v>15</v>
      </c>
      <c r="F5" t="s">
        <v>16</v>
      </c>
      <c r="I5" s="5">
        <v>45924</v>
      </c>
      <c r="J5" s="5">
        <f t="shared" ref="J5:J68" si="1">EDATE(I5,6)-1</f>
        <v>46104</v>
      </c>
      <c r="K5" t="str">
        <f t="shared" ca="1" si="0"/>
        <v>Lapsed</v>
      </c>
      <c r="L5" t="s">
        <v>12</v>
      </c>
    </row>
    <row r="6" spans="1:12" x14ac:dyDescent="0.35">
      <c r="B6" s="3" t="s">
        <v>17</v>
      </c>
      <c r="C6" t="s">
        <v>18</v>
      </c>
      <c r="D6" t="s">
        <v>19</v>
      </c>
      <c r="I6" s="5">
        <v>45924</v>
      </c>
      <c r="J6" s="5">
        <f t="shared" si="1"/>
        <v>46104</v>
      </c>
      <c r="K6" t="str">
        <f t="shared" ca="1" si="0"/>
        <v>Lapsed</v>
      </c>
      <c r="L6" t="s">
        <v>12</v>
      </c>
    </row>
    <row r="7" spans="1:12" x14ac:dyDescent="0.35">
      <c r="B7" s="3" t="s">
        <v>20</v>
      </c>
      <c r="C7" t="s">
        <v>21</v>
      </c>
      <c r="D7" t="s">
        <v>16</v>
      </c>
      <c r="I7" s="5">
        <v>45925</v>
      </c>
      <c r="J7" s="5">
        <f t="shared" si="1"/>
        <v>46105</v>
      </c>
      <c r="K7" t="str">
        <f t="shared" ca="1" si="0"/>
        <v>Lapsed</v>
      </c>
      <c r="L7" t="s">
        <v>12</v>
      </c>
    </row>
    <row r="8" spans="1:12" x14ac:dyDescent="0.35">
      <c r="B8" s="3" t="s">
        <v>22</v>
      </c>
      <c r="C8" t="s">
        <v>21</v>
      </c>
      <c r="D8" t="s">
        <v>23</v>
      </c>
      <c r="I8" s="5">
        <v>45925</v>
      </c>
      <c r="J8" s="5">
        <f t="shared" si="1"/>
        <v>46105</v>
      </c>
      <c r="K8" t="str">
        <f t="shared" ca="1" si="0"/>
        <v>Lapsed</v>
      </c>
      <c r="L8" t="s">
        <v>12</v>
      </c>
    </row>
    <row r="9" spans="1:12" x14ac:dyDescent="0.35">
      <c r="B9" s="3" t="s">
        <v>24</v>
      </c>
      <c r="C9" t="s">
        <v>21</v>
      </c>
      <c r="D9" t="s">
        <v>10</v>
      </c>
      <c r="I9" s="5">
        <v>45925</v>
      </c>
      <c r="J9" s="5">
        <f t="shared" si="1"/>
        <v>46105</v>
      </c>
      <c r="K9" t="str">
        <f t="shared" ca="1" si="0"/>
        <v>Lapsed</v>
      </c>
      <c r="L9" t="s">
        <v>12</v>
      </c>
    </row>
    <row r="10" spans="1:12" x14ac:dyDescent="0.35">
      <c r="B10" s="3" t="s">
        <v>25</v>
      </c>
      <c r="C10" t="s">
        <v>21</v>
      </c>
      <c r="D10" t="s">
        <v>16</v>
      </c>
      <c r="E10" t="s">
        <v>26</v>
      </c>
      <c r="I10" s="5">
        <v>45925</v>
      </c>
      <c r="J10" s="5">
        <f t="shared" si="1"/>
        <v>46105</v>
      </c>
      <c r="K10" t="str">
        <f t="shared" ca="1" si="0"/>
        <v>Lapsed</v>
      </c>
      <c r="L10" t="s">
        <v>12</v>
      </c>
    </row>
    <row r="11" spans="1:12" x14ac:dyDescent="0.35">
      <c r="B11" s="3" t="s">
        <v>27</v>
      </c>
      <c r="C11" t="s">
        <v>28</v>
      </c>
      <c r="D11" t="s">
        <v>29</v>
      </c>
      <c r="E11" t="s">
        <v>15</v>
      </c>
      <c r="F11" t="s">
        <v>10</v>
      </c>
      <c r="I11" s="5">
        <v>45926</v>
      </c>
      <c r="J11" s="5">
        <f t="shared" si="1"/>
        <v>46106</v>
      </c>
      <c r="K11" t="str">
        <f t="shared" ca="1" si="0"/>
        <v>Lapsed</v>
      </c>
      <c r="L11" t="s">
        <v>12</v>
      </c>
    </row>
    <row r="12" spans="1:12" x14ac:dyDescent="0.35">
      <c r="B12" s="3" t="s">
        <v>30</v>
      </c>
      <c r="C12" t="s">
        <v>21</v>
      </c>
      <c r="D12" t="s">
        <v>31</v>
      </c>
      <c r="E12" t="s">
        <v>19</v>
      </c>
      <c r="I12" s="5">
        <v>45926</v>
      </c>
      <c r="J12" s="5">
        <f t="shared" si="1"/>
        <v>46106</v>
      </c>
      <c r="K12" t="str">
        <f t="shared" ca="1" si="0"/>
        <v>Lapsed</v>
      </c>
      <c r="L12" t="s">
        <v>12</v>
      </c>
    </row>
    <row r="13" spans="1:12" x14ac:dyDescent="0.35">
      <c r="B13" s="3" t="s">
        <v>32</v>
      </c>
      <c r="C13" t="s">
        <v>21</v>
      </c>
      <c r="D13" t="s">
        <v>16</v>
      </c>
      <c r="E13" t="s">
        <v>19</v>
      </c>
      <c r="I13" s="5">
        <v>45926</v>
      </c>
      <c r="J13" s="5">
        <f t="shared" si="1"/>
        <v>46106</v>
      </c>
      <c r="K13" t="str">
        <f t="shared" ca="1" si="0"/>
        <v>Lapsed</v>
      </c>
      <c r="L13" t="s">
        <v>12</v>
      </c>
    </row>
    <row r="14" spans="1:12" x14ac:dyDescent="0.35">
      <c r="B14" s="3" t="s">
        <v>33</v>
      </c>
      <c r="C14" t="s">
        <v>21</v>
      </c>
      <c r="D14" s="4" t="s">
        <v>11</v>
      </c>
      <c r="E14" t="s">
        <v>10</v>
      </c>
      <c r="F14" t="s">
        <v>34</v>
      </c>
      <c r="I14" s="5">
        <v>45926</v>
      </c>
      <c r="J14" s="5">
        <f t="shared" si="1"/>
        <v>46106</v>
      </c>
      <c r="K14" t="str">
        <f t="shared" ca="1" si="0"/>
        <v>Lapsed</v>
      </c>
      <c r="L14" t="s">
        <v>12</v>
      </c>
    </row>
    <row r="15" spans="1:12" x14ac:dyDescent="0.35">
      <c r="B15" s="3" t="s">
        <v>35</v>
      </c>
      <c r="C15" t="s">
        <v>21</v>
      </c>
      <c r="D15" t="s">
        <v>36</v>
      </c>
      <c r="E15" s="4" t="s">
        <v>37</v>
      </c>
      <c r="I15" s="5">
        <v>45926</v>
      </c>
      <c r="J15" s="5">
        <f t="shared" si="1"/>
        <v>46106</v>
      </c>
      <c r="K15" t="str">
        <f t="shared" ca="1" si="0"/>
        <v>Lapsed</v>
      </c>
      <c r="L15" t="s">
        <v>12</v>
      </c>
    </row>
    <row r="16" spans="1:12" x14ac:dyDescent="0.35">
      <c r="B16" s="3" t="s">
        <v>38</v>
      </c>
      <c r="C16" t="s">
        <v>39</v>
      </c>
      <c r="D16" s="4" t="s">
        <v>40</v>
      </c>
      <c r="I16" s="5">
        <v>45926</v>
      </c>
      <c r="J16" s="5">
        <f t="shared" si="1"/>
        <v>46106</v>
      </c>
      <c r="K16" t="str">
        <f t="shared" ca="1" si="0"/>
        <v>Lapsed</v>
      </c>
      <c r="L16" t="s">
        <v>12</v>
      </c>
    </row>
    <row r="17" spans="2:12" x14ac:dyDescent="0.35">
      <c r="B17" s="3" t="s">
        <v>41</v>
      </c>
      <c r="C17" s="3" t="s">
        <v>42</v>
      </c>
      <c r="D17" t="s">
        <v>43</v>
      </c>
      <c r="E17" t="s">
        <v>16</v>
      </c>
      <c r="I17" s="5">
        <v>45926</v>
      </c>
      <c r="J17" s="5">
        <f t="shared" si="1"/>
        <v>46106</v>
      </c>
      <c r="K17" t="str">
        <f t="shared" ca="1" si="0"/>
        <v>Lapsed</v>
      </c>
      <c r="L17" t="s">
        <v>12</v>
      </c>
    </row>
    <row r="18" spans="2:12" x14ac:dyDescent="0.35">
      <c r="B18" s="3" t="s">
        <v>44</v>
      </c>
      <c r="C18" t="s">
        <v>21</v>
      </c>
      <c r="D18" t="s">
        <v>16</v>
      </c>
      <c r="I18" s="5">
        <v>45926</v>
      </c>
      <c r="J18" s="5">
        <f t="shared" si="1"/>
        <v>46106</v>
      </c>
      <c r="K18" t="str">
        <f t="shared" ca="1" si="0"/>
        <v>Lapsed</v>
      </c>
      <c r="L18" t="s">
        <v>12</v>
      </c>
    </row>
    <row r="19" spans="2:12" x14ac:dyDescent="0.35">
      <c r="B19" s="3" t="s">
        <v>45</v>
      </c>
      <c r="C19" s="3" t="s">
        <v>42</v>
      </c>
      <c r="D19" t="s">
        <v>10</v>
      </c>
      <c r="I19" s="5">
        <v>45926</v>
      </c>
      <c r="J19" s="5">
        <f t="shared" si="1"/>
        <v>46106</v>
      </c>
      <c r="K19" t="str">
        <f t="shared" ca="1" si="0"/>
        <v>Lapsed</v>
      </c>
      <c r="L19" t="s">
        <v>12</v>
      </c>
    </row>
    <row r="20" spans="2:12" x14ac:dyDescent="0.35">
      <c r="B20" s="3" t="s">
        <v>46</v>
      </c>
      <c r="C20" t="s">
        <v>21</v>
      </c>
      <c r="D20" t="s">
        <v>47</v>
      </c>
      <c r="E20" t="s">
        <v>16</v>
      </c>
      <c r="I20" s="5">
        <v>45926</v>
      </c>
      <c r="J20" s="5">
        <f t="shared" si="1"/>
        <v>46106</v>
      </c>
      <c r="K20" t="str">
        <f t="shared" ca="1" si="0"/>
        <v>Lapsed</v>
      </c>
      <c r="L20" t="s">
        <v>12</v>
      </c>
    </row>
    <row r="21" spans="2:12" x14ac:dyDescent="0.35">
      <c r="B21" s="3" t="s">
        <v>48</v>
      </c>
      <c r="C21" t="s">
        <v>21</v>
      </c>
      <c r="D21" t="s">
        <v>19</v>
      </c>
      <c r="I21" s="5">
        <v>45928</v>
      </c>
      <c r="J21" s="5">
        <f t="shared" si="1"/>
        <v>46108</v>
      </c>
      <c r="K21" t="str">
        <f t="shared" ca="1" si="0"/>
        <v>Lapsed</v>
      </c>
      <c r="L21" t="s">
        <v>12</v>
      </c>
    </row>
    <row r="22" spans="2:12" x14ac:dyDescent="0.35">
      <c r="B22" s="3" t="s">
        <v>49</v>
      </c>
      <c r="C22" s="3" t="s">
        <v>42</v>
      </c>
      <c r="D22" t="s">
        <v>50</v>
      </c>
      <c r="E22" t="s">
        <v>51</v>
      </c>
      <c r="I22" s="5">
        <v>45928</v>
      </c>
      <c r="J22" s="5">
        <f t="shared" si="1"/>
        <v>46108</v>
      </c>
      <c r="K22" t="str">
        <f t="shared" ca="1" si="0"/>
        <v>Lapsed</v>
      </c>
      <c r="L22" t="s">
        <v>12</v>
      </c>
    </row>
    <row r="23" spans="2:12" x14ac:dyDescent="0.35">
      <c r="B23" s="3" t="s">
        <v>52</v>
      </c>
      <c r="C23" t="s">
        <v>21</v>
      </c>
      <c r="D23" t="s">
        <v>16</v>
      </c>
      <c r="E23" t="s">
        <v>23</v>
      </c>
      <c r="I23" s="5">
        <v>45928</v>
      </c>
      <c r="J23" s="5">
        <f t="shared" si="1"/>
        <v>46108</v>
      </c>
      <c r="K23" t="str">
        <f t="shared" ca="1" si="0"/>
        <v>Lapsed</v>
      </c>
      <c r="L23" t="s">
        <v>12</v>
      </c>
    </row>
    <row r="24" spans="2:12" x14ac:dyDescent="0.35">
      <c r="B24" s="3" t="s">
        <v>53</v>
      </c>
      <c r="C24" s="3" t="s">
        <v>42</v>
      </c>
      <c r="D24" s="3" t="s">
        <v>43</v>
      </c>
      <c r="E24" s="3" t="s">
        <v>26</v>
      </c>
      <c r="F24" s="3" t="s">
        <v>54</v>
      </c>
      <c r="I24" s="5">
        <v>45928</v>
      </c>
      <c r="J24" s="5">
        <f t="shared" si="1"/>
        <v>46108</v>
      </c>
      <c r="K24" t="str">
        <f t="shared" ca="1" si="0"/>
        <v>Lapsed</v>
      </c>
      <c r="L24" t="s">
        <v>12</v>
      </c>
    </row>
    <row r="25" spans="2:12" x14ac:dyDescent="0.35">
      <c r="B25" s="3" t="s">
        <v>55</v>
      </c>
      <c r="C25" t="s">
        <v>21</v>
      </c>
      <c r="D25" s="4" t="s">
        <v>56</v>
      </c>
      <c r="I25" s="5">
        <v>45928</v>
      </c>
      <c r="J25" s="5">
        <f t="shared" si="1"/>
        <v>46108</v>
      </c>
      <c r="K25" t="str">
        <f t="shared" ca="1" si="0"/>
        <v>Lapsed</v>
      </c>
      <c r="L25" t="s">
        <v>12</v>
      </c>
    </row>
    <row r="26" spans="2:12" x14ac:dyDescent="0.35">
      <c r="B26" s="3" t="s">
        <v>57</v>
      </c>
      <c r="C26" s="3" t="s">
        <v>42</v>
      </c>
      <c r="D26" t="s">
        <v>16</v>
      </c>
      <c r="I26" s="5">
        <v>45929</v>
      </c>
      <c r="J26" s="5">
        <f t="shared" si="1"/>
        <v>46109</v>
      </c>
      <c r="K26" t="str">
        <f t="shared" ca="1" si="0"/>
        <v>Lapsed</v>
      </c>
      <c r="L26" t="s">
        <v>12</v>
      </c>
    </row>
    <row r="27" spans="2:12" x14ac:dyDescent="0.35">
      <c r="B27" s="3" t="s">
        <v>58</v>
      </c>
      <c r="C27" t="s">
        <v>21</v>
      </c>
      <c r="D27" t="s">
        <v>16</v>
      </c>
      <c r="I27" s="5">
        <v>45929</v>
      </c>
      <c r="J27" s="5">
        <f t="shared" si="1"/>
        <v>46109</v>
      </c>
      <c r="K27" t="str">
        <f t="shared" ca="1" si="0"/>
        <v>Lapsed</v>
      </c>
      <c r="L27" t="s">
        <v>12</v>
      </c>
    </row>
    <row r="28" spans="2:12" x14ac:dyDescent="0.35">
      <c r="B28" s="3" t="s">
        <v>59</v>
      </c>
      <c r="C28" t="s">
        <v>21</v>
      </c>
      <c r="D28" t="s">
        <v>10</v>
      </c>
      <c r="E28" t="s">
        <v>26</v>
      </c>
      <c r="I28" s="5">
        <v>45929</v>
      </c>
      <c r="J28" s="5">
        <f t="shared" si="1"/>
        <v>46109</v>
      </c>
      <c r="K28" t="str">
        <f t="shared" ca="1" si="0"/>
        <v>Lapsed</v>
      </c>
      <c r="L28" t="s">
        <v>12</v>
      </c>
    </row>
    <row r="29" spans="2:12" x14ac:dyDescent="0.35">
      <c r="B29" s="3" t="s">
        <v>60</v>
      </c>
      <c r="C29" s="3" t="s">
        <v>42</v>
      </c>
      <c r="D29" t="s">
        <v>61</v>
      </c>
      <c r="E29" t="s">
        <v>23</v>
      </c>
      <c r="I29" s="5">
        <v>45929</v>
      </c>
      <c r="J29" s="5">
        <f t="shared" si="1"/>
        <v>46109</v>
      </c>
      <c r="K29" t="str">
        <f t="shared" ca="1" si="0"/>
        <v>Lapsed</v>
      </c>
      <c r="L29" t="s">
        <v>12</v>
      </c>
    </row>
    <row r="30" spans="2:12" x14ac:dyDescent="0.35">
      <c r="B30" s="3" t="s">
        <v>62</v>
      </c>
      <c r="C30" s="3" t="s">
        <v>42</v>
      </c>
      <c r="D30" t="s">
        <v>43</v>
      </c>
      <c r="E30" t="s">
        <v>29</v>
      </c>
      <c r="F30" t="s">
        <v>10</v>
      </c>
      <c r="I30" s="5">
        <v>45929</v>
      </c>
      <c r="J30" s="5">
        <f t="shared" si="1"/>
        <v>46109</v>
      </c>
      <c r="K30" t="str">
        <f t="shared" ca="1" si="0"/>
        <v>Lapsed</v>
      </c>
      <c r="L30" t="s">
        <v>63</v>
      </c>
    </row>
    <row r="31" spans="2:12" x14ac:dyDescent="0.35">
      <c r="B31" s="3" t="s">
        <v>64</v>
      </c>
      <c r="C31" t="s">
        <v>21</v>
      </c>
      <c r="D31" t="s">
        <v>16</v>
      </c>
      <c r="E31" s="4" t="s">
        <v>37</v>
      </c>
      <c r="I31" s="5">
        <v>45929</v>
      </c>
      <c r="J31" s="5">
        <f t="shared" si="1"/>
        <v>46109</v>
      </c>
      <c r="K31" t="str">
        <f t="shared" ca="1" si="0"/>
        <v>Lapsed</v>
      </c>
      <c r="L31" t="s">
        <v>12</v>
      </c>
    </row>
    <row r="32" spans="2:12" x14ac:dyDescent="0.35">
      <c r="B32" s="3" t="s">
        <v>65</v>
      </c>
      <c r="C32" s="3" t="s">
        <v>42</v>
      </c>
      <c r="D32" t="s">
        <v>50</v>
      </c>
      <c r="E32" t="s">
        <v>61</v>
      </c>
      <c r="I32" s="5">
        <v>45929</v>
      </c>
      <c r="J32" s="5">
        <f t="shared" si="1"/>
        <v>46109</v>
      </c>
      <c r="K32" t="str">
        <f t="shared" ca="1" si="0"/>
        <v>Lapsed</v>
      </c>
      <c r="L32" t="s">
        <v>12</v>
      </c>
    </row>
    <row r="33" spans="2:12" x14ac:dyDescent="0.35">
      <c r="B33" s="3" t="s">
        <v>66</v>
      </c>
      <c r="C33" t="s">
        <v>21</v>
      </c>
      <c r="D33" t="s">
        <v>16</v>
      </c>
      <c r="E33" t="s">
        <v>36</v>
      </c>
      <c r="I33" s="5">
        <v>45929</v>
      </c>
      <c r="J33" s="5">
        <f t="shared" si="1"/>
        <v>46109</v>
      </c>
      <c r="K33" t="str">
        <f t="shared" ca="1" si="0"/>
        <v>Lapsed</v>
      </c>
      <c r="L33" t="s">
        <v>12</v>
      </c>
    </row>
    <row r="34" spans="2:12" x14ac:dyDescent="0.35">
      <c r="B34" s="3" t="s">
        <v>67</v>
      </c>
      <c r="C34" t="s">
        <v>21</v>
      </c>
      <c r="D34" t="s">
        <v>10</v>
      </c>
      <c r="I34" s="5">
        <v>45929</v>
      </c>
      <c r="J34" s="5">
        <f t="shared" si="1"/>
        <v>46109</v>
      </c>
      <c r="K34" t="str">
        <f t="shared" ca="1" si="0"/>
        <v>Lapsed</v>
      </c>
      <c r="L34" t="s">
        <v>12</v>
      </c>
    </row>
    <row r="35" spans="2:12" x14ac:dyDescent="0.35">
      <c r="B35" s="3" t="s">
        <v>68</v>
      </c>
      <c r="C35" t="s">
        <v>21</v>
      </c>
      <c r="D35" t="s">
        <v>61</v>
      </c>
      <c r="E35" t="s">
        <v>36</v>
      </c>
      <c r="I35" s="5">
        <v>45929</v>
      </c>
      <c r="J35" s="5">
        <f t="shared" si="1"/>
        <v>46109</v>
      </c>
      <c r="K35" t="str">
        <f t="shared" ca="1" si="0"/>
        <v>Lapsed</v>
      </c>
      <c r="L35" t="s">
        <v>12</v>
      </c>
    </row>
    <row r="36" spans="2:12" x14ac:dyDescent="0.35">
      <c r="B36" s="3" t="s">
        <v>69</v>
      </c>
      <c r="C36" s="3" t="s">
        <v>14</v>
      </c>
      <c r="D36" t="s">
        <v>16</v>
      </c>
      <c r="E36" s="4" t="s">
        <v>70</v>
      </c>
      <c r="I36" s="5">
        <v>45929</v>
      </c>
      <c r="J36" s="5">
        <f t="shared" si="1"/>
        <v>46109</v>
      </c>
      <c r="K36" t="str">
        <f t="shared" ca="1" si="0"/>
        <v>Lapsed</v>
      </c>
      <c r="L36" t="s">
        <v>12</v>
      </c>
    </row>
    <row r="37" spans="2:12" x14ac:dyDescent="0.35">
      <c r="B37" s="3" t="s">
        <v>71</v>
      </c>
      <c r="C37" t="s">
        <v>21</v>
      </c>
      <c r="D37" t="s">
        <v>16</v>
      </c>
      <c r="I37" s="5">
        <v>45929</v>
      </c>
      <c r="J37" s="5">
        <f t="shared" si="1"/>
        <v>46109</v>
      </c>
      <c r="K37" t="str">
        <f t="shared" ca="1" si="0"/>
        <v>Lapsed</v>
      </c>
      <c r="L37" t="s">
        <v>12</v>
      </c>
    </row>
    <row r="38" spans="2:12" x14ac:dyDescent="0.35">
      <c r="B38" s="3" t="s">
        <v>72</v>
      </c>
      <c r="C38" t="s">
        <v>21</v>
      </c>
      <c r="D38" t="s">
        <v>23</v>
      </c>
      <c r="I38" s="5">
        <v>45929</v>
      </c>
      <c r="J38" s="5">
        <f t="shared" si="1"/>
        <v>46109</v>
      </c>
      <c r="K38" t="str">
        <f t="shared" ca="1" si="0"/>
        <v>Lapsed</v>
      </c>
      <c r="L38" t="s">
        <v>12</v>
      </c>
    </row>
    <row r="39" spans="2:12" x14ac:dyDescent="0.35">
      <c r="B39" s="3" t="s">
        <v>73</v>
      </c>
      <c r="C39" t="s">
        <v>21</v>
      </c>
      <c r="D39" t="s">
        <v>23</v>
      </c>
      <c r="E39" t="s">
        <v>74</v>
      </c>
      <c r="I39" s="5">
        <v>45929</v>
      </c>
      <c r="J39" s="5">
        <f t="shared" si="1"/>
        <v>46109</v>
      </c>
      <c r="K39" t="str">
        <f t="shared" ca="1" si="0"/>
        <v>Lapsed</v>
      </c>
      <c r="L39" t="s">
        <v>12</v>
      </c>
    </row>
    <row r="40" spans="2:12" x14ac:dyDescent="0.35">
      <c r="B40" s="3" t="s">
        <v>75</v>
      </c>
      <c r="C40" s="3" t="s">
        <v>14</v>
      </c>
      <c r="D40" t="s">
        <v>23</v>
      </c>
      <c r="E40" t="s">
        <v>61</v>
      </c>
      <c r="I40" s="5">
        <v>45929</v>
      </c>
      <c r="J40" s="5">
        <f t="shared" si="1"/>
        <v>46109</v>
      </c>
      <c r="K40" t="str">
        <f t="shared" ca="1" si="0"/>
        <v>Lapsed</v>
      </c>
      <c r="L40" t="s">
        <v>12</v>
      </c>
    </row>
    <row r="41" spans="2:12" x14ac:dyDescent="0.35">
      <c r="B41" s="3" t="s">
        <v>76</v>
      </c>
      <c r="C41" s="3" t="s">
        <v>42</v>
      </c>
      <c r="D41" s="3" t="s">
        <v>19</v>
      </c>
      <c r="I41" s="5">
        <v>45929</v>
      </c>
      <c r="J41" s="5">
        <f t="shared" si="1"/>
        <v>46109</v>
      </c>
      <c r="K41" t="str">
        <f t="shared" ca="1" si="0"/>
        <v>Lapsed</v>
      </c>
      <c r="L41" t="s">
        <v>12</v>
      </c>
    </row>
    <row r="42" spans="2:12" x14ac:dyDescent="0.35">
      <c r="B42" s="3" t="s">
        <v>77</v>
      </c>
      <c r="C42" t="s">
        <v>28</v>
      </c>
      <c r="D42" t="s">
        <v>23</v>
      </c>
      <c r="E42" t="s">
        <v>15</v>
      </c>
      <c r="I42" s="5">
        <v>45929</v>
      </c>
      <c r="J42" s="5">
        <f t="shared" si="1"/>
        <v>46109</v>
      </c>
      <c r="K42" t="str">
        <f t="shared" ca="1" si="0"/>
        <v>Lapsed</v>
      </c>
      <c r="L42" t="s">
        <v>12</v>
      </c>
    </row>
    <row r="43" spans="2:12" x14ac:dyDescent="0.35">
      <c r="B43" s="3" t="s">
        <v>78</v>
      </c>
      <c r="C43" s="3" t="s">
        <v>42</v>
      </c>
      <c r="D43" t="s">
        <v>47</v>
      </c>
      <c r="E43" t="s">
        <v>10</v>
      </c>
      <c r="I43" s="5">
        <v>45929</v>
      </c>
      <c r="J43" s="5">
        <f t="shared" si="1"/>
        <v>46109</v>
      </c>
      <c r="K43" t="str">
        <f t="shared" ca="1" si="0"/>
        <v>Lapsed</v>
      </c>
      <c r="L43" t="s">
        <v>12</v>
      </c>
    </row>
    <row r="44" spans="2:12" x14ac:dyDescent="0.35">
      <c r="B44" s="3" t="s">
        <v>79</v>
      </c>
      <c r="C44" t="s">
        <v>21</v>
      </c>
      <c r="D44" t="s">
        <v>16</v>
      </c>
      <c r="I44" s="5">
        <v>45930</v>
      </c>
      <c r="J44" s="5">
        <f t="shared" si="1"/>
        <v>46110</v>
      </c>
      <c r="K44" t="str">
        <f t="shared" ca="1" si="0"/>
        <v>Lapsed</v>
      </c>
      <c r="L44" t="s">
        <v>12</v>
      </c>
    </row>
    <row r="45" spans="2:12" x14ac:dyDescent="0.35">
      <c r="B45" s="3" t="s">
        <v>80</v>
      </c>
      <c r="C45" t="s">
        <v>21</v>
      </c>
      <c r="D45" t="s">
        <v>10</v>
      </c>
      <c r="E45" t="s">
        <v>34</v>
      </c>
      <c r="F45" s="4" t="s">
        <v>81</v>
      </c>
      <c r="I45" s="5">
        <v>45930</v>
      </c>
      <c r="J45" s="5">
        <f t="shared" si="1"/>
        <v>46110</v>
      </c>
      <c r="K45" t="str">
        <f t="shared" ca="1" si="0"/>
        <v>Lapsed</v>
      </c>
      <c r="L45" t="s">
        <v>12</v>
      </c>
    </row>
    <row r="46" spans="2:12" x14ac:dyDescent="0.35">
      <c r="B46" s="3" t="s">
        <v>82</v>
      </c>
      <c r="C46" t="s">
        <v>21</v>
      </c>
      <c r="D46" s="3" t="s">
        <v>19</v>
      </c>
      <c r="E46" s="3" t="s">
        <v>50</v>
      </c>
      <c r="F46" s="3" t="s">
        <v>51</v>
      </c>
      <c r="I46" s="5">
        <v>45930</v>
      </c>
      <c r="J46" s="5">
        <f t="shared" si="1"/>
        <v>46110</v>
      </c>
      <c r="K46" t="str">
        <f t="shared" ca="1" si="0"/>
        <v>Lapsed</v>
      </c>
      <c r="L46" t="s">
        <v>12</v>
      </c>
    </row>
    <row r="47" spans="2:12" x14ac:dyDescent="0.35">
      <c r="B47" s="3" t="s">
        <v>83</v>
      </c>
      <c r="C47" s="3" t="s">
        <v>42</v>
      </c>
      <c r="D47" t="s">
        <v>26</v>
      </c>
      <c r="E47" t="s">
        <v>10</v>
      </c>
      <c r="F47" t="s">
        <v>16</v>
      </c>
      <c r="I47" s="5">
        <v>45930</v>
      </c>
      <c r="J47" s="5">
        <f t="shared" si="1"/>
        <v>46110</v>
      </c>
      <c r="K47" t="str">
        <f t="shared" ca="1" si="0"/>
        <v>Lapsed</v>
      </c>
      <c r="L47" t="s">
        <v>12</v>
      </c>
    </row>
    <row r="48" spans="2:12" x14ac:dyDescent="0.35">
      <c r="B48" s="3" t="s">
        <v>84</v>
      </c>
      <c r="C48" s="3" t="s">
        <v>85</v>
      </c>
      <c r="D48" s="4" t="s">
        <v>86</v>
      </c>
      <c r="I48" s="5">
        <v>45930</v>
      </c>
      <c r="J48" s="5">
        <f t="shared" si="1"/>
        <v>46110</v>
      </c>
      <c r="K48" t="str">
        <f t="shared" ca="1" si="0"/>
        <v>Lapsed</v>
      </c>
      <c r="L48" t="s">
        <v>12</v>
      </c>
    </row>
    <row r="49" spans="2:12" x14ac:dyDescent="0.35">
      <c r="B49" s="3" t="s">
        <v>87</v>
      </c>
      <c r="C49" t="s">
        <v>21</v>
      </c>
      <c r="D49" t="s">
        <v>61</v>
      </c>
      <c r="I49" s="5">
        <v>45930</v>
      </c>
      <c r="J49" s="5">
        <f t="shared" si="1"/>
        <v>46110</v>
      </c>
      <c r="K49" t="str">
        <f t="shared" ca="1" si="0"/>
        <v>Lapsed</v>
      </c>
      <c r="L49" t="s">
        <v>12</v>
      </c>
    </row>
    <row r="50" spans="2:12" x14ac:dyDescent="0.35">
      <c r="B50" s="3" t="s">
        <v>88</v>
      </c>
      <c r="C50" t="s">
        <v>21</v>
      </c>
      <c r="D50" t="s">
        <v>10</v>
      </c>
      <c r="E50" s="4" t="s">
        <v>86</v>
      </c>
      <c r="I50" s="5">
        <v>45930</v>
      </c>
      <c r="J50" s="5">
        <f t="shared" si="1"/>
        <v>46110</v>
      </c>
      <c r="K50" t="str">
        <f t="shared" ca="1" si="0"/>
        <v>Lapsed</v>
      </c>
      <c r="L50" t="s">
        <v>12</v>
      </c>
    </row>
    <row r="51" spans="2:12" x14ac:dyDescent="0.35">
      <c r="B51" s="3" t="s">
        <v>89</v>
      </c>
      <c r="C51" s="3" t="s">
        <v>42</v>
      </c>
      <c r="D51" t="s">
        <v>23</v>
      </c>
      <c r="E51" t="s">
        <v>61</v>
      </c>
      <c r="F51" t="s">
        <v>90</v>
      </c>
      <c r="I51" s="5">
        <v>45930</v>
      </c>
      <c r="J51" s="5">
        <f t="shared" si="1"/>
        <v>46110</v>
      </c>
      <c r="K51" t="str">
        <f t="shared" ca="1" si="0"/>
        <v>Lapsed</v>
      </c>
      <c r="L51" t="s">
        <v>12</v>
      </c>
    </row>
    <row r="52" spans="2:12" x14ac:dyDescent="0.35">
      <c r="B52" s="3" t="s">
        <v>91</v>
      </c>
      <c r="C52" s="3" t="s">
        <v>85</v>
      </c>
      <c r="D52" t="s">
        <v>34</v>
      </c>
      <c r="I52" s="5">
        <v>45930</v>
      </c>
      <c r="J52" s="5">
        <f t="shared" si="1"/>
        <v>46110</v>
      </c>
      <c r="K52" t="str">
        <f t="shared" ca="1" si="0"/>
        <v>Lapsed</v>
      </c>
      <c r="L52" t="s">
        <v>12</v>
      </c>
    </row>
    <row r="53" spans="2:12" x14ac:dyDescent="0.35">
      <c r="B53" s="3" t="s">
        <v>92</v>
      </c>
      <c r="C53" s="3" t="s">
        <v>42</v>
      </c>
      <c r="D53" t="s">
        <v>50</v>
      </c>
      <c r="E53" t="s">
        <v>36</v>
      </c>
      <c r="I53" s="5">
        <v>45930</v>
      </c>
      <c r="J53" s="5">
        <f t="shared" si="1"/>
        <v>46110</v>
      </c>
      <c r="K53" t="str">
        <f t="shared" ca="1" si="0"/>
        <v>Lapsed</v>
      </c>
      <c r="L53" t="s">
        <v>12</v>
      </c>
    </row>
    <row r="54" spans="2:12" x14ac:dyDescent="0.35">
      <c r="B54" s="3" t="s">
        <v>93</v>
      </c>
      <c r="C54" s="3" t="s">
        <v>42</v>
      </c>
      <c r="D54" t="s">
        <v>23</v>
      </c>
      <c r="I54" s="5">
        <v>45930</v>
      </c>
      <c r="J54" s="5">
        <f t="shared" si="1"/>
        <v>46110</v>
      </c>
      <c r="K54" t="str">
        <f t="shared" ca="1" si="0"/>
        <v>Lapsed</v>
      </c>
      <c r="L54" t="s">
        <v>12</v>
      </c>
    </row>
    <row r="55" spans="2:12" x14ac:dyDescent="0.35">
      <c r="B55" s="3" t="s">
        <v>94</v>
      </c>
      <c r="C55" s="3" t="s">
        <v>18</v>
      </c>
      <c r="D55" t="s">
        <v>16</v>
      </c>
      <c r="I55" s="5">
        <v>45935</v>
      </c>
      <c r="J55" s="5">
        <f t="shared" si="1"/>
        <v>46116</v>
      </c>
      <c r="K55" t="str">
        <f t="shared" ca="1" si="0"/>
        <v>Lapsed</v>
      </c>
      <c r="L55" t="s">
        <v>12</v>
      </c>
    </row>
    <row r="56" spans="2:12" x14ac:dyDescent="0.35">
      <c r="B56" t="s">
        <v>95</v>
      </c>
      <c r="C56" t="s">
        <v>42</v>
      </c>
      <c r="D56" t="s">
        <v>96</v>
      </c>
      <c r="E56" t="s">
        <v>97</v>
      </c>
      <c r="F56" t="s">
        <v>16</v>
      </c>
      <c r="I56" s="5">
        <v>45938</v>
      </c>
      <c r="J56" s="5">
        <f t="shared" si="1"/>
        <v>46119</v>
      </c>
      <c r="K56" t="str">
        <f t="shared" ca="1" si="0"/>
        <v>Lapsed</v>
      </c>
      <c r="L56" t="s">
        <v>12</v>
      </c>
    </row>
    <row r="57" spans="2:12" x14ac:dyDescent="0.35">
      <c r="B57" t="s">
        <v>98</v>
      </c>
      <c r="C57" t="s">
        <v>28</v>
      </c>
      <c r="D57" t="s">
        <v>16</v>
      </c>
      <c r="I57" s="5">
        <v>45938</v>
      </c>
      <c r="J57" s="5">
        <f t="shared" si="1"/>
        <v>46119</v>
      </c>
      <c r="K57" t="str">
        <f t="shared" ca="1" si="0"/>
        <v>Lapsed</v>
      </c>
      <c r="L57" t="s">
        <v>12</v>
      </c>
    </row>
    <row r="58" spans="2:12" x14ac:dyDescent="0.35">
      <c r="B58" t="s">
        <v>99</v>
      </c>
      <c r="C58" t="s">
        <v>21</v>
      </c>
      <c r="D58" t="s">
        <v>16</v>
      </c>
      <c r="I58" s="5">
        <v>45944</v>
      </c>
      <c r="J58" s="5">
        <f t="shared" si="1"/>
        <v>46125</v>
      </c>
      <c r="K58" t="str">
        <f t="shared" ca="1" si="0"/>
        <v>Lapsed</v>
      </c>
      <c r="L58" t="s">
        <v>63</v>
      </c>
    </row>
    <row r="59" spans="2:12" x14ac:dyDescent="0.35">
      <c r="B59" t="s">
        <v>100</v>
      </c>
      <c r="C59" t="s">
        <v>21</v>
      </c>
      <c r="D59" t="s">
        <v>10</v>
      </c>
      <c r="E59" t="s">
        <v>26</v>
      </c>
      <c r="I59" s="5">
        <v>45945</v>
      </c>
      <c r="J59" s="5">
        <f t="shared" si="1"/>
        <v>46126</v>
      </c>
      <c r="K59" t="str">
        <f t="shared" ca="1" si="0"/>
        <v>Lapsed</v>
      </c>
      <c r="L59" t="s">
        <v>12</v>
      </c>
    </row>
    <row r="60" spans="2:12" x14ac:dyDescent="0.35">
      <c r="B60" t="s">
        <v>101</v>
      </c>
      <c r="C60" t="s">
        <v>21</v>
      </c>
      <c r="D60" t="s">
        <v>16</v>
      </c>
      <c r="I60" s="5">
        <v>45946</v>
      </c>
      <c r="J60" s="5">
        <f t="shared" si="1"/>
        <v>46127</v>
      </c>
      <c r="K60" t="str">
        <f t="shared" ca="1" si="0"/>
        <v>Lapsed</v>
      </c>
      <c r="L60" t="s">
        <v>12</v>
      </c>
    </row>
    <row r="61" spans="2:12" x14ac:dyDescent="0.35">
      <c r="B61" t="s">
        <v>102</v>
      </c>
      <c r="C61" t="s">
        <v>103</v>
      </c>
      <c r="D61" t="s">
        <v>10</v>
      </c>
      <c r="E61" t="s">
        <v>74</v>
      </c>
      <c r="F61" t="s">
        <v>19</v>
      </c>
      <c r="G61" t="s">
        <v>90</v>
      </c>
      <c r="I61" s="5">
        <v>45946</v>
      </c>
      <c r="J61" s="5">
        <f t="shared" si="1"/>
        <v>46127</v>
      </c>
      <c r="K61" t="str">
        <f t="shared" ca="1" si="0"/>
        <v>Lapsed</v>
      </c>
      <c r="L61" t="s">
        <v>12</v>
      </c>
    </row>
    <row r="62" spans="2:12" x14ac:dyDescent="0.35">
      <c r="B62" t="s">
        <v>104</v>
      </c>
      <c r="C62" t="s">
        <v>18</v>
      </c>
      <c r="D62" t="s">
        <v>105</v>
      </c>
      <c r="I62" s="5">
        <v>45947</v>
      </c>
      <c r="J62" s="5">
        <f t="shared" si="1"/>
        <v>46128</v>
      </c>
      <c r="K62" t="str">
        <f t="shared" ca="1" si="0"/>
        <v>Lapsed</v>
      </c>
      <c r="L62" t="s">
        <v>12</v>
      </c>
    </row>
    <row r="63" spans="2:12" x14ac:dyDescent="0.35">
      <c r="B63" t="s">
        <v>106</v>
      </c>
      <c r="C63" t="s">
        <v>42</v>
      </c>
      <c r="D63" s="4" t="s">
        <v>11</v>
      </c>
      <c r="E63" t="s">
        <v>34</v>
      </c>
      <c r="I63" s="5">
        <v>45947</v>
      </c>
      <c r="J63" s="5">
        <f t="shared" si="1"/>
        <v>46128</v>
      </c>
      <c r="K63" t="str">
        <f t="shared" ca="1" si="0"/>
        <v>Lapsed</v>
      </c>
      <c r="L63" t="s">
        <v>12</v>
      </c>
    </row>
    <row r="64" spans="2:12" x14ac:dyDescent="0.35">
      <c r="B64" t="s">
        <v>107</v>
      </c>
      <c r="C64" t="s">
        <v>21</v>
      </c>
      <c r="D64" t="s">
        <v>16</v>
      </c>
      <c r="E64" t="s">
        <v>108</v>
      </c>
      <c r="I64" s="5">
        <v>45947</v>
      </c>
      <c r="J64" s="5">
        <f t="shared" si="1"/>
        <v>46128</v>
      </c>
      <c r="K64" t="str">
        <f t="shared" ca="1" si="0"/>
        <v>Lapsed</v>
      </c>
      <c r="L64" t="s">
        <v>12</v>
      </c>
    </row>
    <row r="65" spans="2:12" x14ac:dyDescent="0.35">
      <c r="B65" t="s">
        <v>109</v>
      </c>
      <c r="C65" t="s">
        <v>103</v>
      </c>
      <c r="D65" t="s">
        <v>19</v>
      </c>
      <c r="I65" s="5">
        <v>45947</v>
      </c>
      <c r="J65" s="5">
        <f t="shared" si="1"/>
        <v>46128</v>
      </c>
      <c r="K65" t="str">
        <f t="shared" ca="1" si="0"/>
        <v>Lapsed</v>
      </c>
      <c r="L65" t="s">
        <v>12</v>
      </c>
    </row>
    <row r="66" spans="2:12" x14ac:dyDescent="0.35">
      <c r="B66" t="s">
        <v>110</v>
      </c>
      <c r="C66" t="s">
        <v>28</v>
      </c>
      <c r="D66" t="s">
        <v>61</v>
      </c>
      <c r="E66" t="s">
        <v>50</v>
      </c>
      <c r="I66" s="5">
        <v>45950</v>
      </c>
      <c r="J66" s="5">
        <f t="shared" si="1"/>
        <v>46131</v>
      </c>
      <c r="K66" t="str">
        <f t="shared" ca="1" si="0"/>
        <v>Lapsed</v>
      </c>
      <c r="L66" t="s">
        <v>12</v>
      </c>
    </row>
    <row r="67" spans="2:12" x14ac:dyDescent="0.35">
      <c r="B67" t="s">
        <v>111</v>
      </c>
      <c r="C67" t="s">
        <v>28</v>
      </c>
      <c r="D67" t="s">
        <v>112</v>
      </c>
      <c r="E67" t="s">
        <v>74</v>
      </c>
      <c r="I67" s="5">
        <v>45950</v>
      </c>
      <c r="J67" s="5">
        <f t="shared" si="1"/>
        <v>46131</v>
      </c>
      <c r="K67" t="str">
        <f t="shared" ca="1" si="0"/>
        <v>Lapsed</v>
      </c>
      <c r="L67" t="s">
        <v>12</v>
      </c>
    </row>
    <row r="68" spans="2:12" x14ac:dyDescent="0.35">
      <c r="B68" t="s">
        <v>113</v>
      </c>
      <c r="C68" t="s">
        <v>21</v>
      </c>
      <c r="D68" s="4" t="s">
        <v>114</v>
      </c>
      <c r="E68" t="s">
        <v>51</v>
      </c>
      <c r="F68" s="4" t="s">
        <v>115</v>
      </c>
      <c r="I68" s="5">
        <v>45952</v>
      </c>
      <c r="J68" s="5">
        <f t="shared" si="1"/>
        <v>46133</v>
      </c>
      <c r="K68" t="str">
        <f t="shared" ref="K68:K112" ca="1" si="2">IF(J68&gt;=$B$1,"Active","Lapsed")</f>
        <v>Lapsed</v>
      </c>
      <c r="L68" t="s">
        <v>12</v>
      </c>
    </row>
    <row r="69" spans="2:12" x14ac:dyDescent="0.35">
      <c r="B69" t="s">
        <v>116</v>
      </c>
      <c r="C69" s="3" t="s">
        <v>14</v>
      </c>
      <c r="D69" t="s">
        <v>23</v>
      </c>
      <c r="E69" t="s">
        <v>50</v>
      </c>
      <c r="I69" s="5">
        <v>45952</v>
      </c>
      <c r="J69" s="5">
        <f t="shared" ref="J69:J132" si="3">EDATE(I69,6)-1</f>
        <v>46133</v>
      </c>
      <c r="K69" t="str">
        <f t="shared" ca="1" si="2"/>
        <v>Lapsed</v>
      </c>
      <c r="L69" t="s">
        <v>12</v>
      </c>
    </row>
    <row r="70" spans="2:12" x14ac:dyDescent="0.35">
      <c r="B70" t="s">
        <v>117</v>
      </c>
      <c r="C70" t="s">
        <v>21</v>
      </c>
      <c r="D70" t="s">
        <v>16</v>
      </c>
      <c r="I70" s="5">
        <v>45954</v>
      </c>
      <c r="J70" s="5">
        <f t="shared" si="3"/>
        <v>46135</v>
      </c>
      <c r="K70" t="str">
        <f t="shared" ca="1" si="2"/>
        <v>Lapsed</v>
      </c>
      <c r="L70" t="s">
        <v>63</v>
      </c>
    </row>
    <row r="71" spans="2:12" x14ac:dyDescent="0.35">
      <c r="B71" t="s">
        <v>118</v>
      </c>
      <c r="C71" t="s">
        <v>42</v>
      </c>
      <c r="D71" t="s">
        <v>16</v>
      </c>
      <c r="E71" t="s">
        <v>112</v>
      </c>
      <c r="I71" s="5">
        <v>45956</v>
      </c>
      <c r="J71" s="5">
        <f t="shared" si="3"/>
        <v>46137</v>
      </c>
      <c r="K71" t="str">
        <f t="shared" ca="1" si="2"/>
        <v>Lapsed</v>
      </c>
      <c r="L71" t="s">
        <v>12</v>
      </c>
    </row>
    <row r="72" spans="2:12" x14ac:dyDescent="0.35">
      <c r="B72" t="s">
        <v>119</v>
      </c>
      <c r="C72" t="s">
        <v>18</v>
      </c>
      <c r="D72" t="s">
        <v>23</v>
      </c>
      <c r="E72" t="s">
        <v>10</v>
      </c>
      <c r="F72" t="s">
        <v>34</v>
      </c>
      <c r="G72" t="s">
        <v>90</v>
      </c>
      <c r="I72" s="5">
        <v>45957</v>
      </c>
      <c r="J72" s="5">
        <f t="shared" si="3"/>
        <v>46138</v>
      </c>
      <c r="K72" t="str">
        <f t="shared" ca="1" si="2"/>
        <v>Lapsed</v>
      </c>
      <c r="L72" t="s">
        <v>12</v>
      </c>
    </row>
    <row r="73" spans="2:12" x14ac:dyDescent="0.35">
      <c r="B73" t="s">
        <v>120</v>
      </c>
      <c r="C73" t="s">
        <v>21</v>
      </c>
      <c r="D73" t="s">
        <v>43</v>
      </c>
      <c r="E73" t="s">
        <v>97</v>
      </c>
      <c r="F73" t="s">
        <v>29</v>
      </c>
      <c r="I73" s="5">
        <v>45957</v>
      </c>
      <c r="J73" s="5">
        <f t="shared" si="3"/>
        <v>46138</v>
      </c>
      <c r="K73" t="str">
        <f t="shared" ca="1" si="2"/>
        <v>Lapsed</v>
      </c>
      <c r="L73" t="s">
        <v>12</v>
      </c>
    </row>
    <row r="74" spans="2:12" x14ac:dyDescent="0.35">
      <c r="B74" t="s">
        <v>121</v>
      </c>
      <c r="C74" t="s">
        <v>21</v>
      </c>
      <c r="D74" t="s">
        <v>23</v>
      </c>
      <c r="I74" s="5">
        <v>45958</v>
      </c>
      <c r="J74" s="5">
        <f t="shared" si="3"/>
        <v>46139</v>
      </c>
      <c r="K74" t="str">
        <f t="shared" ca="1" si="2"/>
        <v>Lapsed</v>
      </c>
      <c r="L74" t="s">
        <v>12</v>
      </c>
    </row>
    <row r="75" spans="2:12" x14ac:dyDescent="0.35">
      <c r="B75" t="s">
        <v>122</v>
      </c>
      <c r="C75" s="3" t="s">
        <v>14</v>
      </c>
      <c r="D75" t="s">
        <v>23</v>
      </c>
      <c r="E75" t="s">
        <v>123</v>
      </c>
      <c r="F75" s="4" t="s">
        <v>56</v>
      </c>
      <c r="I75" s="5">
        <v>45958</v>
      </c>
      <c r="J75" s="5">
        <f t="shared" si="3"/>
        <v>46139</v>
      </c>
      <c r="K75" t="str">
        <f t="shared" ca="1" si="2"/>
        <v>Lapsed</v>
      </c>
      <c r="L75" t="s">
        <v>12</v>
      </c>
    </row>
    <row r="76" spans="2:12" x14ac:dyDescent="0.35">
      <c r="B76" t="s">
        <v>124</v>
      </c>
      <c r="C76" t="s">
        <v>28</v>
      </c>
      <c r="D76" t="s">
        <v>10</v>
      </c>
      <c r="E76" s="4" t="s">
        <v>125</v>
      </c>
      <c r="I76" s="5">
        <v>45958</v>
      </c>
      <c r="J76" s="5">
        <f t="shared" si="3"/>
        <v>46139</v>
      </c>
      <c r="K76" t="str">
        <f t="shared" ca="1" si="2"/>
        <v>Lapsed</v>
      </c>
      <c r="L76" t="s">
        <v>12</v>
      </c>
    </row>
    <row r="77" spans="2:12" x14ac:dyDescent="0.35">
      <c r="B77" t="s">
        <v>126</v>
      </c>
      <c r="C77" t="s">
        <v>21</v>
      </c>
      <c r="D77" t="s">
        <v>16</v>
      </c>
      <c r="E77" t="s">
        <v>36</v>
      </c>
      <c r="I77" s="5">
        <v>45958</v>
      </c>
      <c r="J77" s="5">
        <f t="shared" si="3"/>
        <v>46139</v>
      </c>
      <c r="K77" t="str">
        <f t="shared" ca="1" si="2"/>
        <v>Lapsed</v>
      </c>
      <c r="L77" t="s">
        <v>12</v>
      </c>
    </row>
    <row r="78" spans="2:12" x14ac:dyDescent="0.35">
      <c r="B78" t="s">
        <v>127</v>
      </c>
      <c r="C78" t="s">
        <v>21</v>
      </c>
      <c r="D78" t="s">
        <v>23</v>
      </c>
      <c r="I78" s="5">
        <v>45958</v>
      </c>
      <c r="J78" s="5">
        <f t="shared" si="3"/>
        <v>46139</v>
      </c>
      <c r="K78" t="str">
        <f t="shared" ca="1" si="2"/>
        <v>Lapsed</v>
      </c>
      <c r="L78" t="s">
        <v>12</v>
      </c>
    </row>
    <row r="79" spans="2:12" x14ac:dyDescent="0.35">
      <c r="B79" t="s">
        <v>128</v>
      </c>
      <c r="C79" t="s">
        <v>129</v>
      </c>
      <c r="D79" t="s">
        <v>61</v>
      </c>
      <c r="I79" s="5">
        <v>45958</v>
      </c>
      <c r="J79" s="5">
        <f t="shared" si="3"/>
        <v>46139</v>
      </c>
      <c r="K79" t="str">
        <f t="shared" ca="1" si="2"/>
        <v>Lapsed</v>
      </c>
      <c r="L79" t="s">
        <v>12</v>
      </c>
    </row>
    <row r="80" spans="2:12" x14ac:dyDescent="0.35">
      <c r="B80" t="s">
        <v>130</v>
      </c>
      <c r="C80" t="s">
        <v>28</v>
      </c>
      <c r="D80" t="s">
        <v>16</v>
      </c>
      <c r="I80" s="5">
        <v>45960</v>
      </c>
      <c r="J80" s="5">
        <f t="shared" si="3"/>
        <v>46141</v>
      </c>
      <c r="K80" t="str">
        <f t="shared" ca="1" si="2"/>
        <v>Lapsed</v>
      </c>
      <c r="L80" t="s">
        <v>12</v>
      </c>
    </row>
    <row r="81" spans="2:12" x14ac:dyDescent="0.35">
      <c r="B81" t="s">
        <v>131</v>
      </c>
      <c r="C81" s="3" t="s">
        <v>14</v>
      </c>
      <c r="D81" s="4" t="s">
        <v>132</v>
      </c>
      <c r="E81" t="s">
        <v>10</v>
      </c>
      <c r="I81" s="5">
        <v>45960</v>
      </c>
      <c r="J81" s="5">
        <f t="shared" si="3"/>
        <v>46141</v>
      </c>
      <c r="K81" t="str">
        <f t="shared" ca="1" si="2"/>
        <v>Lapsed</v>
      </c>
      <c r="L81" t="s">
        <v>12</v>
      </c>
    </row>
    <row r="82" spans="2:12" x14ac:dyDescent="0.35">
      <c r="B82" t="s">
        <v>133</v>
      </c>
      <c r="C82" t="s">
        <v>28</v>
      </c>
      <c r="D82" t="s">
        <v>16</v>
      </c>
      <c r="E82" t="s">
        <v>15</v>
      </c>
      <c r="I82" s="5">
        <v>45960</v>
      </c>
      <c r="J82" s="5">
        <f t="shared" si="3"/>
        <v>46141</v>
      </c>
      <c r="K82" t="str">
        <f t="shared" ca="1" si="2"/>
        <v>Lapsed</v>
      </c>
      <c r="L82" t="s">
        <v>12</v>
      </c>
    </row>
    <row r="83" spans="2:12" x14ac:dyDescent="0.35">
      <c r="B83" t="s">
        <v>134</v>
      </c>
      <c r="C83" t="s">
        <v>28</v>
      </c>
      <c r="D83" t="s">
        <v>10</v>
      </c>
      <c r="E83" t="s">
        <v>19</v>
      </c>
      <c r="I83" s="5">
        <v>45960</v>
      </c>
      <c r="J83" s="5">
        <f t="shared" si="3"/>
        <v>46141</v>
      </c>
      <c r="K83" t="str">
        <f t="shared" ca="1" si="2"/>
        <v>Lapsed</v>
      </c>
      <c r="L83" t="s">
        <v>12</v>
      </c>
    </row>
    <row r="84" spans="2:12" x14ac:dyDescent="0.35">
      <c r="B84" t="s">
        <v>135</v>
      </c>
      <c r="C84" t="s">
        <v>136</v>
      </c>
      <c r="D84" t="s">
        <v>61</v>
      </c>
      <c r="I84" s="5">
        <v>45960</v>
      </c>
      <c r="J84" s="5">
        <f t="shared" si="3"/>
        <v>46141</v>
      </c>
      <c r="K84" t="str">
        <f t="shared" ca="1" si="2"/>
        <v>Lapsed</v>
      </c>
      <c r="L84" t="s">
        <v>12</v>
      </c>
    </row>
    <row r="85" spans="2:12" x14ac:dyDescent="0.35">
      <c r="B85" t="s">
        <v>137</v>
      </c>
      <c r="C85" t="s">
        <v>42</v>
      </c>
      <c r="D85" t="s">
        <v>23</v>
      </c>
      <c r="I85" s="5">
        <v>45960</v>
      </c>
      <c r="J85" s="5">
        <f t="shared" si="3"/>
        <v>46141</v>
      </c>
      <c r="K85" t="str">
        <f t="shared" ca="1" si="2"/>
        <v>Lapsed</v>
      </c>
      <c r="L85" t="s">
        <v>12</v>
      </c>
    </row>
    <row r="86" spans="2:12" x14ac:dyDescent="0.35">
      <c r="B86" t="s">
        <v>138</v>
      </c>
      <c r="C86" t="s">
        <v>42</v>
      </c>
      <c r="D86" t="s">
        <v>23</v>
      </c>
      <c r="I86" s="5">
        <v>45960</v>
      </c>
      <c r="J86" s="5">
        <f t="shared" si="3"/>
        <v>46141</v>
      </c>
      <c r="K86" t="str">
        <f t="shared" ca="1" si="2"/>
        <v>Lapsed</v>
      </c>
      <c r="L86" t="s">
        <v>12</v>
      </c>
    </row>
    <row r="87" spans="2:12" x14ac:dyDescent="0.35">
      <c r="B87" t="s">
        <v>139</v>
      </c>
      <c r="C87" s="3" t="s">
        <v>14</v>
      </c>
      <c r="D87" t="s">
        <v>10</v>
      </c>
      <c r="I87" s="5">
        <v>45961</v>
      </c>
      <c r="J87" s="5">
        <f t="shared" si="3"/>
        <v>46141</v>
      </c>
      <c r="K87" t="str">
        <f t="shared" ca="1" si="2"/>
        <v>Lapsed</v>
      </c>
      <c r="L87" t="s">
        <v>12</v>
      </c>
    </row>
    <row r="88" spans="2:12" x14ac:dyDescent="0.35">
      <c r="B88" t="s">
        <v>140</v>
      </c>
      <c r="C88" t="s">
        <v>42</v>
      </c>
      <c r="D88" t="s">
        <v>123</v>
      </c>
      <c r="E88" t="s">
        <v>26</v>
      </c>
      <c r="I88" s="5">
        <v>45961</v>
      </c>
      <c r="J88" s="5">
        <f t="shared" si="3"/>
        <v>46141</v>
      </c>
      <c r="K88" t="str">
        <f t="shared" ca="1" si="2"/>
        <v>Lapsed</v>
      </c>
      <c r="L88" t="s">
        <v>12</v>
      </c>
    </row>
    <row r="89" spans="2:12" x14ac:dyDescent="0.35">
      <c r="B89" t="s">
        <v>141</v>
      </c>
      <c r="C89" t="s">
        <v>21</v>
      </c>
      <c r="D89" t="s">
        <v>90</v>
      </c>
      <c r="E89" t="s">
        <v>54</v>
      </c>
      <c r="F89" t="s">
        <v>23</v>
      </c>
      <c r="I89" s="5">
        <v>45961</v>
      </c>
      <c r="J89" s="5">
        <f t="shared" si="3"/>
        <v>46141</v>
      </c>
      <c r="K89" t="str">
        <f t="shared" ca="1" si="2"/>
        <v>Lapsed</v>
      </c>
      <c r="L89" t="s">
        <v>12</v>
      </c>
    </row>
    <row r="90" spans="2:12" x14ac:dyDescent="0.35">
      <c r="B90" t="s">
        <v>142</v>
      </c>
      <c r="C90" t="s">
        <v>42</v>
      </c>
      <c r="D90" t="s">
        <v>43</v>
      </c>
      <c r="E90" t="s">
        <v>10</v>
      </c>
      <c r="I90" s="5">
        <v>45961</v>
      </c>
      <c r="J90" s="5">
        <f t="shared" si="3"/>
        <v>46141</v>
      </c>
      <c r="K90" t="str">
        <f t="shared" ca="1" si="2"/>
        <v>Lapsed</v>
      </c>
      <c r="L90" t="s">
        <v>12</v>
      </c>
    </row>
    <row r="91" spans="2:12" x14ac:dyDescent="0.35">
      <c r="B91" t="s">
        <v>143</v>
      </c>
      <c r="C91" s="3" t="s">
        <v>14</v>
      </c>
      <c r="D91" t="s">
        <v>16</v>
      </c>
      <c r="I91" s="5">
        <v>45961</v>
      </c>
      <c r="J91" s="5">
        <f t="shared" si="3"/>
        <v>46141</v>
      </c>
      <c r="K91" t="str">
        <f t="shared" ca="1" si="2"/>
        <v>Lapsed</v>
      </c>
      <c r="L91" t="s">
        <v>12</v>
      </c>
    </row>
    <row r="92" spans="2:12" x14ac:dyDescent="0.35">
      <c r="B92" t="s">
        <v>144</v>
      </c>
      <c r="C92" t="s">
        <v>21</v>
      </c>
      <c r="D92" t="s">
        <v>61</v>
      </c>
      <c r="E92" t="s">
        <v>105</v>
      </c>
      <c r="I92" s="5">
        <v>45961</v>
      </c>
      <c r="J92" s="5">
        <f t="shared" si="3"/>
        <v>46141</v>
      </c>
      <c r="K92" t="str">
        <f t="shared" ca="1" si="2"/>
        <v>Lapsed</v>
      </c>
      <c r="L92" t="s">
        <v>12</v>
      </c>
    </row>
    <row r="93" spans="2:12" x14ac:dyDescent="0.35">
      <c r="B93" t="s">
        <v>145</v>
      </c>
      <c r="C93" t="s">
        <v>42</v>
      </c>
      <c r="D93" t="s">
        <v>10</v>
      </c>
      <c r="I93" s="5">
        <v>45961</v>
      </c>
      <c r="J93" s="5">
        <f t="shared" si="3"/>
        <v>46141</v>
      </c>
      <c r="K93" t="str">
        <f t="shared" ca="1" si="2"/>
        <v>Lapsed</v>
      </c>
      <c r="L93" t="s">
        <v>12</v>
      </c>
    </row>
    <row r="94" spans="2:12" x14ac:dyDescent="0.35">
      <c r="B94" t="s">
        <v>146</v>
      </c>
      <c r="C94" t="s">
        <v>21</v>
      </c>
      <c r="D94" t="s">
        <v>16</v>
      </c>
      <c r="E94" s="4" t="s">
        <v>147</v>
      </c>
      <c r="I94" s="5">
        <v>45961</v>
      </c>
      <c r="J94" s="5">
        <f t="shared" si="3"/>
        <v>46141</v>
      </c>
      <c r="K94" t="str">
        <f t="shared" ca="1" si="2"/>
        <v>Lapsed</v>
      </c>
      <c r="L94" t="s">
        <v>12</v>
      </c>
    </row>
    <row r="95" spans="2:12" x14ac:dyDescent="0.35">
      <c r="B95" t="s">
        <v>148</v>
      </c>
      <c r="C95" t="s">
        <v>21</v>
      </c>
      <c r="D95" t="s">
        <v>23</v>
      </c>
      <c r="I95" s="5">
        <v>45961</v>
      </c>
      <c r="J95" s="5">
        <f t="shared" si="3"/>
        <v>46141</v>
      </c>
      <c r="K95" t="str">
        <f t="shared" ca="1" si="2"/>
        <v>Lapsed</v>
      </c>
      <c r="L95" t="s">
        <v>12</v>
      </c>
    </row>
    <row r="96" spans="2:12" x14ac:dyDescent="0.35">
      <c r="B96" t="s">
        <v>149</v>
      </c>
      <c r="C96" t="s">
        <v>21</v>
      </c>
      <c r="D96" t="s">
        <v>23</v>
      </c>
      <c r="I96" s="5">
        <v>45961</v>
      </c>
      <c r="J96" s="5">
        <f t="shared" si="3"/>
        <v>46141</v>
      </c>
      <c r="K96" t="str">
        <f t="shared" ca="1" si="2"/>
        <v>Lapsed</v>
      </c>
      <c r="L96" t="s">
        <v>12</v>
      </c>
    </row>
    <row r="97" spans="2:12" x14ac:dyDescent="0.35">
      <c r="B97" t="s">
        <v>150</v>
      </c>
      <c r="C97" t="s">
        <v>21</v>
      </c>
      <c r="D97" t="s">
        <v>10</v>
      </c>
      <c r="E97" t="s">
        <v>50</v>
      </c>
      <c r="I97" s="5">
        <v>45961</v>
      </c>
      <c r="J97" s="5">
        <f t="shared" si="3"/>
        <v>46141</v>
      </c>
      <c r="K97" t="str">
        <f t="shared" ca="1" si="2"/>
        <v>Lapsed</v>
      </c>
      <c r="L97" t="s">
        <v>12</v>
      </c>
    </row>
    <row r="98" spans="2:12" x14ac:dyDescent="0.35">
      <c r="B98" t="s">
        <v>151</v>
      </c>
      <c r="C98" t="s">
        <v>42</v>
      </c>
      <c r="D98" t="s">
        <v>96</v>
      </c>
      <c r="E98" t="s">
        <v>97</v>
      </c>
      <c r="F98" t="s">
        <v>23</v>
      </c>
      <c r="I98" s="5">
        <v>45961</v>
      </c>
      <c r="J98" s="5">
        <f t="shared" si="3"/>
        <v>46141</v>
      </c>
      <c r="K98" t="str">
        <f t="shared" ca="1" si="2"/>
        <v>Lapsed</v>
      </c>
      <c r="L98" t="s">
        <v>12</v>
      </c>
    </row>
    <row r="99" spans="2:12" x14ac:dyDescent="0.35">
      <c r="B99" t="s">
        <v>152</v>
      </c>
      <c r="C99" t="s">
        <v>18</v>
      </c>
      <c r="D99" s="4" t="s">
        <v>11</v>
      </c>
      <c r="E99" s="4" t="s">
        <v>153</v>
      </c>
      <c r="I99" s="5">
        <v>45963</v>
      </c>
      <c r="J99" s="5">
        <f t="shared" si="3"/>
        <v>46143</v>
      </c>
      <c r="K99" t="str">
        <f t="shared" ca="1" si="2"/>
        <v>Lapsed</v>
      </c>
      <c r="L99" t="s">
        <v>12</v>
      </c>
    </row>
    <row r="100" spans="2:12" x14ac:dyDescent="0.35">
      <c r="B100" t="s">
        <v>154</v>
      </c>
      <c r="C100" s="3" t="s">
        <v>14</v>
      </c>
      <c r="D100" t="s">
        <v>16</v>
      </c>
      <c r="E100" t="s">
        <v>61</v>
      </c>
      <c r="I100" s="5">
        <v>45967</v>
      </c>
      <c r="J100" s="5">
        <f t="shared" si="3"/>
        <v>46147</v>
      </c>
      <c r="K100" t="str">
        <f t="shared" ca="1" si="2"/>
        <v>Active</v>
      </c>
      <c r="L100" t="s">
        <v>12</v>
      </c>
    </row>
    <row r="101" spans="2:12" x14ac:dyDescent="0.35">
      <c r="B101" t="s">
        <v>155</v>
      </c>
      <c r="C101" t="s">
        <v>42</v>
      </c>
      <c r="D101" t="s">
        <v>19</v>
      </c>
      <c r="I101" s="5">
        <v>45967</v>
      </c>
      <c r="J101" s="5">
        <f t="shared" si="3"/>
        <v>46147</v>
      </c>
      <c r="K101" t="str">
        <f t="shared" ca="1" si="2"/>
        <v>Active</v>
      </c>
      <c r="L101" t="s">
        <v>12</v>
      </c>
    </row>
    <row r="102" spans="2:12" x14ac:dyDescent="0.35">
      <c r="B102" t="s">
        <v>156</v>
      </c>
      <c r="C102" s="3" t="s">
        <v>14</v>
      </c>
      <c r="D102" t="s">
        <v>16</v>
      </c>
      <c r="E102" s="4" t="s">
        <v>157</v>
      </c>
      <c r="I102" s="5">
        <v>45967</v>
      </c>
      <c r="J102" s="5">
        <f t="shared" si="3"/>
        <v>46147</v>
      </c>
      <c r="K102" t="str">
        <f t="shared" ca="1" si="2"/>
        <v>Active</v>
      </c>
      <c r="L102" t="s">
        <v>12</v>
      </c>
    </row>
    <row r="103" spans="2:12" x14ac:dyDescent="0.35">
      <c r="B103" t="s">
        <v>158</v>
      </c>
      <c r="C103" t="s">
        <v>18</v>
      </c>
      <c r="D103" t="s">
        <v>19</v>
      </c>
      <c r="I103" s="5">
        <v>45968</v>
      </c>
      <c r="J103" s="5">
        <f t="shared" si="3"/>
        <v>46148</v>
      </c>
      <c r="K103" t="str">
        <f t="shared" ca="1" si="2"/>
        <v>Active</v>
      </c>
      <c r="L103" t="s">
        <v>12</v>
      </c>
    </row>
    <row r="104" spans="2:12" x14ac:dyDescent="0.35">
      <c r="B104" t="s">
        <v>159</v>
      </c>
      <c r="C104" t="s">
        <v>28</v>
      </c>
      <c r="D104" t="s">
        <v>16</v>
      </c>
      <c r="E104" t="s">
        <v>10</v>
      </c>
      <c r="I104" s="5">
        <v>45968</v>
      </c>
      <c r="J104" s="5">
        <f t="shared" si="3"/>
        <v>46148</v>
      </c>
      <c r="K104" t="str">
        <f t="shared" ca="1" si="2"/>
        <v>Active</v>
      </c>
      <c r="L104" t="s">
        <v>12</v>
      </c>
    </row>
    <row r="105" spans="2:12" x14ac:dyDescent="0.35">
      <c r="B105" t="s">
        <v>160</v>
      </c>
      <c r="C105" t="s">
        <v>42</v>
      </c>
      <c r="D105" t="s">
        <v>16</v>
      </c>
      <c r="I105" s="5">
        <v>45968</v>
      </c>
      <c r="J105" s="5">
        <f t="shared" si="3"/>
        <v>46148</v>
      </c>
      <c r="K105" t="str">
        <f t="shared" ca="1" si="2"/>
        <v>Active</v>
      </c>
      <c r="L105" t="s">
        <v>12</v>
      </c>
    </row>
    <row r="106" spans="2:12" x14ac:dyDescent="0.35">
      <c r="B106" t="s">
        <v>161</v>
      </c>
      <c r="C106" t="s">
        <v>42</v>
      </c>
      <c r="D106" t="s">
        <v>23</v>
      </c>
      <c r="I106" s="5">
        <v>45968</v>
      </c>
      <c r="J106" s="5">
        <f t="shared" si="3"/>
        <v>46148</v>
      </c>
      <c r="K106" t="str">
        <f t="shared" ca="1" si="2"/>
        <v>Active</v>
      </c>
      <c r="L106" t="s">
        <v>12</v>
      </c>
    </row>
    <row r="107" spans="2:12" x14ac:dyDescent="0.35">
      <c r="B107" t="s">
        <v>162</v>
      </c>
      <c r="C107" t="s">
        <v>42</v>
      </c>
      <c r="D107" t="s">
        <v>16</v>
      </c>
      <c r="I107" s="5">
        <v>45970</v>
      </c>
      <c r="J107" s="5">
        <f t="shared" si="3"/>
        <v>46150</v>
      </c>
      <c r="K107" t="str">
        <f t="shared" ca="1" si="2"/>
        <v>Active</v>
      </c>
      <c r="L107" t="s">
        <v>12</v>
      </c>
    </row>
    <row r="108" spans="2:12" x14ac:dyDescent="0.35">
      <c r="B108" t="s">
        <v>163</v>
      </c>
      <c r="C108" s="3" t="s">
        <v>14</v>
      </c>
      <c r="D108" t="s">
        <v>36</v>
      </c>
      <c r="I108" s="5">
        <v>45971</v>
      </c>
      <c r="J108" s="5">
        <f t="shared" si="3"/>
        <v>46151</v>
      </c>
      <c r="K108" t="str">
        <f ca="1">IF(J108&gt;=$B$1,"Active","Lapsed")</f>
        <v>Active</v>
      </c>
      <c r="L108" t="s">
        <v>12</v>
      </c>
    </row>
    <row r="109" spans="2:12" x14ac:dyDescent="0.35">
      <c r="B109" t="s">
        <v>164</v>
      </c>
      <c r="C109" t="s">
        <v>42</v>
      </c>
      <c r="D109" t="s">
        <v>23</v>
      </c>
      <c r="E109" t="s">
        <v>29</v>
      </c>
      <c r="I109" s="5">
        <v>45971</v>
      </c>
      <c r="J109" s="5">
        <f t="shared" si="3"/>
        <v>46151</v>
      </c>
      <c r="K109" t="str">
        <f ca="1">IF(J109&gt;=$B$1,"Active","Lapsed")</f>
        <v>Active</v>
      </c>
      <c r="L109" t="s">
        <v>12</v>
      </c>
    </row>
    <row r="110" spans="2:12" x14ac:dyDescent="0.35">
      <c r="B110" t="s">
        <v>165</v>
      </c>
      <c r="C110" t="s">
        <v>28</v>
      </c>
      <c r="D110" t="s">
        <v>61</v>
      </c>
      <c r="I110" s="5">
        <v>45972</v>
      </c>
      <c r="J110" s="5">
        <f t="shared" si="3"/>
        <v>46152</v>
      </c>
      <c r="K110" t="str">
        <f t="shared" ca="1" si="2"/>
        <v>Active</v>
      </c>
      <c r="L110" t="s">
        <v>63</v>
      </c>
    </row>
    <row r="111" spans="2:12" x14ac:dyDescent="0.35">
      <c r="B111" t="s">
        <v>166</v>
      </c>
      <c r="C111" t="s">
        <v>42</v>
      </c>
      <c r="D111" t="s">
        <v>16</v>
      </c>
      <c r="E111" s="4" t="s">
        <v>70</v>
      </c>
      <c r="I111" s="5">
        <v>45972</v>
      </c>
      <c r="J111" s="5">
        <f t="shared" si="3"/>
        <v>46152</v>
      </c>
      <c r="K111" t="str">
        <f t="shared" ca="1" si="2"/>
        <v>Active</v>
      </c>
      <c r="L111" t="s">
        <v>12</v>
      </c>
    </row>
    <row r="112" spans="2:12" x14ac:dyDescent="0.35">
      <c r="B112" t="s">
        <v>167</v>
      </c>
      <c r="C112" t="s">
        <v>42</v>
      </c>
      <c r="D112" t="s">
        <v>23</v>
      </c>
      <c r="I112" s="5">
        <v>45973</v>
      </c>
      <c r="J112" s="5">
        <f t="shared" si="3"/>
        <v>46153</v>
      </c>
      <c r="K112" t="str">
        <f t="shared" ca="1" si="2"/>
        <v>Active</v>
      </c>
      <c r="L112" t="s">
        <v>12</v>
      </c>
    </row>
    <row r="113" spans="2:12" x14ac:dyDescent="0.35">
      <c r="B113" t="s">
        <v>168</v>
      </c>
      <c r="C113" t="s">
        <v>21</v>
      </c>
      <c r="D113" t="s">
        <v>26</v>
      </c>
      <c r="E113" t="s">
        <v>10</v>
      </c>
      <c r="F113" t="s">
        <v>90</v>
      </c>
      <c r="I113" s="5">
        <v>45973</v>
      </c>
      <c r="J113" s="5">
        <f t="shared" si="3"/>
        <v>46153</v>
      </c>
      <c r="K113" t="str">
        <f ca="1">IF(J113&gt;=$B$1,"Active","Lapsed")</f>
        <v>Active</v>
      </c>
      <c r="L113" t="s">
        <v>63</v>
      </c>
    </row>
    <row r="114" spans="2:12" x14ac:dyDescent="0.35">
      <c r="B114" t="s">
        <v>169</v>
      </c>
      <c r="C114" t="s">
        <v>42</v>
      </c>
      <c r="D114" t="s">
        <v>47</v>
      </c>
      <c r="E114" s="4" t="s">
        <v>70</v>
      </c>
      <c r="I114" s="5">
        <v>45975</v>
      </c>
      <c r="J114" s="5">
        <f t="shared" si="3"/>
        <v>46155</v>
      </c>
      <c r="K114" t="str">
        <f t="shared" ref="K114:K177" ca="1" si="4">IF(J114&gt;=$B$1,"Active","Lapsed")</f>
        <v>Active</v>
      </c>
      <c r="L114" t="s">
        <v>63</v>
      </c>
    </row>
    <row r="115" spans="2:12" x14ac:dyDescent="0.35">
      <c r="B115" t="s">
        <v>170</v>
      </c>
      <c r="C115" t="s">
        <v>21</v>
      </c>
      <c r="D115" t="s">
        <v>36</v>
      </c>
      <c r="I115" s="5">
        <v>45978</v>
      </c>
      <c r="J115" s="5">
        <f t="shared" si="3"/>
        <v>46158</v>
      </c>
      <c r="K115" t="str">
        <f t="shared" ca="1" si="4"/>
        <v>Active</v>
      </c>
      <c r="L115" t="s">
        <v>12</v>
      </c>
    </row>
    <row r="116" spans="2:12" x14ac:dyDescent="0.35">
      <c r="B116" t="s">
        <v>171</v>
      </c>
      <c r="C116" t="s">
        <v>21</v>
      </c>
      <c r="D116" t="s">
        <v>15</v>
      </c>
      <c r="E116" t="s">
        <v>26</v>
      </c>
      <c r="F116" s="4" t="s">
        <v>11</v>
      </c>
      <c r="G116" t="s">
        <v>10</v>
      </c>
      <c r="I116" s="5">
        <v>45979</v>
      </c>
      <c r="J116" s="5">
        <f t="shared" si="3"/>
        <v>46159</v>
      </c>
      <c r="K116" t="str">
        <f t="shared" ca="1" si="4"/>
        <v>Active</v>
      </c>
      <c r="L116" t="s">
        <v>12</v>
      </c>
    </row>
    <row r="117" spans="2:12" x14ac:dyDescent="0.35">
      <c r="B117" t="s">
        <v>172</v>
      </c>
      <c r="C117" t="s">
        <v>21</v>
      </c>
      <c r="D117" t="s">
        <v>36</v>
      </c>
      <c r="I117" s="5">
        <v>45981</v>
      </c>
      <c r="J117" s="5">
        <f t="shared" si="3"/>
        <v>46161</v>
      </c>
      <c r="K117" t="str">
        <f t="shared" ca="1" si="4"/>
        <v>Active</v>
      </c>
      <c r="L117" t="s">
        <v>12</v>
      </c>
    </row>
    <row r="118" spans="2:12" x14ac:dyDescent="0.35">
      <c r="B118" t="s">
        <v>173</v>
      </c>
      <c r="C118" t="s">
        <v>42</v>
      </c>
      <c r="D118" t="s">
        <v>23</v>
      </c>
      <c r="I118" s="5">
        <v>45981</v>
      </c>
      <c r="J118" s="5">
        <f t="shared" si="3"/>
        <v>46161</v>
      </c>
      <c r="K118" t="str">
        <f t="shared" ca="1" si="4"/>
        <v>Active</v>
      </c>
      <c r="L118" t="s">
        <v>12</v>
      </c>
    </row>
    <row r="119" spans="2:12" x14ac:dyDescent="0.35">
      <c r="B119" t="s">
        <v>174</v>
      </c>
      <c r="C119" t="s">
        <v>28</v>
      </c>
      <c r="D119" t="s">
        <v>23</v>
      </c>
      <c r="I119" s="5">
        <v>45982</v>
      </c>
      <c r="J119" s="5">
        <f t="shared" si="3"/>
        <v>46162</v>
      </c>
      <c r="K119" t="str">
        <f t="shared" ca="1" si="4"/>
        <v>Active</v>
      </c>
      <c r="L119" t="s">
        <v>12</v>
      </c>
    </row>
    <row r="120" spans="2:12" x14ac:dyDescent="0.35">
      <c r="B120" t="s">
        <v>175</v>
      </c>
      <c r="C120" t="s">
        <v>42</v>
      </c>
      <c r="D120" t="s">
        <v>47</v>
      </c>
      <c r="E120" t="s">
        <v>97</v>
      </c>
      <c r="F120" t="s">
        <v>10</v>
      </c>
      <c r="I120" s="5">
        <v>45985</v>
      </c>
      <c r="J120" s="5">
        <f t="shared" si="3"/>
        <v>46165</v>
      </c>
      <c r="K120" t="str">
        <f t="shared" ca="1" si="4"/>
        <v>Active</v>
      </c>
      <c r="L120" t="s">
        <v>12</v>
      </c>
    </row>
    <row r="121" spans="2:12" x14ac:dyDescent="0.35">
      <c r="B121" t="s">
        <v>176</v>
      </c>
      <c r="C121" t="s">
        <v>21</v>
      </c>
      <c r="D121" t="s">
        <v>10</v>
      </c>
      <c r="E121" t="s">
        <v>16</v>
      </c>
      <c r="F121" t="s">
        <v>23</v>
      </c>
      <c r="G121" t="s">
        <v>54</v>
      </c>
      <c r="I121" s="5">
        <v>45985</v>
      </c>
      <c r="J121" s="5">
        <f t="shared" si="3"/>
        <v>46165</v>
      </c>
      <c r="K121" t="str">
        <f t="shared" ca="1" si="4"/>
        <v>Active</v>
      </c>
      <c r="L121" t="s">
        <v>12</v>
      </c>
    </row>
    <row r="122" spans="2:12" x14ac:dyDescent="0.35">
      <c r="B122" t="s">
        <v>177</v>
      </c>
      <c r="C122" t="s">
        <v>42</v>
      </c>
      <c r="D122" t="s">
        <v>10</v>
      </c>
      <c r="I122" s="5">
        <v>45985</v>
      </c>
      <c r="J122" s="5">
        <f t="shared" si="3"/>
        <v>46165</v>
      </c>
      <c r="K122" t="str">
        <f t="shared" ca="1" si="4"/>
        <v>Active</v>
      </c>
      <c r="L122" t="s">
        <v>12</v>
      </c>
    </row>
    <row r="123" spans="2:12" x14ac:dyDescent="0.35">
      <c r="B123" t="s">
        <v>178</v>
      </c>
      <c r="C123" s="3" t="s">
        <v>14</v>
      </c>
      <c r="D123" s="4" t="s">
        <v>179</v>
      </c>
      <c r="E123" s="4" t="s">
        <v>132</v>
      </c>
      <c r="I123" s="5">
        <v>45986</v>
      </c>
      <c r="J123" s="5">
        <f t="shared" si="3"/>
        <v>46166</v>
      </c>
      <c r="K123" t="str">
        <f t="shared" ca="1" si="4"/>
        <v>Active</v>
      </c>
      <c r="L123" t="s">
        <v>12</v>
      </c>
    </row>
    <row r="124" spans="2:12" x14ac:dyDescent="0.35">
      <c r="B124" t="s">
        <v>180</v>
      </c>
      <c r="C124" t="s">
        <v>21</v>
      </c>
      <c r="D124" t="s">
        <v>10</v>
      </c>
      <c r="E124" t="s">
        <v>26</v>
      </c>
      <c r="F124" s="4" t="s">
        <v>11</v>
      </c>
      <c r="I124" s="5">
        <v>45986</v>
      </c>
      <c r="J124" s="5">
        <f t="shared" si="3"/>
        <v>46166</v>
      </c>
      <c r="K124" t="str">
        <f t="shared" ca="1" si="4"/>
        <v>Active</v>
      </c>
      <c r="L124" t="s">
        <v>12</v>
      </c>
    </row>
    <row r="125" spans="2:12" x14ac:dyDescent="0.35">
      <c r="B125" t="s">
        <v>181</v>
      </c>
      <c r="C125" t="s">
        <v>42</v>
      </c>
      <c r="D125" t="s">
        <v>10</v>
      </c>
      <c r="I125" s="5">
        <v>45986</v>
      </c>
      <c r="J125" s="5">
        <f t="shared" si="3"/>
        <v>46166</v>
      </c>
      <c r="K125" t="str">
        <f t="shared" ca="1" si="4"/>
        <v>Active</v>
      </c>
      <c r="L125" t="s">
        <v>12</v>
      </c>
    </row>
    <row r="126" spans="2:12" x14ac:dyDescent="0.35">
      <c r="B126" t="s">
        <v>182</v>
      </c>
      <c r="C126" t="s">
        <v>103</v>
      </c>
      <c r="D126" t="s">
        <v>10</v>
      </c>
      <c r="I126" s="5">
        <v>45987</v>
      </c>
      <c r="J126" s="5">
        <f t="shared" si="3"/>
        <v>46167</v>
      </c>
      <c r="K126" t="str">
        <f t="shared" ca="1" si="4"/>
        <v>Active</v>
      </c>
      <c r="L126" t="s">
        <v>12</v>
      </c>
    </row>
    <row r="127" spans="2:12" x14ac:dyDescent="0.35">
      <c r="B127" t="s">
        <v>183</v>
      </c>
      <c r="C127" s="3" t="s">
        <v>14</v>
      </c>
      <c r="D127" t="s">
        <v>31</v>
      </c>
      <c r="E127" t="s">
        <v>50</v>
      </c>
      <c r="I127" s="5">
        <v>45987</v>
      </c>
      <c r="J127" s="5">
        <f t="shared" si="3"/>
        <v>46167</v>
      </c>
      <c r="K127" t="str">
        <f t="shared" ca="1" si="4"/>
        <v>Active</v>
      </c>
      <c r="L127" t="s">
        <v>12</v>
      </c>
    </row>
    <row r="128" spans="2:12" x14ac:dyDescent="0.35">
      <c r="B128" t="s">
        <v>184</v>
      </c>
      <c r="C128" t="s">
        <v>21</v>
      </c>
      <c r="D128" t="s">
        <v>10</v>
      </c>
      <c r="I128" s="5">
        <v>45988</v>
      </c>
      <c r="J128" s="5">
        <f t="shared" si="3"/>
        <v>46168</v>
      </c>
      <c r="K128" t="str">
        <f t="shared" ca="1" si="4"/>
        <v>Active</v>
      </c>
      <c r="L128" t="s">
        <v>12</v>
      </c>
    </row>
    <row r="129" spans="2:12" x14ac:dyDescent="0.35">
      <c r="B129" t="s">
        <v>185</v>
      </c>
      <c r="C129" t="s">
        <v>21</v>
      </c>
      <c r="D129" s="4" t="s">
        <v>186</v>
      </c>
      <c r="I129" s="5">
        <v>45988</v>
      </c>
      <c r="J129" s="5">
        <f t="shared" si="3"/>
        <v>46168</v>
      </c>
      <c r="K129" t="str">
        <f t="shared" ca="1" si="4"/>
        <v>Active</v>
      </c>
      <c r="L129" t="s">
        <v>12</v>
      </c>
    </row>
    <row r="130" spans="2:12" x14ac:dyDescent="0.35">
      <c r="B130" t="s">
        <v>187</v>
      </c>
      <c r="C130" t="s">
        <v>21</v>
      </c>
      <c r="D130" t="s">
        <v>10</v>
      </c>
      <c r="E130" t="s">
        <v>16</v>
      </c>
      <c r="I130" s="5">
        <v>45988</v>
      </c>
      <c r="J130" s="5">
        <f t="shared" si="3"/>
        <v>46168</v>
      </c>
      <c r="K130" t="str">
        <f t="shared" ca="1" si="4"/>
        <v>Active</v>
      </c>
      <c r="L130" t="s">
        <v>12</v>
      </c>
    </row>
    <row r="131" spans="2:12" x14ac:dyDescent="0.35">
      <c r="B131" t="s">
        <v>188</v>
      </c>
      <c r="C131" t="s">
        <v>21</v>
      </c>
      <c r="D131" t="s">
        <v>112</v>
      </c>
      <c r="I131" s="5">
        <v>45988</v>
      </c>
      <c r="J131" s="5">
        <f t="shared" si="3"/>
        <v>46168</v>
      </c>
      <c r="K131" t="str">
        <f t="shared" ca="1" si="4"/>
        <v>Active</v>
      </c>
      <c r="L131" t="s">
        <v>12</v>
      </c>
    </row>
    <row r="132" spans="2:12" x14ac:dyDescent="0.35">
      <c r="B132" t="s">
        <v>189</v>
      </c>
      <c r="C132" t="s">
        <v>21</v>
      </c>
      <c r="D132" t="s">
        <v>10</v>
      </c>
      <c r="I132" s="5">
        <v>45989</v>
      </c>
      <c r="J132" s="5">
        <f t="shared" si="3"/>
        <v>46169</v>
      </c>
      <c r="K132" t="str">
        <f t="shared" ca="1" si="4"/>
        <v>Active</v>
      </c>
      <c r="L132" t="s">
        <v>12</v>
      </c>
    </row>
    <row r="133" spans="2:12" x14ac:dyDescent="0.35">
      <c r="B133" t="s">
        <v>190</v>
      </c>
      <c r="C133" t="s">
        <v>21</v>
      </c>
      <c r="D133" t="s">
        <v>16</v>
      </c>
      <c r="E133" t="s">
        <v>26</v>
      </c>
      <c r="I133" s="5">
        <v>45989</v>
      </c>
      <c r="J133" s="5">
        <f t="shared" ref="J133:J196" si="5">EDATE(I133,6)-1</f>
        <v>46169</v>
      </c>
      <c r="K133" t="str">
        <f t="shared" ca="1" si="4"/>
        <v>Active</v>
      </c>
      <c r="L133" t="s">
        <v>12</v>
      </c>
    </row>
    <row r="134" spans="2:12" x14ac:dyDescent="0.35">
      <c r="B134" t="s">
        <v>191</v>
      </c>
      <c r="C134" t="s">
        <v>21</v>
      </c>
      <c r="D134" t="s">
        <v>16</v>
      </c>
      <c r="E134" t="s">
        <v>54</v>
      </c>
      <c r="I134" s="5">
        <v>45989</v>
      </c>
      <c r="J134" s="5">
        <f t="shared" si="5"/>
        <v>46169</v>
      </c>
      <c r="K134" t="str">
        <f t="shared" ca="1" si="4"/>
        <v>Active</v>
      </c>
      <c r="L134" t="s">
        <v>12</v>
      </c>
    </row>
    <row r="135" spans="2:12" x14ac:dyDescent="0.35">
      <c r="B135" t="s">
        <v>192</v>
      </c>
      <c r="C135" t="s">
        <v>21</v>
      </c>
      <c r="D135" t="s">
        <v>10</v>
      </c>
      <c r="I135" s="5">
        <v>45989</v>
      </c>
      <c r="J135" s="5">
        <f t="shared" si="5"/>
        <v>46169</v>
      </c>
      <c r="K135" t="str">
        <f t="shared" ca="1" si="4"/>
        <v>Active</v>
      </c>
      <c r="L135" t="s">
        <v>12</v>
      </c>
    </row>
    <row r="136" spans="2:12" x14ac:dyDescent="0.35">
      <c r="B136" t="s">
        <v>193</v>
      </c>
      <c r="C136" t="s">
        <v>21</v>
      </c>
      <c r="D136" s="4" t="s">
        <v>179</v>
      </c>
      <c r="I136" s="5">
        <v>45989</v>
      </c>
      <c r="J136" s="5">
        <f t="shared" si="5"/>
        <v>46169</v>
      </c>
      <c r="K136" t="str">
        <f t="shared" ca="1" si="4"/>
        <v>Active</v>
      </c>
      <c r="L136" t="s">
        <v>12</v>
      </c>
    </row>
    <row r="137" spans="2:12" x14ac:dyDescent="0.35">
      <c r="B137" t="s">
        <v>194</v>
      </c>
      <c r="C137" t="s">
        <v>21</v>
      </c>
      <c r="D137" t="s">
        <v>16</v>
      </c>
      <c r="E137" t="s">
        <v>61</v>
      </c>
      <c r="I137" s="5">
        <v>45989</v>
      </c>
      <c r="J137" s="5">
        <f t="shared" si="5"/>
        <v>46169</v>
      </c>
      <c r="K137" t="str">
        <f t="shared" ca="1" si="4"/>
        <v>Active</v>
      </c>
      <c r="L137" t="s">
        <v>12</v>
      </c>
    </row>
    <row r="138" spans="2:12" x14ac:dyDescent="0.35">
      <c r="B138" t="s">
        <v>195</v>
      </c>
      <c r="C138" t="s">
        <v>28</v>
      </c>
      <c r="D138" t="s">
        <v>19</v>
      </c>
      <c r="E138" s="4" t="s">
        <v>11</v>
      </c>
      <c r="I138" s="5">
        <v>45989</v>
      </c>
      <c r="J138" s="5">
        <f t="shared" si="5"/>
        <v>46169</v>
      </c>
      <c r="K138" t="str">
        <f t="shared" ca="1" si="4"/>
        <v>Active</v>
      </c>
      <c r="L138" t="s">
        <v>12</v>
      </c>
    </row>
    <row r="139" spans="2:12" x14ac:dyDescent="0.35">
      <c r="B139" t="s">
        <v>196</v>
      </c>
      <c r="C139" s="3" t="s">
        <v>14</v>
      </c>
      <c r="D139" t="s">
        <v>16</v>
      </c>
      <c r="E139" t="s">
        <v>10</v>
      </c>
      <c r="I139" s="5">
        <v>45989</v>
      </c>
      <c r="J139" s="5">
        <f t="shared" si="5"/>
        <v>46169</v>
      </c>
      <c r="K139" t="str">
        <f t="shared" ca="1" si="4"/>
        <v>Active</v>
      </c>
      <c r="L139" t="s">
        <v>12</v>
      </c>
    </row>
    <row r="140" spans="2:12" x14ac:dyDescent="0.35">
      <c r="B140" t="s">
        <v>197</v>
      </c>
      <c r="C140" t="s">
        <v>28</v>
      </c>
      <c r="D140" t="s">
        <v>105</v>
      </c>
      <c r="I140" s="5">
        <v>45989</v>
      </c>
      <c r="J140" s="5">
        <f t="shared" si="5"/>
        <v>46169</v>
      </c>
      <c r="K140" t="str">
        <f t="shared" ca="1" si="4"/>
        <v>Active</v>
      </c>
      <c r="L140" t="s">
        <v>12</v>
      </c>
    </row>
    <row r="141" spans="2:12" x14ac:dyDescent="0.35">
      <c r="B141" t="s">
        <v>198</v>
      </c>
      <c r="C141" t="s">
        <v>21</v>
      </c>
      <c r="D141" t="s">
        <v>19</v>
      </c>
      <c r="I141" s="5">
        <v>45991</v>
      </c>
      <c r="J141" s="5">
        <f t="shared" si="5"/>
        <v>46171</v>
      </c>
      <c r="K141" t="str">
        <f t="shared" ca="1" si="4"/>
        <v>Active</v>
      </c>
      <c r="L141" t="s">
        <v>12</v>
      </c>
    </row>
    <row r="142" spans="2:12" x14ac:dyDescent="0.35">
      <c r="B142" t="s">
        <v>199</v>
      </c>
      <c r="C142" t="s">
        <v>42</v>
      </c>
      <c r="D142" t="s">
        <v>10</v>
      </c>
      <c r="E142" t="s">
        <v>50</v>
      </c>
      <c r="I142" s="5">
        <v>45991</v>
      </c>
      <c r="J142" s="5">
        <f t="shared" si="5"/>
        <v>46171</v>
      </c>
      <c r="K142" t="str">
        <f t="shared" ca="1" si="4"/>
        <v>Active</v>
      </c>
      <c r="L142" t="s">
        <v>12</v>
      </c>
    </row>
    <row r="143" spans="2:12" x14ac:dyDescent="0.35">
      <c r="B143" t="s">
        <v>200</v>
      </c>
      <c r="C143" t="s">
        <v>21</v>
      </c>
      <c r="D143" t="s">
        <v>108</v>
      </c>
      <c r="I143" s="5">
        <v>45992</v>
      </c>
      <c r="J143" s="5">
        <f t="shared" si="5"/>
        <v>46173</v>
      </c>
      <c r="K143" t="str">
        <f t="shared" ca="1" si="4"/>
        <v>Active</v>
      </c>
      <c r="L143" t="s">
        <v>12</v>
      </c>
    </row>
    <row r="144" spans="2:12" x14ac:dyDescent="0.35">
      <c r="B144" t="s">
        <v>201</v>
      </c>
      <c r="C144" t="s">
        <v>42</v>
      </c>
      <c r="D144" s="4" t="s">
        <v>81</v>
      </c>
      <c r="I144" s="5">
        <v>45992</v>
      </c>
      <c r="J144" s="5">
        <f t="shared" si="5"/>
        <v>46173</v>
      </c>
      <c r="K144" t="str">
        <f t="shared" ca="1" si="4"/>
        <v>Active</v>
      </c>
      <c r="L144" t="s">
        <v>12</v>
      </c>
    </row>
    <row r="145" spans="2:12" x14ac:dyDescent="0.35">
      <c r="B145" t="s">
        <v>202</v>
      </c>
      <c r="C145" s="3" t="s">
        <v>14</v>
      </c>
      <c r="D145" t="s">
        <v>10</v>
      </c>
      <c r="E145" t="s">
        <v>54</v>
      </c>
      <c r="I145" s="5">
        <v>45992</v>
      </c>
      <c r="J145" s="5">
        <f t="shared" si="5"/>
        <v>46173</v>
      </c>
      <c r="K145" t="str">
        <f t="shared" ca="1" si="4"/>
        <v>Active</v>
      </c>
      <c r="L145" t="s">
        <v>12</v>
      </c>
    </row>
    <row r="146" spans="2:12" x14ac:dyDescent="0.35">
      <c r="B146" t="s">
        <v>203</v>
      </c>
      <c r="C146" t="s">
        <v>21</v>
      </c>
      <c r="D146" t="s">
        <v>112</v>
      </c>
      <c r="E146" s="4" t="s">
        <v>147</v>
      </c>
      <c r="I146" s="5">
        <v>45992</v>
      </c>
      <c r="J146" s="5">
        <f t="shared" si="5"/>
        <v>46173</v>
      </c>
      <c r="K146" t="str">
        <f t="shared" ca="1" si="4"/>
        <v>Active</v>
      </c>
      <c r="L146" t="s">
        <v>12</v>
      </c>
    </row>
    <row r="147" spans="2:12" x14ac:dyDescent="0.35">
      <c r="B147" t="s">
        <v>204</v>
      </c>
      <c r="C147" t="s">
        <v>21</v>
      </c>
      <c r="D147" t="s">
        <v>26</v>
      </c>
      <c r="E147" t="s">
        <v>36</v>
      </c>
      <c r="I147" s="5">
        <v>45992</v>
      </c>
      <c r="J147" s="5">
        <f t="shared" si="5"/>
        <v>46173</v>
      </c>
      <c r="K147" t="str">
        <f t="shared" ca="1" si="4"/>
        <v>Active</v>
      </c>
      <c r="L147" t="s">
        <v>12</v>
      </c>
    </row>
    <row r="148" spans="2:12" x14ac:dyDescent="0.35">
      <c r="B148" t="s">
        <v>205</v>
      </c>
      <c r="C148" t="s">
        <v>21</v>
      </c>
      <c r="D148" t="s">
        <v>16</v>
      </c>
      <c r="E148" t="s">
        <v>43</v>
      </c>
      <c r="F148" t="s">
        <v>29</v>
      </c>
      <c r="I148" s="5">
        <v>45993</v>
      </c>
      <c r="J148" s="5">
        <f t="shared" si="5"/>
        <v>46174</v>
      </c>
      <c r="K148" t="str">
        <f t="shared" ca="1" si="4"/>
        <v>Active</v>
      </c>
      <c r="L148" t="s">
        <v>12</v>
      </c>
    </row>
    <row r="149" spans="2:12" x14ac:dyDescent="0.35">
      <c r="B149" t="s">
        <v>206</v>
      </c>
      <c r="C149" t="s">
        <v>21</v>
      </c>
      <c r="D149" t="s">
        <v>50</v>
      </c>
      <c r="I149" s="5">
        <v>45993</v>
      </c>
      <c r="J149" s="5">
        <f t="shared" si="5"/>
        <v>46174</v>
      </c>
      <c r="K149" t="str">
        <f t="shared" ca="1" si="4"/>
        <v>Active</v>
      </c>
      <c r="L149" t="s">
        <v>12</v>
      </c>
    </row>
    <row r="150" spans="2:12" x14ac:dyDescent="0.35">
      <c r="B150" t="s">
        <v>207</v>
      </c>
      <c r="C150" t="s">
        <v>21</v>
      </c>
      <c r="D150" t="s">
        <v>10</v>
      </c>
      <c r="I150" s="5">
        <v>45993</v>
      </c>
      <c r="J150" s="5">
        <f t="shared" si="5"/>
        <v>46174</v>
      </c>
      <c r="K150" t="str">
        <f t="shared" ca="1" si="4"/>
        <v>Active</v>
      </c>
      <c r="L150" t="s">
        <v>12</v>
      </c>
    </row>
    <row r="151" spans="2:12" x14ac:dyDescent="0.35">
      <c r="B151" t="s">
        <v>208</v>
      </c>
      <c r="C151" t="s">
        <v>21</v>
      </c>
      <c r="D151" t="s">
        <v>19</v>
      </c>
      <c r="I151" s="5">
        <v>45993</v>
      </c>
      <c r="J151" s="5">
        <f t="shared" si="5"/>
        <v>46174</v>
      </c>
      <c r="K151" t="str">
        <f t="shared" ca="1" si="4"/>
        <v>Active</v>
      </c>
      <c r="L151" t="s">
        <v>12</v>
      </c>
    </row>
    <row r="152" spans="2:12" x14ac:dyDescent="0.35">
      <c r="B152" t="s">
        <v>209</v>
      </c>
      <c r="C152" t="s">
        <v>21</v>
      </c>
      <c r="D152" s="4" t="s">
        <v>210</v>
      </c>
      <c r="I152" s="5">
        <v>45993</v>
      </c>
      <c r="J152" s="5">
        <f t="shared" si="5"/>
        <v>46174</v>
      </c>
      <c r="K152" t="str">
        <f t="shared" ca="1" si="4"/>
        <v>Active</v>
      </c>
      <c r="L152" t="s">
        <v>12</v>
      </c>
    </row>
    <row r="153" spans="2:12" x14ac:dyDescent="0.35">
      <c r="B153" t="s">
        <v>211</v>
      </c>
      <c r="C153" t="s">
        <v>21</v>
      </c>
      <c r="D153" t="s">
        <v>34</v>
      </c>
      <c r="I153" s="5">
        <v>45994</v>
      </c>
      <c r="J153" s="5">
        <f t="shared" si="5"/>
        <v>46175</v>
      </c>
      <c r="K153" t="str">
        <f t="shared" ca="1" si="4"/>
        <v>Active</v>
      </c>
      <c r="L153" t="s">
        <v>12</v>
      </c>
    </row>
    <row r="154" spans="2:12" x14ac:dyDescent="0.35">
      <c r="B154" t="s">
        <v>212</v>
      </c>
      <c r="C154" t="s">
        <v>21</v>
      </c>
      <c r="D154" t="s">
        <v>19</v>
      </c>
      <c r="E154" t="s">
        <v>213</v>
      </c>
      <c r="F154" t="s">
        <v>61</v>
      </c>
      <c r="I154" s="5">
        <v>45994</v>
      </c>
      <c r="J154" s="5">
        <f t="shared" si="5"/>
        <v>46175</v>
      </c>
      <c r="K154" t="str">
        <f t="shared" ca="1" si="4"/>
        <v>Active</v>
      </c>
      <c r="L154" t="s">
        <v>12</v>
      </c>
    </row>
    <row r="155" spans="2:12" x14ac:dyDescent="0.35">
      <c r="B155" t="s">
        <v>214</v>
      </c>
      <c r="C155" t="s">
        <v>42</v>
      </c>
      <c r="D155" t="s">
        <v>16</v>
      </c>
      <c r="E155" t="s">
        <v>61</v>
      </c>
      <c r="I155" s="5">
        <v>45995</v>
      </c>
      <c r="J155" s="5">
        <f t="shared" si="5"/>
        <v>46176</v>
      </c>
      <c r="K155" t="str">
        <f t="shared" ca="1" si="4"/>
        <v>Active</v>
      </c>
      <c r="L155" t="s">
        <v>12</v>
      </c>
    </row>
    <row r="156" spans="2:12" x14ac:dyDescent="0.35">
      <c r="B156" t="s">
        <v>215</v>
      </c>
      <c r="C156" t="s">
        <v>21</v>
      </c>
      <c r="D156" t="s">
        <v>10</v>
      </c>
      <c r="E156" s="4" t="s">
        <v>132</v>
      </c>
      <c r="F156" t="s">
        <v>90</v>
      </c>
      <c r="I156" s="5">
        <v>45995</v>
      </c>
      <c r="J156" s="5">
        <f t="shared" si="5"/>
        <v>46176</v>
      </c>
      <c r="K156" t="str">
        <f t="shared" ca="1" si="4"/>
        <v>Active</v>
      </c>
      <c r="L156" t="s">
        <v>12</v>
      </c>
    </row>
    <row r="157" spans="2:12" x14ac:dyDescent="0.35">
      <c r="B157" t="s">
        <v>216</v>
      </c>
      <c r="C157" t="s">
        <v>28</v>
      </c>
      <c r="D157" t="s">
        <v>10</v>
      </c>
      <c r="I157" s="5">
        <v>45996</v>
      </c>
      <c r="J157" s="5">
        <f t="shared" si="5"/>
        <v>46177</v>
      </c>
      <c r="K157" t="str">
        <f t="shared" ca="1" si="4"/>
        <v>Active</v>
      </c>
      <c r="L157" t="s">
        <v>12</v>
      </c>
    </row>
    <row r="158" spans="2:12" x14ac:dyDescent="0.35">
      <c r="B158" t="s">
        <v>217</v>
      </c>
      <c r="C158" s="3" t="s">
        <v>14</v>
      </c>
      <c r="D158" t="s">
        <v>74</v>
      </c>
      <c r="I158" s="5">
        <v>45996</v>
      </c>
      <c r="J158" s="5">
        <f t="shared" si="5"/>
        <v>46177</v>
      </c>
      <c r="K158" t="str">
        <f t="shared" ca="1" si="4"/>
        <v>Active</v>
      </c>
      <c r="L158" t="s">
        <v>12</v>
      </c>
    </row>
    <row r="159" spans="2:12" x14ac:dyDescent="0.35">
      <c r="B159" t="s">
        <v>218</v>
      </c>
      <c r="C159" t="s">
        <v>21</v>
      </c>
      <c r="D159" t="s">
        <v>50</v>
      </c>
      <c r="I159" s="5">
        <v>46000</v>
      </c>
      <c r="J159" s="5">
        <f t="shared" si="5"/>
        <v>46181</v>
      </c>
      <c r="K159" t="str">
        <f t="shared" ca="1" si="4"/>
        <v>Active</v>
      </c>
      <c r="L159" t="s">
        <v>12</v>
      </c>
    </row>
    <row r="160" spans="2:12" x14ac:dyDescent="0.35">
      <c r="B160" t="s">
        <v>219</v>
      </c>
      <c r="C160" t="s">
        <v>42</v>
      </c>
      <c r="D160" t="s">
        <v>10</v>
      </c>
      <c r="I160" s="5">
        <v>46001</v>
      </c>
      <c r="J160" s="5">
        <f t="shared" si="5"/>
        <v>46182</v>
      </c>
      <c r="K160" t="str">
        <f t="shared" ca="1" si="4"/>
        <v>Active</v>
      </c>
      <c r="L160" t="s">
        <v>12</v>
      </c>
    </row>
    <row r="161" spans="2:12" x14ac:dyDescent="0.35">
      <c r="B161" t="s">
        <v>220</v>
      </c>
      <c r="C161" t="s">
        <v>42</v>
      </c>
      <c r="D161" t="s">
        <v>10</v>
      </c>
      <c r="E161" s="4" t="s">
        <v>81</v>
      </c>
      <c r="I161" s="5">
        <v>46001</v>
      </c>
      <c r="J161" s="5">
        <f t="shared" si="5"/>
        <v>46182</v>
      </c>
      <c r="K161" t="str">
        <f t="shared" ca="1" si="4"/>
        <v>Active</v>
      </c>
      <c r="L161" t="s">
        <v>12</v>
      </c>
    </row>
    <row r="162" spans="2:12" x14ac:dyDescent="0.35">
      <c r="B162" t="s">
        <v>221</v>
      </c>
      <c r="C162" t="s">
        <v>9</v>
      </c>
      <c r="D162" t="s">
        <v>31</v>
      </c>
      <c r="I162" s="5">
        <v>46002</v>
      </c>
      <c r="J162" s="5">
        <f t="shared" si="5"/>
        <v>46183</v>
      </c>
      <c r="K162" t="str">
        <f t="shared" ca="1" si="4"/>
        <v>Active</v>
      </c>
      <c r="L162" t="s">
        <v>12</v>
      </c>
    </row>
    <row r="163" spans="2:12" x14ac:dyDescent="0.35">
      <c r="B163" t="s">
        <v>222</v>
      </c>
      <c r="C163" t="s">
        <v>28</v>
      </c>
      <c r="D163" t="s">
        <v>23</v>
      </c>
      <c r="I163" s="5">
        <v>46002</v>
      </c>
      <c r="J163" s="5">
        <f t="shared" si="5"/>
        <v>46183</v>
      </c>
      <c r="K163" t="str">
        <f t="shared" ca="1" si="4"/>
        <v>Active</v>
      </c>
      <c r="L163" t="s">
        <v>12</v>
      </c>
    </row>
    <row r="164" spans="2:12" x14ac:dyDescent="0.35">
      <c r="B164" t="s">
        <v>223</v>
      </c>
      <c r="C164" t="s">
        <v>28</v>
      </c>
      <c r="D164" t="s">
        <v>43</v>
      </c>
      <c r="E164" t="s">
        <v>10</v>
      </c>
      <c r="I164" s="5">
        <v>46002</v>
      </c>
      <c r="J164" s="5">
        <f t="shared" si="5"/>
        <v>46183</v>
      </c>
      <c r="K164" t="str">
        <f t="shared" ca="1" si="4"/>
        <v>Active</v>
      </c>
      <c r="L164" t="s">
        <v>12</v>
      </c>
    </row>
    <row r="165" spans="2:12" x14ac:dyDescent="0.35">
      <c r="B165" t="s">
        <v>224</v>
      </c>
      <c r="C165" s="3" t="s">
        <v>14</v>
      </c>
      <c r="D165" t="s">
        <v>61</v>
      </c>
      <c r="I165" s="5">
        <v>46003</v>
      </c>
      <c r="J165" s="5">
        <f t="shared" si="5"/>
        <v>46184</v>
      </c>
      <c r="K165" t="str">
        <f t="shared" ca="1" si="4"/>
        <v>Active</v>
      </c>
      <c r="L165" t="s">
        <v>12</v>
      </c>
    </row>
    <row r="166" spans="2:12" x14ac:dyDescent="0.35">
      <c r="B166" t="s">
        <v>225</v>
      </c>
      <c r="C166" t="s">
        <v>21</v>
      </c>
      <c r="D166" t="s">
        <v>36</v>
      </c>
      <c r="E166" t="s">
        <v>90</v>
      </c>
      <c r="I166" s="5">
        <v>46006</v>
      </c>
      <c r="J166" s="5">
        <f t="shared" si="5"/>
        <v>46187</v>
      </c>
      <c r="K166" t="str">
        <f t="shared" ca="1" si="4"/>
        <v>Active</v>
      </c>
      <c r="L166" t="s">
        <v>12</v>
      </c>
    </row>
    <row r="167" spans="2:12" x14ac:dyDescent="0.35">
      <c r="B167" t="s">
        <v>226</v>
      </c>
      <c r="C167" t="s">
        <v>28</v>
      </c>
      <c r="D167" t="s">
        <v>16</v>
      </c>
      <c r="E167" t="s">
        <v>61</v>
      </c>
      <c r="I167" s="5">
        <v>46008</v>
      </c>
      <c r="J167" s="5">
        <f t="shared" si="5"/>
        <v>46189</v>
      </c>
      <c r="K167" t="str">
        <f t="shared" ca="1" si="4"/>
        <v>Active</v>
      </c>
      <c r="L167" t="s">
        <v>12</v>
      </c>
    </row>
    <row r="168" spans="2:12" x14ac:dyDescent="0.35">
      <c r="B168" t="s">
        <v>227</v>
      </c>
      <c r="C168" t="s">
        <v>28</v>
      </c>
      <c r="D168" t="s">
        <v>19</v>
      </c>
      <c r="I168" s="5">
        <v>46008</v>
      </c>
      <c r="J168" s="5">
        <f t="shared" si="5"/>
        <v>46189</v>
      </c>
      <c r="K168" t="str">
        <f t="shared" ca="1" si="4"/>
        <v>Active</v>
      </c>
      <c r="L168" t="s">
        <v>12</v>
      </c>
    </row>
    <row r="169" spans="2:12" x14ac:dyDescent="0.35">
      <c r="B169" t="s">
        <v>228</v>
      </c>
      <c r="C169" t="s">
        <v>18</v>
      </c>
      <c r="D169" t="s">
        <v>16</v>
      </c>
      <c r="I169" s="5">
        <v>46008</v>
      </c>
      <c r="J169" s="5">
        <f t="shared" si="5"/>
        <v>46189</v>
      </c>
      <c r="K169" t="str">
        <f t="shared" ca="1" si="4"/>
        <v>Active</v>
      </c>
      <c r="L169" t="s">
        <v>12</v>
      </c>
    </row>
    <row r="170" spans="2:12" x14ac:dyDescent="0.35">
      <c r="B170" t="s">
        <v>229</v>
      </c>
      <c r="C170" t="s">
        <v>42</v>
      </c>
      <c r="D170" t="s">
        <v>10</v>
      </c>
      <c r="E170" t="s">
        <v>61</v>
      </c>
      <c r="I170" s="5">
        <v>46009</v>
      </c>
      <c r="J170" s="5">
        <f t="shared" si="5"/>
        <v>46190</v>
      </c>
      <c r="K170" t="str">
        <f t="shared" ca="1" si="4"/>
        <v>Active</v>
      </c>
      <c r="L170" t="s">
        <v>12</v>
      </c>
    </row>
    <row r="171" spans="2:12" x14ac:dyDescent="0.35">
      <c r="B171" t="s">
        <v>230</v>
      </c>
      <c r="C171" t="s">
        <v>42</v>
      </c>
      <c r="D171" t="s">
        <v>16</v>
      </c>
      <c r="I171" s="5">
        <v>46009</v>
      </c>
      <c r="J171" s="5">
        <f t="shared" si="5"/>
        <v>46190</v>
      </c>
      <c r="K171" t="str">
        <f t="shared" ca="1" si="4"/>
        <v>Active</v>
      </c>
      <c r="L171" t="s">
        <v>12</v>
      </c>
    </row>
    <row r="172" spans="2:12" x14ac:dyDescent="0.35">
      <c r="B172" t="s">
        <v>231</v>
      </c>
      <c r="C172" t="s">
        <v>42</v>
      </c>
      <c r="D172" t="s">
        <v>16</v>
      </c>
      <c r="I172" s="5">
        <v>46010</v>
      </c>
      <c r="J172" s="5">
        <f t="shared" si="5"/>
        <v>46191</v>
      </c>
      <c r="K172" t="str">
        <f t="shared" ca="1" si="4"/>
        <v>Active</v>
      </c>
      <c r="L172" t="s">
        <v>12</v>
      </c>
    </row>
    <row r="173" spans="2:12" x14ac:dyDescent="0.35">
      <c r="B173" t="s">
        <v>232</v>
      </c>
      <c r="C173" t="s">
        <v>21</v>
      </c>
      <c r="D173" t="s">
        <v>10</v>
      </c>
      <c r="E173" t="s">
        <v>36</v>
      </c>
      <c r="I173" s="5">
        <v>46010</v>
      </c>
      <c r="J173" s="5">
        <f t="shared" si="5"/>
        <v>46191</v>
      </c>
      <c r="K173" t="str">
        <f t="shared" ca="1" si="4"/>
        <v>Active</v>
      </c>
      <c r="L173" t="s">
        <v>12</v>
      </c>
    </row>
    <row r="174" spans="2:12" x14ac:dyDescent="0.35">
      <c r="B174" t="s">
        <v>233</v>
      </c>
      <c r="C174" t="s">
        <v>21</v>
      </c>
      <c r="D174" t="s">
        <v>61</v>
      </c>
      <c r="I174" s="5">
        <v>46010</v>
      </c>
      <c r="J174" s="5">
        <f t="shared" si="5"/>
        <v>46191</v>
      </c>
      <c r="K174" t="str">
        <f t="shared" ca="1" si="4"/>
        <v>Active</v>
      </c>
      <c r="L174" t="s">
        <v>12</v>
      </c>
    </row>
    <row r="175" spans="2:12" x14ac:dyDescent="0.35">
      <c r="B175" t="s">
        <v>234</v>
      </c>
      <c r="C175" t="s">
        <v>28</v>
      </c>
      <c r="D175" t="s">
        <v>61</v>
      </c>
      <c r="I175" s="5">
        <v>46010</v>
      </c>
      <c r="J175" s="5">
        <f t="shared" si="5"/>
        <v>46191</v>
      </c>
      <c r="K175" t="str">
        <f t="shared" ca="1" si="4"/>
        <v>Active</v>
      </c>
      <c r="L175" t="s">
        <v>12</v>
      </c>
    </row>
    <row r="176" spans="2:12" x14ac:dyDescent="0.35">
      <c r="B176" t="s">
        <v>235</v>
      </c>
      <c r="C176" t="s">
        <v>21</v>
      </c>
      <c r="D176" t="s">
        <v>16</v>
      </c>
      <c r="I176" s="5">
        <v>46010</v>
      </c>
      <c r="J176" s="5">
        <f t="shared" si="5"/>
        <v>46191</v>
      </c>
      <c r="K176" t="str">
        <f t="shared" ca="1" si="4"/>
        <v>Active</v>
      </c>
      <c r="L176" t="s">
        <v>12</v>
      </c>
    </row>
    <row r="177" spans="2:12" x14ac:dyDescent="0.35">
      <c r="B177" t="s">
        <v>236</v>
      </c>
      <c r="C177" t="s">
        <v>21</v>
      </c>
      <c r="D177" t="s">
        <v>61</v>
      </c>
      <c r="E177" s="4" t="s">
        <v>179</v>
      </c>
      <c r="I177" s="5">
        <v>46010</v>
      </c>
      <c r="J177" s="5">
        <f t="shared" si="5"/>
        <v>46191</v>
      </c>
      <c r="K177" t="str">
        <f t="shared" ca="1" si="4"/>
        <v>Active</v>
      </c>
      <c r="L177" t="s">
        <v>12</v>
      </c>
    </row>
    <row r="178" spans="2:12" x14ac:dyDescent="0.35">
      <c r="B178" t="s">
        <v>237</v>
      </c>
      <c r="C178" t="s">
        <v>42</v>
      </c>
      <c r="D178" t="s">
        <v>50</v>
      </c>
      <c r="E178" s="4" t="s">
        <v>147</v>
      </c>
      <c r="I178" s="5">
        <v>46012</v>
      </c>
      <c r="J178" s="5">
        <f t="shared" si="5"/>
        <v>46193</v>
      </c>
      <c r="K178" t="str">
        <f t="shared" ref="K178:K278" ca="1" si="6">IF(J178&gt;=$B$1,"Active","Lapsed")</f>
        <v>Active</v>
      </c>
      <c r="L178" t="s">
        <v>12</v>
      </c>
    </row>
    <row r="179" spans="2:12" x14ac:dyDescent="0.35">
      <c r="B179" t="s">
        <v>238</v>
      </c>
      <c r="C179" s="3" t="s">
        <v>14</v>
      </c>
      <c r="D179" t="s">
        <v>16</v>
      </c>
      <c r="I179" s="5">
        <v>46013</v>
      </c>
      <c r="J179" s="5">
        <f t="shared" si="5"/>
        <v>46194</v>
      </c>
      <c r="K179" t="str">
        <f t="shared" ca="1" si="6"/>
        <v>Active</v>
      </c>
      <c r="L179" t="s">
        <v>12</v>
      </c>
    </row>
    <row r="180" spans="2:12" x14ac:dyDescent="0.35">
      <c r="B180" t="s">
        <v>239</v>
      </c>
      <c r="C180" t="s">
        <v>28</v>
      </c>
      <c r="D180" t="s">
        <v>16</v>
      </c>
      <c r="I180" s="5">
        <v>46013</v>
      </c>
      <c r="J180" s="5">
        <f t="shared" si="5"/>
        <v>46194</v>
      </c>
      <c r="K180" t="str">
        <f t="shared" ca="1" si="6"/>
        <v>Active</v>
      </c>
      <c r="L180" t="s">
        <v>12</v>
      </c>
    </row>
    <row r="181" spans="2:12" x14ac:dyDescent="0.35">
      <c r="B181" t="s">
        <v>240</v>
      </c>
      <c r="C181" t="s">
        <v>21</v>
      </c>
      <c r="D181" t="s">
        <v>19</v>
      </c>
      <c r="I181" s="5">
        <v>46013</v>
      </c>
      <c r="J181" s="5">
        <f t="shared" si="5"/>
        <v>46194</v>
      </c>
      <c r="K181" t="str">
        <f t="shared" ca="1" si="6"/>
        <v>Active</v>
      </c>
      <c r="L181" t="s">
        <v>12</v>
      </c>
    </row>
    <row r="182" spans="2:12" x14ac:dyDescent="0.35">
      <c r="B182" t="s">
        <v>241</v>
      </c>
      <c r="C182" t="s">
        <v>42</v>
      </c>
      <c r="D182" t="s">
        <v>15</v>
      </c>
      <c r="E182" t="s">
        <v>26</v>
      </c>
      <c r="I182" s="5">
        <v>46014</v>
      </c>
      <c r="J182" s="5">
        <f t="shared" si="5"/>
        <v>46195</v>
      </c>
      <c r="K182" t="str">
        <f t="shared" ca="1" si="6"/>
        <v>Active</v>
      </c>
      <c r="L182" t="s">
        <v>12</v>
      </c>
    </row>
    <row r="183" spans="2:12" x14ac:dyDescent="0.35">
      <c r="B183" t="s">
        <v>242</v>
      </c>
      <c r="C183" t="s">
        <v>42</v>
      </c>
      <c r="D183" t="s">
        <v>31</v>
      </c>
      <c r="I183" s="5">
        <v>46015</v>
      </c>
      <c r="J183" s="5">
        <f t="shared" si="5"/>
        <v>46196</v>
      </c>
      <c r="K183" t="str">
        <f t="shared" ca="1" si="6"/>
        <v>Active</v>
      </c>
      <c r="L183" t="s">
        <v>12</v>
      </c>
    </row>
    <row r="184" spans="2:12" x14ac:dyDescent="0.35">
      <c r="B184" t="s">
        <v>243</v>
      </c>
      <c r="C184" t="s">
        <v>39</v>
      </c>
      <c r="D184" t="s">
        <v>112</v>
      </c>
      <c r="I184" s="5">
        <v>46015</v>
      </c>
      <c r="J184" s="5">
        <f t="shared" si="5"/>
        <v>46196</v>
      </c>
      <c r="K184" t="str">
        <f t="shared" ca="1" si="6"/>
        <v>Active</v>
      </c>
      <c r="L184" t="s">
        <v>12</v>
      </c>
    </row>
    <row r="185" spans="2:12" x14ac:dyDescent="0.35">
      <c r="B185" t="s">
        <v>244</v>
      </c>
      <c r="C185" s="6" t="s">
        <v>21</v>
      </c>
      <c r="D185" t="s">
        <v>23</v>
      </c>
      <c r="E185" t="s">
        <v>213</v>
      </c>
      <c r="I185" s="5">
        <v>46015</v>
      </c>
      <c r="J185" s="5">
        <f t="shared" si="5"/>
        <v>46196</v>
      </c>
      <c r="K185" t="str">
        <f t="shared" ca="1" si="6"/>
        <v>Active</v>
      </c>
      <c r="L185" t="s">
        <v>12</v>
      </c>
    </row>
    <row r="186" spans="2:12" x14ac:dyDescent="0.35">
      <c r="B186" t="s">
        <v>245</v>
      </c>
      <c r="C186" s="6" t="s">
        <v>21</v>
      </c>
      <c r="D186" t="s">
        <v>61</v>
      </c>
      <c r="E186" s="4" t="s">
        <v>37</v>
      </c>
      <c r="I186" s="5">
        <v>46015</v>
      </c>
      <c r="J186" s="5">
        <f t="shared" si="5"/>
        <v>46196</v>
      </c>
      <c r="K186" t="str">
        <f t="shared" ca="1" si="6"/>
        <v>Active</v>
      </c>
      <c r="L186" t="s">
        <v>12</v>
      </c>
    </row>
    <row r="187" spans="2:12" ht="15.5" x14ac:dyDescent="0.35">
      <c r="B187" t="s">
        <v>246</v>
      </c>
      <c r="C187" s="7" t="s">
        <v>21</v>
      </c>
      <c r="D187" t="s">
        <v>16</v>
      </c>
      <c r="E187" s="4" t="s">
        <v>11</v>
      </c>
      <c r="I187" s="5">
        <v>46015</v>
      </c>
      <c r="J187" s="5">
        <f t="shared" si="5"/>
        <v>46196</v>
      </c>
      <c r="K187" t="str">
        <f t="shared" ca="1" si="6"/>
        <v>Active</v>
      </c>
      <c r="L187" t="s">
        <v>12</v>
      </c>
    </row>
    <row r="188" spans="2:12" x14ac:dyDescent="0.35">
      <c r="B188" t="s">
        <v>247</v>
      </c>
      <c r="C188" t="s">
        <v>42</v>
      </c>
      <c r="D188" t="s">
        <v>10</v>
      </c>
      <c r="I188" s="5">
        <v>46020</v>
      </c>
      <c r="J188" s="5">
        <f t="shared" si="5"/>
        <v>46201</v>
      </c>
      <c r="K188" t="str">
        <f t="shared" ca="1" si="6"/>
        <v>Active</v>
      </c>
      <c r="L188" t="s">
        <v>12</v>
      </c>
    </row>
    <row r="189" spans="2:12" x14ac:dyDescent="0.35">
      <c r="B189" t="s">
        <v>248</v>
      </c>
      <c r="C189" t="s">
        <v>21</v>
      </c>
      <c r="D189" t="s">
        <v>61</v>
      </c>
      <c r="E189" t="s">
        <v>10</v>
      </c>
      <c r="I189" s="5">
        <v>46020</v>
      </c>
      <c r="J189" s="5">
        <f t="shared" si="5"/>
        <v>46201</v>
      </c>
      <c r="K189" t="str">
        <f t="shared" ca="1" si="6"/>
        <v>Active</v>
      </c>
      <c r="L189" t="s">
        <v>12</v>
      </c>
    </row>
    <row r="190" spans="2:12" x14ac:dyDescent="0.35">
      <c r="B190" t="s">
        <v>249</v>
      </c>
      <c r="C190" t="s">
        <v>21</v>
      </c>
      <c r="D190" t="s">
        <v>16</v>
      </c>
      <c r="I190" s="5">
        <v>46020</v>
      </c>
      <c r="J190" s="5">
        <f t="shared" si="5"/>
        <v>46201</v>
      </c>
      <c r="K190" t="str">
        <f t="shared" ca="1" si="6"/>
        <v>Active</v>
      </c>
      <c r="L190" t="s">
        <v>12</v>
      </c>
    </row>
    <row r="191" spans="2:12" x14ac:dyDescent="0.35">
      <c r="B191" t="s">
        <v>250</v>
      </c>
      <c r="C191" t="s">
        <v>21</v>
      </c>
      <c r="D191" t="s">
        <v>36</v>
      </c>
      <c r="I191" s="5">
        <v>46020</v>
      </c>
      <c r="J191" s="5">
        <f t="shared" si="5"/>
        <v>46201</v>
      </c>
      <c r="K191" t="str">
        <f t="shared" ca="1" si="6"/>
        <v>Active</v>
      </c>
      <c r="L191" t="s">
        <v>12</v>
      </c>
    </row>
    <row r="192" spans="2:12" x14ac:dyDescent="0.35">
      <c r="B192" t="s">
        <v>251</v>
      </c>
      <c r="C192" t="s">
        <v>9</v>
      </c>
      <c r="D192" t="s">
        <v>26</v>
      </c>
      <c r="I192" s="5">
        <v>46020</v>
      </c>
      <c r="J192" s="5">
        <f t="shared" si="5"/>
        <v>46201</v>
      </c>
      <c r="K192" t="str">
        <f t="shared" ca="1" si="6"/>
        <v>Active</v>
      </c>
      <c r="L192" t="s">
        <v>12</v>
      </c>
    </row>
    <row r="193" spans="2:12" x14ac:dyDescent="0.35">
      <c r="B193" t="s">
        <v>252</v>
      </c>
      <c r="C193" t="s">
        <v>21</v>
      </c>
      <c r="D193" t="s">
        <v>50</v>
      </c>
      <c r="E193" t="s">
        <v>51</v>
      </c>
      <c r="I193" s="5">
        <v>46021</v>
      </c>
      <c r="J193" s="5">
        <f t="shared" si="5"/>
        <v>46202</v>
      </c>
      <c r="K193" t="str">
        <f t="shared" ca="1" si="6"/>
        <v>Active</v>
      </c>
      <c r="L193" t="s">
        <v>12</v>
      </c>
    </row>
    <row r="194" spans="2:12" x14ac:dyDescent="0.35">
      <c r="B194" t="s">
        <v>253</v>
      </c>
      <c r="C194" t="s">
        <v>21</v>
      </c>
      <c r="D194" t="s">
        <v>23</v>
      </c>
      <c r="E194" t="s">
        <v>36</v>
      </c>
      <c r="F194" t="s">
        <v>254</v>
      </c>
      <c r="I194" s="5">
        <v>46021</v>
      </c>
      <c r="J194" s="5">
        <f t="shared" si="5"/>
        <v>46202</v>
      </c>
      <c r="K194" t="str">
        <f t="shared" ca="1" si="6"/>
        <v>Active</v>
      </c>
      <c r="L194" t="s">
        <v>12</v>
      </c>
    </row>
    <row r="195" spans="2:12" x14ac:dyDescent="0.35">
      <c r="B195" t="s">
        <v>255</v>
      </c>
      <c r="C195" t="s">
        <v>21</v>
      </c>
      <c r="D195" t="s">
        <v>10</v>
      </c>
      <c r="I195" s="5">
        <v>46022</v>
      </c>
      <c r="J195" s="5">
        <f t="shared" si="5"/>
        <v>46202</v>
      </c>
      <c r="K195" t="str">
        <f t="shared" ca="1" si="6"/>
        <v>Active</v>
      </c>
      <c r="L195" t="s">
        <v>12</v>
      </c>
    </row>
    <row r="196" spans="2:12" x14ac:dyDescent="0.35">
      <c r="B196" t="s">
        <v>256</v>
      </c>
      <c r="C196" t="s">
        <v>42</v>
      </c>
      <c r="D196" t="s">
        <v>16</v>
      </c>
      <c r="E196" s="4" t="s">
        <v>125</v>
      </c>
      <c r="I196" s="5">
        <v>46022</v>
      </c>
      <c r="J196" s="5">
        <f t="shared" si="5"/>
        <v>46202</v>
      </c>
      <c r="K196" t="str">
        <f t="shared" ca="1" si="6"/>
        <v>Active</v>
      </c>
      <c r="L196" t="s">
        <v>12</v>
      </c>
    </row>
    <row r="197" spans="2:12" x14ac:dyDescent="0.35">
      <c r="B197" t="s">
        <v>257</v>
      </c>
      <c r="C197" t="s">
        <v>14</v>
      </c>
      <c r="D197" t="s">
        <v>16</v>
      </c>
      <c r="E197" s="4" t="s">
        <v>70</v>
      </c>
      <c r="I197" s="5">
        <v>46022</v>
      </c>
      <c r="J197" s="5">
        <f t="shared" ref="J197:J260" si="7">EDATE(I197,6)-1</f>
        <v>46202</v>
      </c>
      <c r="K197" t="str">
        <f t="shared" ca="1" si="6"/>
        <v>Active</v>
      </c>
      <c r="L197" t="s">
        <v>12</v>
      </c>
    </row>
    <row r="198" spans="2:12" x14ac:dyDescent="0.35">
      <c r="B198" t="s">
        <v>258</v>
      </c>
      <c r="C198" t="s">
        <v>21</v>
      </c>
      <c r="D198" t="s">
        <v>10</v>
      </c>
      <c r="I198" s="5">
        <v>46022</v>
      </c>
      <c r="J198" s="5">
        <f t="shared" si="7"/>
        <v>46202</v>
      </c>
      <c r="K198" t="str">
        <f t="shared" ca="1" si="6"/>
        <v>Active</v>
      </c>
      <c r="L198" t="s">
        <v>12</v>
      </c>
    </row>
    <row r="199" spans="2:12" x14ac:dyDescent="0.35">
      <c r="B199" t="s">
        <v>259</v>
      </c>
      <c r="C199" t="s">
        <v>21</v>
      </c>
      <c r="D199" t="s">
        <v>10</v>
      </c>
      <c r="E199" t="s">
        <v>29</v>
      </c>
      <c r="I199" s="5">
        <v>46022</v>
      </c>
      <c r="J199" s="5">
        <f t="shared" si="7"/>
        <v>46202</v>
      </c>
      <c r="K199" t="str">
        <f t="shared" ca="1" si="6"/>
        <v>Active</v>
      </c>
      <c r="L199" t="s">
        <v>12</v>
      </c>
    </row>
    <row r="200" spans="2:12" x14ac:dyDescent="0.35">
      <c r="B200" t="s">
        <v>260</v>
      </c>
      <c r="C200" t="s">
        <v>14</v>
      </c>
      <c r="D200" t="s">
        <v>47</v>
      </c>
      <c r="E200" t="s">
        <v>23</v>
      </c>
      <c r="I200" s="5">
        <v>46023</v>
      </c>
      <c r="J200" s="5">
        <f t="shared" si="7"/>
        <v>46203</v>
      </c>
      <c r="K200" t="str">
        <f t="shared" ca="1" si="6"/>
        <v>Active</v>
      </c>
      <c r="L200" t="s">
        <v>12</v>
      </c>
    </row>
    <row r="201" spans="2:12" x14ac:dyDescent="0.35">
      <c r="B201" t="s">
        <v>261</v>
      </c>
      <c r="C201" t="s">
        <v>28</v>
      </c>
      <c r="D201" t="s">
        <v>29</v>
      </c>
      <c r="E201" t="s">
        <v>16</v>
      </c>
      <c r="I201" s="5">
        <v>46023</v>
      </c>
      <c r="J201" s="5">
        <f t="shared" si="7"/>
        <v>46203</v>
      </c>
      <c r="K201" t="str">
        <f t="shared" ca="1" si="6"/>
        <v>Active</v>
      </c>
      <c r="L201" t="s">
        <v>12</v>
      </c>
    </row>
    <row r="202" spans="2:12" x14ac:dyDescent="0.35">
      <c r="B202" t="s">
        <v>262</v>
      </c>
      <c r="C202" t="s">
        <v>14</v>
      </c>
      <c r="D202" t="s">
        <v>10</v>
      </c>
      <c r="E202" t="s">
        <v>97</v>
      </c>
      <c r="F202" s="4" t="s">
        <v>263</v>
      </c>
      <c r="I202" s="5">
        <v>46023</v>
      </c>
      <c r="J202" s="5">
        <f t="shared" si="7"/>
        <v>46203</v>
      </c>
      <c r="K202" t="str">
        <f t="shared" ca="1" si="6"/>
        <v>Active</v>
      </c>
      <c r="L202" t="s">
        <v>12</v>
      </c>
    </row>
    <row r="203" spans="2:12" x14ac:dyDescent="0.35">
      <c r="B203" t="s">
        <v>264</v>
      </c>
      <c r="C203" t="s">
        <v>42</v>
      </c>
      <c r="D203" t="s">
        <v>10</v>
      </c>
      <c r="I203" s="5">
        <v>46023</v>
      </c>
      <c r="J203" s="5">
        <f t="shared" si="7"/>
        <v>46203</v>
      </c>
      <c r="K203" t="str">
        <f t="shared" ca="1" si="6"/>
        <v>Active</v>
      </c>
      <c r="L203" t="s">
        <v>12</v>
      </c>
    </row>
    <row r="204" spans="2:12" x14ac:dyDescent="0.35">
      <c r="B204" t="s">
        <v>265</v>
      </c>
      <c r="C204" t="s">
        <v>21</v>
      </c>
      <c r="D204" t="s">
        <v>19</v>
      </c>
      <c r="I204" s="5">
        <v>46023</v>
      </c>
      <c r="J204" s="5">
        <f t="shared" si="7"/>
        <v>46203</v>
      </c>
      <c r="K204" t="str">
        <f t="shared" ca="1" si="6"/>
        <v>Active</v>
      </c>
      <c r="L204" t="s">
        <v>12</v>
      </c>
    </row>
    <row r="205" spans="2:12" x14ac:dyDescent="0.35">
      <c r="B205" t="s">
        <v>266</v>
      </c>
      <c r="C205" t="s">
        <v>21</v>
      </c>
      <c r="D205" s="4" t="s">
        <v>40</v>
      </c>
      <c r="I205" s="5">
        <v>46023</v>
      </c>
      <c r="J205" s="5">
        <f t="shared" si="7"/>
        <v>46203</v>
      </c>
      <c r="K205" t="str">
        <f t="shared" ca="1" si="6"/>
        <v>Active</v>
      </c>
      <c r="L205" t="s">
        <v>12</v>
      </c>
    </row>
    <row r="206" spans="2:12" x14ac:dyDescent="0.35">
      <c r="B206" t="s">
        <v>267</v>
      </c>
      <c r="C206" t="s">
        <v>21</v>
      </c>
      <c r="D206" t="s">
        <v>16</v>
      </c>
      <c r="E206" t="s">
        <v>19</v>
      </c>
      <c r="I206" s="5">
        <v>46023</v>
      </c>
      <c r="J206" s="5">
        <f t="shared" si="7"/>
        <v>46203</v>
      </c>
      <c r="K206" t="str">
        <f t="shared" ca="1" si="6"/>
        <v>Active</v>
      </c>
      <c r="L206" t="s">
        <v>12</v>
      </c>
    </row>
    <row r="207" spans="2:12" x14ac:dyDescent="0.35">
      <c r="B207" t="s">
        <v>268</v>
      </c>
      <c r="C207" t="s">
        <v>21</v>
      </c>
      <c r="D207" t="s">
        <v>10</v>
      </c>
      <c r="E207" t="s">
        <v>36</v>
      </c>
      <c r="I207" s="5">
        <v>46024</v>
      </c>
      <c r="J207" s="5">
        <f t="shared" si="7"/>
        <v>46204</v>
      </c>
      <c r="K207" t="str">
        <f t="shared" ca="1" si="6"/>
        <v>Active</v>
      </c>
      <c r="L207" t="s">
        <v>63</v>
      </c>
    </row>
    <row r="208" spans="2:12" x14ac:dyDescent="0.35">
      <c r="B208" t="s">
        <v>269</v>
      </c>
      <c r="C208" t="s">
        <v>9</v>
      </c>
      <c r="D208" t="s">
        <v>23</v>
      </c>
      <c r="I208" s="5">
        <v>46024</v>
      </c>
      <c r="J208" s="5">
        <f t="shared" si="7"/>
        <v>46204</v>
      </c>
      <c r="K208" t="str">
        <f t="shared" ca="1" si="6"/>
        <v>Active</v>
      </c>
      <c r="L208" t="s">
        <v>12</v>
      </c>
    </row>
    <row r="209" spans="2:12" x14ac:dyDescent="0.35">
      <c r="B209" t="s">
        <v>270</v>
      </c>
      <c r="C209" t="s">
        <v>14</v>
      </c>
      <c r="D209" t="s">
        <v>16</v>
      </c>
      <c r="E209" t="s">
        <v>23</v>
      </c>
      <c r="I209" s="5">
        <v>46024</v>
      </c>
      <c r="J209" s="5">
        <f t="shared" si="7"/>
        <v>46204</v>
      </c>
      <c r="K209" t="str">
        <f t="shared" ca="1" si="6"/>
        <v>Active</v>
      </c>
      <c r="L209" t="s">
        <v>12</v>
      </c>
    </row>
    <row r="210" spans="2:12" x14ac:dyDescent="0.35">
      <c r="B210" t="s">
        <v>271</v>
      </c>
      <c r="C210" t="s">
        <v>9</v>
      </c>
      <c r="D210" t="s">
        <v>10</v>
      </c>
      <c r="E210" t="s">
        <v>26</v>
      </c>
      <c r="I210" s="5">
        <v>46024</v>
      </c>
      <c r="J210" s="5">
        <f t="shared" si="7"/>
        <v>46204</v>
      </c>
      <c r="K210" t="str">
        <f t="shared" ca="1" si="6"/>
        <v>Active</v>
      </c>
      <c r="L210" t="s">
        <v>12</v>
      </c>
    </row>
    <row r="211" spans="2:12" x14ac:dyDescent="0.35">
      <c r="B211" t="s">
        <v>272</v>
      </c>
      <c r="C211" t="s">
        <v>14</v>
      </c>
      <c r="D211" t="s">
        <v>10</v>
      </c>
      <c r="I211" s="5">
        <v>46024</v>
      </c>
      <c r="J211" s="5">
        <f t="shared" si="7"/>
        <v>46204</v>
      </c>
      <c r="K211" t="str">
        <f t="shared" ca="1" si="6"/>
        <v>Active</v>
      </c>
      <c r="L211" t="s">
        <v>12</v>
      </c>
    </row>
    <row r="212" spans="2:12" x14ac:dyDescent="0.35">
      <c r="B212" t="s">
        <v>273</v>
      </c>
      <c r="C212" t="s">
        <v>18</v>
      </c>
      <c r="D212" t="s">
        <v>29</v>
      </c>
      <c r="E212" t="s">
        <v>36</v>
      </c>
      <c r="F212" t="s">
        <v>61</v>
      </c>
      <c r="I212" s="5">
        <v>46026</v>
      </c>
      <c r="J212" s="5">
        <f t="shared" si="7"/>
        <v>46206</v>
      </c>
      <c r="K212" t="str">
        <f t="shared" ca="1" si="6"/>
        <v>Active</v>
      </c>
      <c r="L212" t="s">
        <v>12</v>
      </c>
    </row>
    <row r="213" spans="2:12" x14ac:dyDescent="0.35">
      <c r="B213" t="s">
        <v>274</v>
      </c>
      <c r="C213" t="s">
        <v>14</v>
      </c>
      <c r="D213" t="s">
        <v>10</v>
      </c>
      <c r="E213" t="s">
        <v>36</v>
      </c>
      <c r="I213" s="5">
        <v>46026</v>
      </c>
      <c r="J213" s="5">
        <f t="shared" si="7"/>
        <v>46206</v>
      </c>
      <c r="K213" t="str">
        <f t="shared" ca="1" si="6"/>
        <v>Active</v>
      </c>
      <c r="L213" t="s">
        <v>12</v>
      </c>
    </row>
    <row r="214" spans="2:12" x14ac:dyDescent="0.35">
      <c r="B214" t="s">
        <v>275</v>
      </c>
      <c r="C214" t="s">
        <v>21</v>
      </c>
      <c r="D214" t="s">
        <v>108</v>
      </c>
      <c r="E214" s="4" t="s">
        <v>263</v>
      </c>
      <c r="I214" s="5">
        <v>46027</v>
      </c>
      <c r="J214" s="5">
        <f t="shared" si="7"/>
        <v>46207</v>
      </c>
      <c r="K214" t="str">
        <f t="shared" ca="1" si="6"/>
        <v>Active</v>
      </c>
      <c r="L214" t="s">
        <v>12</v>
      </c>
    </row>
    <row r="215" spans="2:12" x14ac:dyDescent="0.35">
      <c r="B215" t="s">
        <v>276</v>
      </c>
      <c r="C215" t="s">
        <v>21</v>
      </c>
      <c r="D215" t="s">
        <v>277</v>
      </c>
      <c r="E215" t="s">
        <v>36</v>
      </c>
      <c r="I215" s="5">
        <v>46027</v>
      </c>
      <c r="J215" s="5">
        <f t="shared" si="7"/>
        <v>46207</v>
      </c>
      <c r="K215" t="str">
        <f t="shared" ca="1" si="6"/>
        <v>Active</v>
      </c>
      <c r="L215" t="s">
        <v>12</v>
      </c>
    </row>
    <row r="216" spans="2:12" x14ac:dyDescent="0.35">
      <c r="B216" t="s">
        <v>278</v>
      </c>
      <c r="C216" t="s">
        <v>28</v>
      </c>
      <c r="D216" t="s">
        <v>61</v>
      </c>
      <c r="I216" s="5">
        <v>46027</v>
      </c>
      <c r="J216" s="5">
        <f t="shared" si="7"/>
        <v>46207</v>
      </c>
      <c r="K216" t="str">
        <f t="shared" ca="1" si="6"/>
        <v>Active</v>
      </c>
      <c r="L216" t="s">
        <v>12</v>
      </c>
    </row>
    <row r="217" spans="2:12" x14ac:dyDescent="0.35">
      <c r="B217" t="s">
        <v>279</v>
      </c>
      <c r="C217" t="s">
        <v>42</v>
      </c>
      <c r="D217" t="s">
        <v>23</v>
      </c>
      <c r="I217" s="5">
        <v>46028</v>
      </c>
      <c r="J217" s="5">
        <f t="shared" si="7"/>
        <v>46208</v>
      </c>
      <c r="K217" t="str">
        <f t="shared" ca="1" si="6"/>
        <v>Active</v>
      </c>
      <c r="L217" t="s">
        <v>63</v>
      </c>
    </row>
    <row r="218" spans="2:12" x14ac:dyDescent="0.35">
      <c r="B218" t="s">
        <v>280</v>
      </c>
      <c r="C218" t="s">
        <v>42</v>
      </c>
      <c r="D218" t="s">
        <v>23</v>
      </c>
      <c r="E218" t="s">
        <v>29</v>
      </c>
      <c r="I218" s="5">
        <v>46028</v>
      </c>
      <c r="J218" s="5">
        <f t="shared" si="7"/>
        <v>46208</v>
      </c>
      <c r="K218" t="str">
        <f t="shared" ca="1" si="6"/>
        <v>Active</v>
      </c>
      <c r="L218" t="s">
        <v>12</v>
      </c>
    </row>
    <row r="219" spans="2:12" x14ac:dyDescent="0.35">
      <c r="B219" t="s">
        <v>281</v>
      </c>
      <c r="C219" t="s">
        <v>21</v>
      </c>
      <c r="D219" t="s">
        <v>23</v>
      </c>
      <c r="I219" s="5">
        <v>46029</v>
      </c>
      <c r="J219" s="5">
        <f t="shared" si="7"/>
        <v>46209</v>
      </c>
      <c r="K219" t="str">
        <f t="shared" ca="1" si="6"/>
        <v>Active</v>
      </c>
      <c r="L219" t="s">
        <v>12</v>
      </c>
    </row>
    <row r="220" spans="2:12" x14ac:dyDescent="0.35">
      <c r="B220" t="s">
        <v>282</v>
      </c>
      <c r="C220" t="s">
        <v>28</v>
      </c>
      <c r="D220" t="s">
        <v>43</v>
      </c>
      <c r="E220" t="s">
        <v>16</v>
      </c>
      <c r="I220" s="5">
        <v>46030</v>
      </c>
      <c r="J220" s="5">
        <f t="shared" si="7"/>
        <v>46210</v>
      </c>
      <c r="K220" t="str">
        <f t="shared" ca="1" si="6"/>
        <v>Active</v>
      </c>
      <c r="L220" t="s">
        <v>12</v>
      </c>
    </row>
    <row r="221" spans="2:12" x14ac:dyDescent="0.35">
      <c r="B221" t="s">
        <v>283</v>
      </c>
      <c r="C221" t="s">
        <v>28</v>
      </c>
      <c r="D221" t="s">
        <v>16</v>
      </c>
      <c r="E221" t="s">
        <v>26</v>
      </c>
      <c r="I221" s="5">
        <v>46030</v>
      </c>
      <c r="J221" s="5">
        <f t="shared" si="7"/>
        <v>46210</v>
      </c>
      <c r="K221" t="str">
        <f t="shared" ca="1" si="6"/>
        <v>Active</v>
      </c>
      <c r="L221" t="s">
        <v>12</v>
      </c>
    </row>
    <row r="222" spans="2:12" x14ac:dyDescent="0.35">
      <c r="B222" t="s">
        <v>284</v>
      </c>
      <c r="C222" t="s">
        <v>28</v>
      </c>
      <c r="D222" t="s">
        <v>10</v>
      </c>
      <c r="E222" t="s">
        <v>10</v>
      </c>
      <c r="I222" s="5">
        <v>46030</v>
      </c>
      <c r="J222" s="5">
        <f t="shared" si="7"/>
        <v>46210</v>
      </c>
      <c r="K222" t="str">
        <f t="shared" ca="1" si="6"/>
        <v>Active</v>
      </c>
      <c r="L222" t="s">
        <v>12</v>
      </c>
    </row>
    <row r="223" spans="2:12" x14ac:dyDescent="0.35">
      <c r="B223" t="s">
        <v>285</v>
      </c>
      <c r="C223" t="s">
        <v>21</v>
      </c>
      <c r="D223" s="4" t="s">
        <v>11</v>
      </c>
      <c r="E223" t="s">
        <v>10</v>
      </c>
      <c r="I223" s="5">
        <v>46031</v>
      </c>
      <c r="J223" s="5">
        <f t="shared" si="7"/>
        <v>46211</v>
      </c>
      <c r="K223" t="str">
        <f t="shared" ca="1" si="6"/>
        <v>Active</v>
      </c>
      <c r="L223" t="s">
        <v>12</v>
      </c>
    </row>
    <row r="224" spans="2:12" x14ac:dyDescent="0.35">
      <c r="B224" t="s">
        <v>286</v>
      </c>
      <c r="C224" t="s">
        <v>42</v>
      </c>
      <c r="D224" t="s">
        <v>47</v>
      </c>
      <c r="E224" t="s">
        <v>16</v>
      </c>
      <c r="I224" s="5">
        <v>46031</v>
      </c>
      <c r="J224" s="5">
        <f t="shared" si="7"/>
        <v>46211</v>
      </c>
      <c r="K224" t="str">
        <f t="shared" ca="1" si="6"/>
        <v>Active</v>
      </c>
      <c r="L224" t="s">
        <v>12</v>
      </c>
    </row>
    <row r="225" spans="2:12" x14ac:dyDescent="0.35">
      <c r="B225" t="s">
        <v>287</v>
      </c>
      <c r="C225" t="s">
        <v>21</v>
      </c>
      <c r="D225" t="s">
        <v>61</v>
      </c>
      <c r="I225" s="5">
        <v>46031</v>
      </c>
      <c r="J225" s="5">
        <f t="shared" si="7"/>
        <v>46211</v>
      </c>
      <c r="K225" t="str">
        <f t="shared" ca="1" si="6"/>
        <v>Active</v>
      </c>
      <c r="L225" t="s">
        <v>12</v>
      </c>
    </row>
    <row r="226" spans="2:12" x14ac:dyDescent="0.35">
      <c r="B226" t="s">
        <v>288</v>
      </c>
      <c r="C226" t="s">
        <v>28</v>
      </c>
      <c r="D226" t="s">
        <v>16</v>
      </c>
      <c r="E226" t="s">
        <v>90</v>
      </c>
      <c r="I226" s="5">
        <v>46031</v>
      </c>
      <c r="J226" s="5">
        <f t="shared" si="7"/>
        <v>46211</v>
      </c>
      <c r="K226" t="str">
        <f t="shared" ca="1" si="6"/>
        <v>Active</v>
      </c>
      <c r="L226" t="s">
        <v>12</v>
      </c>
    </row>
    <row r="227" spans="2:12" x14ac:dyDescent="0.35">
      <c r="B227" t="s">
        <v>289</v>
      </c>
      <c r="C227" t="s">
        <v>136</v>
      </c>
      <c r="D227" t="s">
        <v>29</v>
      </c>
      <c r="E227" t="s">
        <v>16</v>
      </c>
      <c r="F227" s="4" t="s">
        <v>11</v>
      </c>
      <c r="I227" s="5">
        <v>46034</v>
      </c>
      <c r="J227" s="5">
        <f t="shared" si="7"/>
        <v>46214</v>
      </c>
      <c r="K227" t="str">
        <f t="shared" ca="1" si="6"/>
        <v>Active</v>
      </c>
      <c r="L227" t="s">
        <v>12</v>
      </c>
    </row>
    <row r="228" spans="2:12" x14ac:dyDescent="0.35">
      <c r="B228" t="s">
        <v>290</v>
      </c>
      <c r="C228" s="3" t="s">
        <v>14</v>
      </c>
      <c r="D228" t="s">
        <v>112</v>
      </c>
      <c r="I228" s="5">
        <v>46034</v>
      </c>
      <c r="J228" s="5">
        <f t="shared" si="7"/>
        <v>46214</v>
      </c>
      <c r="K228" t="str">
        <f t="shared" ca="1" si="6"/>
        <v>Active</v>
      </c>
      <c r="L228" t="s">
        <v>12</v>
      </c>
    </row>
    <row r="229" spans="2:12" x14ac:dyDescent="0.35">
      <c r="B229" t="s">
        <v>291</v>
      </c>
      <c r="C229" t="s">
        <v>136</v>
      </c>
      <c r="D229" t="s">
        <v>16</v>
      </c>
      <c r="E229" t="s">
        <v>34</v>
      </c>
      <c r="I229" s="5">
        <v>46034</v>
      </c>
      <c r="J229" s="5">
        <f t="shared" si="7"/>
        <v>46214</v>
      </c>
      <c r="K229" t="str">
        <f t="shared" ca="1" si="6"/>
        <v>Active</v>
      </c>
      <c r="L229" t="s">
        <v>12</v>
      </c>
    </row>
    <row r="230" spans="2:12" x14ac:dyDescent="0.35">
      <c r="B230" t="s">
        <v>292</v>
      </c>
      <c r="C230" t="s">
        <v>21</v>
      </c>
      <c r="D230" s="4" t="s">
        <v>11</v>
      </c>
      <c r="I230" s="5">
        <v>46034</v>
      </c>
      <c r="J230" s="5">
        <f t="shared" si="7"/>
        <v>46214</v>
      </c>
      <c r="K230" t="str">
        <f t="shared" ca="1" si="6"/>
        <v>Active</v>
      </c>
      <c r="L230" t="s">
        <v>12</v>
      </c>
    </row>
    <row r="231" spans="2:12" x14ac:dyDescent="0.35">
      <c r="B231" t="s">
        <v>293</v>
      </c>
      <c r="C231" s="3" t="s">
        <v>14</v>
      </c>
      <c r="D231" t="s">
        <v>36</v>
      </c>
      <c r="I231" s="5">
        <v>46034</v>
      </c>
      <c r="J231" s="5">
        <f t="shared" si="7"/>
        <v>46214</v>
      </c>
      <c r="K231" t="str">
        <f t="shared" ca="1" si="6"/>
        <v>Active</v>
      </c>
      <c r="L231" t="s">
        <v>12</v>
      </c>
    </row>
    <row r="232" spans="2:12" x14ac:dyDescent="0.35">
      <c r="B232" t="s">
        <v>294</v>
      </c>
      <c r="C232" t="s">
        <v>28</v>
      </c>
      <c r="D232" t="s">
        <v>23</v>
      </c>
      <c r="E232" s="4" t="s">
        <v>11</v>
      </c>
      <c r="I232" s="5">
        <v>46034</v>
      </c>
      <c r="J232" s="5">
        <f t="shared" si="7"/>
        <v>46214</v>
      </c>
      <c r="K232" t="str">
        <f t="shared" ca="1" si="6"/>
        <v>Active</v>
      </c>
      <c r="L232" t="s">
        <v>12</v>
      </c>
    </row>
    <row r="233" spans="2:12" x14ac:dyDescent="0.35">
      <c r="B233" t="s">
        <v>295</v>
      </c>
      <c r="C233" t="s">
        <v>42</v>
      </c>
      <c r="D233" t="s">
        <v>96</v>
      </c>
      <c r="E233" t="s">
        <v>16</v>
      </c>
      <c r="I233" s="5">
        <v>46035</v>
      </c>
      <c r="J233" s="5">
        <f t="shared" si="7"/>
        <v>46215</v>
      </c>
      <c r="K233" t="str">
        <f t="shared" ca="1" si="6"/>
        <v>Active</v>
      </c>
      <c r="L233" t="s">
        <v>12</v>
      </c>
    </row>
    <row r="234" spans="2:12" x14ac:dyDescent="0.35">
      <c r="B234" t="s">
        <v>296</v>
      </c>
      <c r="C234" t="s">
        <v>28</v>
      </c>
      <c r="D234" t="s">
        <v>10</v>
      </c>
      <c r="E234" t="s">
        <v>90</v>
      </c>
      <c r="I234" s="5">
        <v>46035</v>
      </c>
      <c r="J234" s="5">
        <f t="shared" si="7"/>
        <v>46215</v>
      </c>
      <c r="K234" t="str">
        <f t="shared" ca="1" si="6"/>
        <v>Active</v>
      </c>
      <c r="L234" t="s">
        <v>12</v>
      </c>
    </row>
    <row r="235" spans="2:12" x14ac:dyDescent="0.35">
      <c r="B235" t="s">
        <v>297</v>
      </c>
      <c r="C235" t="s">
        <v>42</v>
      </c>
      <c r="D235" t="s">
        <v>74</v>
      </c>
      <c r="I235" s="5">
        <v>46035</v>
      </c>
      <c r="J235" s="5">
        <f t="shared" si="7"/>
        <v>46215</v>
      </c>
      <c r="K235" t="str">
        <f t="shared" ca="1" si="6"/>
        <v>Active</v>
      </c>
      <c r="L235" t="s">
        <v>12</v>
      </c>
    </row>
    <row r="236" spans="2:12" x14ac:dyDescent="0.35">
      <c r="B236" t="s">
        <v>298</v>
      </c>
      <c r="C236" t="s">
        <v>21</v>
      </c>
      <c r="D236" t="s">
        <v>10</v>
      </c>
      <c r="I236" s="5">
        <v>46035</v>
      </c>
      <c r="J236" s="5">
        <f t="shared" si="7"/>
        <v>46215</v>
      </c>
      <c r="K236" t="str">
        <f t="shared" ca="1" si="6"/>
        <v>Active</v>
      </c>
      <c r="L236" t="s">
        <v>12</v>
      </c>
    </row>
    <row r="237" spans="2:12" x14ac:dyDescent="0.35">
      <c r="B237" t="s">
        <v>299</v>
      </c>
      <c r="C237" t="s">
        <v>21</v>
      </c>
      <c r="D237" t="s">
        <v>34</v>
      </c>
      <c r="I237" s="5">
        <v>46035</v>
      </c>
      <c r="J237" s="5">
        <f t="shared" si="7"/>
        <v>46215</v>
      </c>
      <c r="K237" t="str">
        <f t="shared" ca="1" si="6"/>
        <v>Active</v>
      </c>
      <c r="L237" t="s">
        <v>12</v>
      </c>
    </row>
    <row r="238" spans="2:12" x14ac:dyDescent="0.35">
      <c r="B238" t="s">
        <v>300</v>
      </c>
      <c r="C238" s="3" t="s">
        <v>14</v>
      </c>
      <c r="D238" t="s">
        <v>16</v>
      </c>
      <c r="E238" s="4" t="s">
        <v>132</v>
      </c>
      <c r="I238" s="5">
        <v>46035</v>
      </c>
      <c r="J238" s="5">
        <f t="shared" si="7"/>
        <v>46215</v>
      </c>
      <c r="K238" t="str">
        <f t="shared" ca="1" si="6"/>
        <v>Active</v>
      </c>
      <c r="L238" t="s">
        <v>12</v>
      </c>
    </row>
    <row r="239" spans="2:12" x14ac:dyDescent="0.35">
      <c r="B239" t="s">
        <v>301</v>
      </c>
      <c r="C239" t="s">
        <v>21</v>
      </c>
      <c r="D239" t="s">
        <v>277</v>
      </c>
      <c r="E239" t="s">
        <v>10</v>
      </c>
      <c r="F239" t="s">
        <v>34</v>
      </c>
      <c r="I239" s="5">
        <v>46035</v>
      </c>
      <c r="J239" s="5">
        <f t="shared" si="7"/>
        <v>46215</v>
      </c>
      <c r="K239" t="str">
        <f t="shared" ca="1" si="6"/>
        <v>Active</v>
      </c>
      <c r="L239" t="s">
        <v>63</v>
      </c>
    </row>
    <row r="240" spans="2:12" x14ac:dyDescent="0.35">
      <c r="B240" t="s">
        <v>302</v>
      </c>
      <c r="C240" s="3" t="s">
        <v>14</v>
      </c>
      <c r="D240" t="s">
        <v>23</v>
      </c>
      <c r="E240" t="s">
        <v>96</v>
      </c>
      <c r="I240" s="5">
        <v>46036</v>
      </c>
      <c r="J240" s="5">
        <f t="shared" si="7"/>
        <v>46216</v>
      </c>
      <c r="K240" t="str">
        <f t="shared" ca="1" si="6"/>
        <v>Active</v>
      </c>
      <c r="L240" t="s">
        <v>12</v>
      </c>
    </row>
    <row r="241" spans="2:12" x14ac:dyDescent="0.35">
      <c r="B241" t="s">
        <v>303</v>
      </c>
      <c r="C241" t="s">
        <v>42</v>
      </c>
      <c r="D241" t="s">
        <v>50</v>
      </c>
      <c r="I241" s="5">
        <v>46036</v>
      </c>
      <c r="J241" s="5">
        <f t="shared" si="7"/>
        <v>46216</v>
      </c>
      <c r="K241" t="str">
        <f t="shared" ca="1" si="6"/>
        <v>Active</v>
      </c>
      <c r="L241" t="s">
        <v>12</v>
      </c>
    </row>
    <row r="242" spans="2:12" x14ac:dyDescent="0.35">
      <c r="B242" t="s">
        <v>304</v>
      </c>
      <c r="C242" t="s">
        <v>42</v>
      </c>
      <c r="D242" t="s">
        <v>123</v>
      </c>
      <c r="E242" t="s">
        <v>16</v>
      </c>
      <c r="I242" s="5">
        <v>46036</v>
      </c>
      <c r="J242" s="5">
        <f t="shared" si="7"/>
        <v>46216</v>
      </c>
      <c r="K242" t="str">
        <f t="shared" ca="1" si="6"/>
        <v>Active</v>
      </c>
      <c r="L242" t="s">
        <v>12</v>
      </c>
    </row>
    <row r="243" spans="2:12" x14ac:dyDescent="0.35">
      <c r="B243" t="s">
        <v>305</v>
      </c>
      <c r="C243" t="s">
        <v>21</v>
      </c>
      <c r="D243" t="s">
        <v>61</v>
      </c>
      <c r="I243" s="5">
        <v>46038</v>
      </c>
      <c r="J243" s="5">
        <f t="shared" si="7"/>
        <v>46218</v>
      </c>
      <c r="K243" t="str">
        <f t="shared" ca="1" si="6"/>
        <v>Active</v>
      </c>
      <c r="L243" t="s">
        <v>12</v>
      </c>
    </row>
    <row r="244" spans="2:12" x14ac:dyDescent="0.35">
      <c r="B244" t="s">
        <v>306</v>
      </c>
      <c r="C244" t="s">
        <v>28</v>
      </c>
      <c r="D244" t="s">
        <v>90</v>
      </c>
      <c r="I244" s="5">
        <v>46038</v>
      </c>
      <c r="J244" s="5">
        <f t="shared" si="7"/>
        <v>46218</v>
      </c>
      <c r="K244" t="str">
        <f t="shared" ca="1" si="6"/>
        <v>Active</v>
      </c>
      <c r="L244" t="s">
        <v>12</v>
      </c>
    </row>
    <row r="245" spans="2:12" x14ac:dyDescent="0.35">
      <c r="B245" t="s">
        <v>307</v>
      </c>
      <c r="C245" t="s">
        <v>21</v>
      </c>
      <c r="D245" t="s">
        <v>23</v>
      </c>
      <c r="I245" s="5">
        <v>46038</v>
      </c>
      <c r="J245" s="5">
        <f t="shared" si="7"/>
        <v>46218</v>
      </c>
      <c r="K245" t="str">
        <f t="shared" ca="1" si="6"/>
        <v>Active</v>
      </c>
      <c r="L245" t="s">
        <v>12</v>
      </c>
    </row>
    <row r="246" spans="2:12" x14ac:dyDescent="0.35">
      <c r="B246" t="s">
        <v>308</v>
      </c>
      <c r="C246" t="s">
        <v>42</v>
      </c>
      <c r="D246" t="s">
        <v>61</v>
      </c>
      <c r="E246" s="4" t="s">
        <v>125</v>
      </c>
      <c r="I246" s="5">
        <v>46038</v>
      </c>
      <c r="J246" s="5">
        <f t="shared" si="7"/>
        <v>46218</v>
      </c>
      <c r="K246" t="str">
        <f t="shared" ca="1" si="6"/>
        <v>Active</v>
      </c>
      <c r="L246" t="s">
        <v>12</v>
      </c>
    </row>
    <row r="247" spans="2:12" x14ac:dyDescent="0.35">
      <c r="B247" t="s">
        <v>309</v>
      </c>
      <c r="C247" t="s">
        <v>28</v>
      </c>
      <c r="D247" t="s">
        <v>10</v>
      </c>
      <c r="I247" s="5">
        <v>46038</v>
      </c>
      <c r="J247" s="5">
        <f t="shared" si="7"/>
        <v>46218</v>
      </c>
      <c r="K247" t="str">
        <f t="shared" ca="1" si="6"/>
        <v>Active</v>
      </c>
      <c r="L247" t="s">
        <v>12</v>
      </c>
    </row>
    <row r="248" spans="2:12" x14ac:dyDescent="0.35">
      <c r="B248" t="s">
        <v>310</v>
      </c>
      <c r="C248" t="s">
        <v>21</v>
      </c>
      <c r="D248" t="s">
        <v>19</v>
      </c>
      <c r="I248" s="5">
        <v>46038</v>
      </c>
      <c r="J248" s="5">
        <f t="shared" si="7"/>
        <v>46218</v>
      </c>
      <c r="K248" t="str">
        <f t="shared" ca="1" si="6"/>
        <v>Active</v>
      </c>
      <c r="L248" t="s">
        <v>12</v>
      </c>
    </row>
    <row r="249" spans="2:12" x14ac:dyDescent="0.35">
      <c r="B249" t="s">
        <v>311</v>
      </c>
      <c r="C249" t="s">
        <v>28</v>
      </c>
      <c r="D249" t="s">
        <v>10</v>
      </c>
      <c r="I249" s="5">
        <v>46038</v>
      </c>
      <c r="J249" s="5">
        <f t="shared" si="7"/>
        <v>46218</v>
      </c>
      <c r="K249" t="str">
        <f t="shared" ca="1" si="6"/>
        <v>Active</v>
      </c>
      <c r="L249" t="s">
        <v>12</v>
      </c>
    </row>
    <row r="250" spans="2:12" x14ac:dyDescent="0.35">
      <c r="B250" t="s">
        <v>312</v>
      </c>
      <c r="C250" t="s">
        <v>42</v>
      </c>
      <c r="D250" t="s">
        <v>43</v>
      </c>
      <c r="E250" t="s">
        <v>16</v>
      </c>
      <c r="F250" t="s">
        <v>54</v>
      </c>
      <c r="I250" s="5">
        <v>46038</v>
      </c>
      <c r="J250" s="5">
        <f t="shared" si="7"/>
        <v>46218</v>
      </c>
      <c r="K250" t="str">
        <f t="shared" ca="1" si="6"/>
        <v>Active</v>
      </c>
      <c r="L250" t="s">
        <v>12</v>
      </c>
    </row>
    <row r="251" spans="2:12" x14ac:dyDescent="0.35">
      <c r="B251" t="s">
        <v>313</v>
      </c>
      <c r="C251" t="s">
        <v>42</v>
      </c>
      <c r="D251" t="s">
        <v>23</v>
      </c>
      <c r="I251" s="5">
        <v>46038</v>
      </c>
      <c r="J251" s="5">
        <f t="shared" si="7"/>
        <v>46218</v>
      </c>
      <c r="K251" t="str">
        <f t="shared" ca="1" si="6"/>
        <v>Active</v>
      </c>
      <c r="L251" t="s">
        <v>12</v>
      </c>
    </row>
    <row r="252" spans="2:12" x14ac:dyDescent="0.35">
      <c r="B252" t="s">
        <v>314</v>
      </c>
      <c r="C252" s="8" t="s">
        <v>21</v>
      </c>
      <c r="D252" t="s">
        <v>10</v>
      </c>
      <c r="E252" t="s">
        <v>153</v>
      </c>
      <c r="I252" s="5">
        <v>46040</v>
      </c>
      <c r="J252" s="5">
        <f t="shared" si="7"/>
        <v>46220</v>
      </c>
      <c r="K252" t="str">
        <f t="shared" ca="1" si="6"/>
        <v>Active</v>
      </c>
      <c r="L252" t="s">
        <v>12</v>
      </c>
    </row>
    <row r="253" spans="2:12" x14ac:dyDescent="0.35">
      <c r="B253" t="s">
        <v>315</v>
      </c>
      <c r="C253" t="s">
        <v>42</v>
      </c>
      <c r="D253" t="s">
        <v>47</v>
      </c>
      <c r="E253" t="s">
        <v>23</v>
      </c>
      <c r="I253" s="5">
        <v>46040</v>
      </c>
      <c r="J253" s="5">
        <f t="shared" si="7"/>
        <v>46220</v>
      </c>
      <c r="K253" t="str">
        <f t="shared" ca="1" si="6"/>
        <v>Active</v>
      </c>
      <c r="L253" t="s">
        <v>12</v>
      </c>
    </row>
    <row r="254" spans="2:12" x14ac:dyDescent="0.35">
      <c r="B254" t="s">
        <v>316</v>
      </c>
      <c r="C254" t="s">
        <v>21</v>
      </c>
      <c r="D254" t="s">
        <v>10</v>
      </c>
      <c r="I254" s="5">
        <v>46041</v>
      </c>
      <c r="J254" s="5">
        <f t="shared" si="7"/>
        <v>46221</v>
      </c>
      <c r="K254" t="str">
        <f t="shared" ca="1" si="6"/>
        <v>Active</v>
      </c>
      <c r="L254" t="s">
        <v>12</v>
      </c>
    </row>
    <row r="255" spans="2:12" x14ac:dyDescent="0.35">
      <c r="B255" t="s">
        <v>317</v>
      </c>
      <c r="C255" t="s">
        <v>21</v>
      </c>
      <c r="D255" t="s">
        <v>16</v>
      </c>
      <c r="E255" t="s">
        <v>10</v>
      </c>
      <c r="I255" s="5">
        <v>46041</v>
      </c>
      <c r="J255" s="5">
        <f t="shared" si="7"/>
        <v>46221</v>
      </c>
      <c r="K255" t="str">
        <f t="shared" ca="1" si="6"/>
        <v>Active</v>
      </c>
      <c r="L255" t="s">
        <v>12</v>
      </c>
    </row>
    <row r="256" spans="2:12" x14ac:dyDescent="0.35">
      <c r="B256" t="s">
        <v>318</v>
      </c>
      <c r="C256" s="3" t="s">
        <v>14</v>
      </c>
      <c r="D256" t="s">
        <v>16</v>
      </c>
      <c r="E256" t="s">
        <v>123</v>
      </c>
      <c r="I256" s="5">
        <v>46041</v>
      </c>
      <c r="J256" s="5">
        <f t="shared" si="7"/>
        <v>46221</v>
      </c>
      <c r="K256" t="str">
        <f t="shared" ca="1" si="6"/>
        <v>Active</v>
      </c>
      <c r="L256" t="s">
        <v>12</v>
      </c>
    </row>
    <row r="257" spans="2:12" x14ac:dyDescent="0.35">
      <c r="B257" t="s">
        <v>319</v>
      </c>
      <c r="C257" t="s">
        <v>28</v>
      </c>
      <c r="D257" t="s">
        <v>16</v>
      </c>
      <c r="E257" t="s">
        <v>47</v>
      </c>
      <c r="I257" s="5">
        <v>46041</v>
      </c>
      <c r="J257" s="5">
        <f t="shared" si="7"/>
        <v>46221</v>
      </c>
      <c r="K257" t="str">
        <f t="shared" ca="1" si="6"/>
        <v>Active</v>
      </c>
      <c r="L257" t="s">
        <v>12</v>
      </c>
    </row>
    <row r="258" spans="2:12" x14ac:dyDescent="0.35">
      <c r="B258" t="s">
        <v>320</v>
      </c>
      <c r="C258" s="3" t="s">
        <v>14</v>
      </c>
      <c r="D258" t="s">
        <v>23</v>
      </c>
      <c r="E258" s="4" t="s">
        <v>125</v>
      </c>
      <c r="I258" s="5">
        <v>46041</v>
      </c>
      <c r="J258" s="5">
        <f t="shared" si="7"/>
        <v>46221</v>
      </c>
      <c r="K258" t="str">
        <f t="shared" ca="1" si="6"/>
        <v>Active</v>
      </c>
      <c r="L258" t="s">
        <v>12</v>
      </c>
    </row>
    <row r="259" spans="2:12" x14ac:dyDescent="0.35">
      <c r="B259" t="s">
        <v>321</v>
      </c>
      <c r="C259" t="s">
        <v>9</v>
      </c>
      <c r="D259" t="s">
        <v>16</v>
      </c>
      <c r="I259" s="5">
        <v>46041</v>
      </c>
      <c r="J259" s="5">
        <f t="shared" si="7"/>
        <v>46221</v>
      </c>
      <c r="K259" t="str">
        <f t="shared" ca="1" si="6"/>
        <v>Active</v>
      </c>
      <c r="L259" t="s">
        <v>12</v>
      </c>
    </row>
    <row r="260" spans="2:12" x14ac:dyDescent="0.35">
      <c r="B260" t="s">
        <v>322</v>
      </c>
      <c r="C260" t="s">
        <v>21</v>
      </c>
      <c r="D260" t="s">
        <v>10</v>
      </c>
      <c r="I260" s="5">
        <v>46042</v>
      </c>
      <c r="J260" s="5">
        <f t="shared" si="7"/>
        <v>46222</v>
      </c>
      <c r="K260" t="str">
        <f t="shared" ca="1" si="6"/>
        <v>Active</v>
      </c>
      <c r="L260" t="s">
        <v>12</v>
      </c>
    </row>
    <row r="261" spans="2:12" x14ac:dyDescent="0.35">
      <c r="B261" t="s">
        <v>323</v>
      </c>
      <c r="C261" t="s">
        <v>42</v>
      </c>
      <c r="D261" t="s">
        <v>96</v>
      </c>
      <c r="E261" t="s">
        <v>16</v>
      </c>
      <c r="I261" s="5">
        <v>46042</v>
      </c>
      <c r="J261" s="5">
        <f t="shared" ref="J261:J324" si="8">EDATE(I261,6)-1</f>
        <v>46222</v>
      </c>
      <c r="K261" t="str">
        <f t="shared" ca="1" si="6"/>
        <v>Active</v>
      </c>
      <c r="L261" t="s">
        <v>63</v>
      </c>
    </row>
    <row r="262" spans="2:12" x14ac:dyDescent="0.35">
      <c r="B262" t="s">
        <v>324</v>
      </c>
      <c r="C262" t="s">
        <v>21</v>
      </c>
      <c r="D262" s="4" t="s">
        <v>186</v>
      </c>
      <c r="I262" s="5">
        <v>46042</v>
      </c>
      <c r="J262" s="5">
        <f t="shared" si="8"/>
        <v>46222</v>
      </c>
      <c r="K262" t="str">
        <f t="shared" ca="1" si="6"/>
        <v>Active</v>
      </c>
      <c r="L262" t="s">
        <v>12</v>
      </c>
    </row>
    <row r="263" spans="2:12" x14ac:dyDescent="0.35">
      <c r="B263" t="s">
        <v>325</v>
      </c>
      <c r="C263" t="s">
        <v>42</v>
      </c>
      <c r="D263" t="s">
        <v>10</v>
      </c>
      <c r="E263" s="4" t="s">
        <v>147</v>
      </c>
      <c r="I263" s="5">
        <v>46043</v>
      </c>
      <c r="J263" s="5">
        <f t="shared" si="8"/>
        <v>46223</v>
      </c>
      <c r="K263" t="str">
        <f t="shared" ca="1" si="6"/>
        <v>Active</v>
      </c>
      <c r="L263" t="s">
        <v>12</v>
      </c>
    </row>
    <row r="264" spans="2:12" x14ac:dyDescent="0.35">
      <c r="B264" t="s">
        <v>326</v>
      </c>
      <c r="C264" t="s">
        <v>42</v>
      </c>
      <c r="D264" t="s">
        <v>26</v>
      </c>
      <c r="I264" s="5">
        <v>46043</v>
      </c>
      <c r="J264" s="5">
        <f t="shared" si="8"/>
        <v>46223</v>
      </c>
      <c r="K264" t="str">
        <f t="shared" ca="1" si="6"/>
        <v>Active</v>
      </c>
      <c r="L264" t="s">
        <v>12</v>
      </c>
    </row>
    <row r="265" spans="2:12" x14ac:dyDescent="0.35">
      <c r="B265" t="s">
        <v>327</v>
      </c>
      <c r="C265" t="s">
        <v>14</v>
      </c>
      <c r="D265" s="4" t="s">
        <v>56</v>
      </c>
      <c r="I265" s="5">
        <v>46044</v>
      </c>
      <c r="J265" s="5">
        <f t="shared" si="8"/>
        <v>46224</v>
      </c>
      <c r="K265" t="str">
        <f t="shared" ca="1" si="6"/>
        <v>Active</v>
      </c>
      <c r="L265" t="s">
        <v>12</v>
      </c>
    </row>
    <row r="266" spans="2:12" x14ac:dyDescent="0.35">
      <c r="B266" t="s">
        <v>328</v>
      </c>
      <c r="C266" t="s">
        <v>42</v>
      </c>
      <c r="D266" t="s">
        <v>19</v>
      </c>
      <c r="I266" s="5">
        <v>46044</v>
      </c>
      <c r="J266" s="5">
        <f t="shared" si="8"/>
        <v>46224</v>
      </c>
      <c r="K266" t="str">
        <f t="shared" ca="1" si="6"/>
        <v>Active</v>
      </c>
      <c r="L266" t="s">
        <v>12</v>
      </c>
    </row>
    <row r="267" spans="2:12" x14ac:dyDescent="0.35">
      <c r="B267" t="s">
        <v>329</v>
      </c>
      <c r="C267" t="s">
        <v>21</v>
      </c>
      <c r="D267" t="s">
        <v>16</v>
      </c>
      <c r="I267" s="5">
        <v>46045</v>
      </c>
      <c r="J267" s="5">
        <f t="shared" si="8"/>
        <v>46225</v>
      </c>
      <c r="K267" t="str">
        <f t="shared" ca="1" si="6"/>
        <v>Active</v>
      </c>
      <c r="L267" t="s">
        <v>12</v>
      </c>
    </row>
    <row r="268" spans="2:12" x14ac:dyDescent="0.35">
      <c r="B268" t="s">
        <v>330</v>
      </c>
      <c r="C268" t="s">
        <v>14</v>
      </c>
      <c r="D268" t="s">
        <v>36</v>
      </c>
      <c r="I268" s="5">
        <v>46045</v>
      </c>
      <c r="J268" s="5">
        <f t="shared" si="8"/>
        <v>46225</v>
      </c>
      <c r="K268" t="str">
        <f t="shared" ca="1" si="6"/>
        <v>Active</v>
      </c>
      <c r="L268" t="s">
        <v>12</v>
      </c>
    </row>
    <row r="269" spans="2:12" x14ac:dyDescent="0.35">
      <c r="B269" t="s">
        <v>331</v>
      </c>
      <c r="C269" t="s">
        <v>42</v>
      </c>
      <c r="D269" t="s">
        <v>43</v>
      </c>
      <c r="E269" t="s">
        <v>23</v>
      </c>
      <c r="I269" s="5">
        <v>46045</v>
      </c>
      <c r="J269" s="5">
        <f t="shared" si="8"/>
        <v>46225</v>
      </c>
      <c r="K269" t="str">
        <f t="shared" ca="1" si="6"/>
        <v>Active</v>
      </c>
      <c r="L269" t="s">
        <v>12</v>
      </c>
    </row>
    <row r="270" spans="2:12" x14ac:dyDescent="0.35">
      <c r="B270" t="s">
        <v>332</v>
      </c>
      <c r="C270" t="s">
        <v>42</v>
      </c>
      <c r="D270" s="4" t="s">
        <v>81</v>
      </c>
      <c r="I270" s="5">
        <v>46047</v>
      </c>
      <c r="J270" s="5">
        <f t="shared" si="8"/>
        <v>46227</v>
      </c>
      <c r="K270" t="str">
        <f t="shared" ca="1" si="6"/>
        <v>Active</v>
      </c>
      <c r="L270" t="s">
        <v>12</v>
      </c>
    </row>
    <row r="271" spans="2:12" x14ac:dyDescent="0.35">
      <c r="B271" t="s">
        <v>333</v>
      </c>
      <c r="C271" t="s">
        <v>21</v>
      </c>
      <c r="D271" s="4" t="s">
        <v>334</v>
      </c>
      <c r="I271" s="5">
        <v>46048</v>
      </c>
      <c r="J271" s="5">
        <f t="shared" si="8"/>
        <v>46228</v>
      </c>
      <c r="K271" t="str">
        <f t="shared" ca="1" si="6"/>
        <v>Active</v>
      </c>
      <c r="L271" t="s">
        <v>12</v>
      </c>
    </row>
    <row r="272" spans="2:12" x14ac:dyDescent="0.35">
      <c r="B272" t="s">
        <v>335</v>
      </c>
      <c r="C272" t="s">
        <v>136</v>
      </c>
      <c r="D272" s="4" t="s">
        <v>153</v>
      </c>
      <c r="I272" s="5">
        <v>46048</v>
      </c>
      <c r="J272" s="5">
        <f t="shared" si="8"/>
        <v>46228</v>
      </c>
      <c r="K272" t="str">
        <f t="shared" ca="1" si="6"/>
        <v>Active</v>
      </c>
      <c r="L272" t="s">
        <v>12</v>
      </c>
    </row>
    <row r="273" spans="2:12" x14ac:dyDescent="0.35">
      <c r="B273" t="s">
        <v>336</v>
      </c>
      <c r="C273" t="s">
        <v>28</v>
      </c>
      <c r="D273" t="s">
        <v>47</v>
      </c>
      <c r="E273" t="s">
        <v>16</v>
      </c>
      <c r="I273" s="5">
        <v>46048</v>
      </c>
      <c r="J273" s="5">
        <f t="shared" si="8"/>
        <v>46228</v>
      </c>
      <c r="K273" t="str">
        <f t="shared" ca="1" si="6"/>
        <v>Active</v>
      </c>
      <c r="L273" t="s">
        <v>12</v>
      </c>
    </row>
    <row r="274" spans="2:12" x14ac:dyDescent="0.35">
      <c r="B274" t="s">
        <v>337</v>
      </c>
      <c r="C274" t="s">
        <v>42</v>
      </c>
      <c r="D274" t="s">
        <v>112</v>
      </c>
      <c r="E274" t="s">
        <v>50</v>
      </c>
      <c r="I274" s="5">
        <v>46048</v>
      </c>
      <c r="J274" s="5">
        <f t="shared" si="8"/>
        <v>46228</v>
      </c>
      <c r="K274" t="str">
        <f t="shared" ca="1" si="6"/>
        <v>Active</v>
      </c>
      <c r="L274" t="s">
        <v>12</v>
      </c>
    </row>
    <row r="275" spans="2:12" x14ac:dyDescent="0.35">
      <c r="B275" t="s">
        <v>338</v>
      </c>
      <c r="C275" t="s">
        <v>339</v>
      </c>
      <c r="D275" t="s">
        <v>16</v>
      </c>
      <c r="E275" t="s">
        <v>10</v>
      </c>
      <c r="I275" s="5">
        <v>46048</v>
      </c>
      <c r="J275" s="5">
        <f t="shared" si="8"/>
        <v>46228</v>
      </c>
      <c r="K275" t="str">
        <f t="shared" ca="1" si="6"/>
        <v>Active</v>
      </c>
      <c r="L275" t="s">
        <v>12</v>
      </c>
    </row>
    <row r="276" spans="2:12" x14ac:dyDescent="0.35">
      <c r="B276" t="s">
        <v>340</v>
      </c>
      <c r="C276" t="s">
        <v>85</v>
      </c>
      <c r="D276" t="s">
        <v>97</v>
      </c>
      <c r="E276" t="s">
        <v>43</v>
      </c>
      <c r="F276" t="s">
        <v>26</v>
      </c>
      <c r="I276" s="5">
        <v>46048</v>
      </c>
      <c r="J276" s="5">
        <f t="shared" si="8"/>
        <v>46228</v>
      </c>
      <c r="K276" t="str">
        <f t="shared" ca="1" si="6"/>
        <v>Active</v>
      </c>
      <c r="L276" t="s">
        <v>12</v>
      </c>
    </row>
    <row r="277" spans="2:12" x14ac:dyDescent="0.35">
      <c r="B277" t="s">
        <v>341</v>
      </c>
      <c r="C277" t="s">
        <v>21</v>
      </c>
      <c r="D277" s="4" t="s">
        <v>153</v>
      </c>
      <c r="I277" s="5">
        <v>46048</v>
      </c>
      <c r="J277" s="5">
        <f t="shared" si="8"/>
        <v>46228</v>
      </c>
      <c r="K277" t="str">
        <f t="shared" ca="1" si="6"/>
        <v>Active</v>
      </c>
      <c r="L277" t="s">
        <v>12</v>
      </c>
    </row>
    <row r="278" spans="2:12" x14ac:dyDescent="0.35">
      <c r="B278" t="s">
        <v>342</v>
      </c>
      <c r="C278" t="s">
        <v>18</v>
      </c>
      <c r="D278" t="s">
        <v>36</v>
      </c>
      <c r="I278" s="5">
        <v>46048</v>
      </c>
      <c r="J278" s="5">
        <f t="shared" si="8"/>
        <v>46228</v>
      </c>
      <c r="K278" t="str">
        <f t="shared" ca="1" si="6"/>
        <v>Active</v>
      </c>
      <c r="L278" t="s">
        <v>12</v>
      </c>
    </row>
    <row r="279" spans="2:12" x14ac:dyDescent="0.35">
      <c r="B279" t="s">
        <v>343</v>
      </c>
      <c r="C279" s="3" t="s">
        <v>14</v>
      </c>
      <c r="D279" t="s">
        <v>16</v>
      </c>
      <c r="I279" s="5">
        <v>46048</v>
      </c>
      <c r="J279" s="5">
        <f t="shared" si="8"/>
        <v>46228</v>
      </c>
      <c r="K279" t="str">
        <f t="shared" ref="K279:K342" ca="1" si="9">IF(J279&gt;=$B$1,"Active","Lapsed")</f>
        <v>Active</v>
      </c>
      <c r="L279" t="s">
        <v>12</v>
      </c>
    </row>
    <row r="280" spans="2:12" x14ac:dyDescent="0.35">
      <c r="B280" t="s">
        <v>344</v>
      </c>
      <c r="C280" t="s">
        <v>339</v>
      </c>
      <c r="D280" t="s">
        <v>23</v>
      </c>
      <c r="I280" s="5">
        <v>46048</v>
      </c>
      <c r="J280" s="5">
        <f t="shared" si="8"/>
        <v>46228</v>
      </c>
      <c r="K280" t="str">
        <f t="shared" ca="1" si="9"/>
        <v>Active</v>
      </c>
      <c r="L280" t="s">
        <v>12</v>
      </c>
    </row>
    <row r="281" spans="2:12" x14ac:dyDescent="0.35">
      <c r="B281" t="s">
        <v>345</v>
      </c>
      <c r="C281" t="s">
        <v>42</v>
      </c>
      <c r="D281" t="s">
        <v>16</v>
      </c>
      <c r="I281" s="5">
        <v>46048</v>
      </c>
      <c r="J281" s="5">
        <f t="shared" si="8"/>
        <v>46228</v>
      </c>
      <c r="K281" t="str">
        <f t="shared" ca="1" si="9"/>
        <v>Active</v>
      </c>
      <c r="L281" t="s">
        <v>12</v>
      </c>
    </row>
    <row r="282" spans="2:12" x14ac:dyDescent="0.35">
      <c r="B282" t="s">
        <v>346</v>
      </c>
      <c r="C282" t="s">
        <v>42</v>
      </c>
      <c r="D282" t="s">
        <v>112</v>
      </c>
      <c r="I282" s="5">
        <v>46048</v>
      </c>
      <c r="J282" s="5">
        <f t="shared" si="8"/>
        <v>46228</v>
      </c>
      <c r="K282" t="str">
        <f t="shared" ca="1" si="9"/>
        <v>Active</v>
      </c>
      <c r="L282" t="s">
        <v>12</v>
      </c>
    </row>
    <row r="283" spans="2:12" x14ac:dyDescent="0.35">
      <c r="B283" t="s">
        <v>347</v>
      </c>
      <c r="C283" t="s">
        <v>18</v>
      </c>
      <c r="D283" t="s">
        <v>16</v>
      </c>
      <c r="I283" s="5">
        <v>46049</v>
      </c>
      <c r="J283" s="5">
        <f t="shared" si="8"/>
        <v>46229</v>
      </c>
      <c r="K283" t="str">
        <f t="shared" ca="1" si="9"/>
        <v>Active</v>
      </c>
      <c r="L283" t="s">
        <v>12</v>
      </c>
    </row>
    <row r="284" spans="2:12" x14ac:dyDescent="0.35">
      <c r="B284" t="s">
        <v>348</v>
      </c>
      <c r="C284" s="3" t="s">
        <v>14</v>
      </c>
      <c r="D284" t="s">
        <v>10</v>
      </c>
      <c r="E284" t="s">
        <v>16</v>
      </c>
      <c r="I284" s="5">
        <v>46049</v>
      </c>
      <c r="J284" s="5">
        <f t="shared" si="8"/>
        <v>46229</v>
      </c>
      <c r="K284" t="str">
        <f t="shared" ca="1" si="9"/>
        <v>Active</v>
      </c>
      <c r="L284" t="s">
        <v>12</v>
      </c>
    </row>
    <row r="285" spans="2:12" x14ac:dyDescent="0.35">
      <c r="B285" t="s">
        <v>349</v>
      </c>
      <c r="C285" t="s">
        <v>18</v>
      </c>
      <c r="D285" t="s">
        <v>16</v>
      </c>
      <c r="E285" t="s">
        <v>10</v>
      </c>
      <c r="F285" t="s">
        <v>61</v>
      </c>
      <c r="I285" s="5">
        <v>46049</v>
      </c>
      <c r="J285" s="5">
        <f t="shared" si="8"/>
        <v>46229</v>
      </c>
      <c r="K285" t="str">
        <f t="shared" ca="1" si="9"/>
        <v>Active</v>
      </c>
      <c r="L285" t="s">
        <v>12</v>
      </c>
    </row>
    <row r="286" spans="2:12" x14ac:dyDescent="0.35">
      <c r="B286" t="s">
        <v>350</v>
      </c>
      <c r="C286" t="s">
        <v>339</v>
      </c>
      <c r="D286" t="s">
        <v>10</v>
      </c>
      <c r="I286" s="5">
        <v>46049</v>
      </c>
      <c r="J286" s="5">
        <f t="shared" si="8"/>
        <v>46229</v>
      </c>
      <c r="K286" t="str">
        <f t="shared" ca="1" si="9"/>
        <v>Active</v>
      </c>
      <c r="L286" t="s">
        <v>12</v>
      </c>
    </row>
    <row r="287" spans="2:12" x14ac:dyDescent="0.35">
      <c r="B287" t="s">
        <v>351</v>
      </c>
      <c r="C287" t="s">
        <v>21</v>
      </c>
      <c r="D287" t="s">
        <v>19</v>
      </c>
      <c r="E287" s="4" t="s">
        <v>153</v>
      </c>
      <c r="I287" s="5">
        <v>46049</v>
      </c>
      <c r="J287" s="5">
        <f t="shared" si="8"/>
        <v>46229</v>
      </c>
      <c r="K287" t="str">
        <f t="shared" ca="1" si="9"/>
        <v>Active</v>
      </c>
      <c r="L287" t="s">
        <v>12</v>
      </c>
    </row>
    <row r="288" spans="2:12" x14ac:dyDescent="0.35">
      <c r="B288" t="s">
        <v>352</v>
      </c>
      <c r="C288" t="s">
        <v>18</v>
      </c>
      <c r="D288" t="s">
        <v>112</v>
      </c>
      <c r="E288" t="s">
        <v>74</v>
      </c>
      <c r="I288" s="5">
        <v>46049</v>
      </c>
      <c r="J288" s="5">
        <f t="shared" si="8"/>
        <v>46229</v>
      </c>
      <c r="K288" t="str">
        <f t="shared" ca="1" si="9"/>
        <v>Active</v>
      </c>
      <c r="L288" t="s">
        <v>12</v>
      </c>
    </row>
    <row r="289" spans="2:12" x14ac:dyDescent="0.35">
      <c r="B289" t="s">
        <v>353</v>
      </c>
      <c r="C289" t="s">
        <v>21</v>
      </c>
      <c r="D289" t="s">
        <v>23</v>
      </c>
      <c r="I289" s="5">
        <v>46049</v>
      </c>
      <c r="J289" s="5">
        <f t="shared" si="8"/>
        <v>46229</v>
      </c>
      <c r="K289" t="str">
        <f t="shared" ca="1" si="9"/>
        <v>Active</v>
      </c>
      <c r="L289" t="s">
        <v>12</v>
      </c>
    </row>
    <row r="290" spans="2:12" x14ac:dyDescent="0.35">
      <c r="B290" t="s">
        <v>354</v>
      </c>
      <c r="C290" t="s">
        <v>21</v>
      </c>
      <c r="D290" t="s">
        <v>23</v>
      </c>
      <c r="I290" s="5">
        <v>46050</v>
      </c>
      <c r="J290" s="5">
        <f t="shared" si="8"/>
        <v>46230</v>
      </c>
      <c r="K290" t="str">
        <f t="shared" ca="1" si="9"/>
        <v>Active</v>
      </c>
      <c r="L290" t="s">
        <v>12</v>
      </c>
    </row>
    <row r="291" spans="2:12" x14ac:dyDescent="0.35">
      <c r="B291" t="s">
        <v>355</v>
      </c>
      <c r="C291" t="s">
        <v>18</v>
      </c>
      <c r="D291" t="s">
        <v>19</v>
      </c>
      <c r="E291" s="4" t="s">
        <v>179</v>
      </c>
      <c r="I291" s="5">
        <v>46050</v>
      </c>
      <c r="J291" s="5">
        <f t="shared" si="8"/>
        <v>46230</v>
      </c>
      <c r="K291" t="str">
        <f t="shared" ca="1" si="9"/>
        <v>Active</v>
      </c>
      <c r="L291" t="s">
        <v>12</v>
      </c>
    </row>
    <row r="292" spans="2:12" x14ac:dyDescent="0.35">
      <c r="B292" t="s">
        <v>356</v>
      </c>
      <c r="C292" s="3" t="s">
        <v>14</v>
      </c>
      <c r="D292" s="4" t="s">
        <v>132</v>
      </c>
      <c r="I292" s="5">
        <v>46050</v>
      </c>
      <c r="J292" s="5">
        <f t="shared" si="8"/>
        <v>46230</v>
      </c>
      <c r="K292" t="str">
        <f t="shared" ca="1" si="9"/>
        <v>Active</v>
      </c>
      <c r="L292" t="s">
        <v>12</v>
      </c>
    </row>
    <row r="293" spans="2:12" x14ac:dyDescent="0.35">
      <c r="B293" t="s">
        <v>357</v>
      </c>
      <c r="C293" s="3" t="s">
        <v>14</v>
      </c>
      <c r="D293" t="s">
        <v>23</v>
      </c>
      <c r="I293" s="5">
        <v>46050</v>
      </c>
      <c r="J293" s="5">
        <f t="shared" si="8"/>
        <v>46230</v>
      </c>
      <c r="K293" t="str">
        <f t="shared" ca="1" si="9"/>
        <v>Active</v>
      </c>
      <c r="L293" t="s">
        <v>12</v>
      </c>
    </row>
    <row r="294" spans="2:12" x14ac:dyDescent="0.35">
      <c r="B294" t="s">
        <v>358</v>
      </c>
      <c r="C294" t="s">
        <v>18</v>
      </c>
      <c r="D294" t="s">
        <v>10</v>
      </c>
      <c r="I294" s="5">
        <v>46051</v>
      </c>
      <c r="J294" s="5">
        <f t="shared" si="8"/>
        <v>46231</v>
      </c>
      <c r="K294" t="str">
        <f t="shared" ca="1" si="9"/>
        <v>Active</v>
      </c>
      <c r="L294" t="s">
        <v>12</v>
      </c>
    </row>
    <row r="295" spans="2:12" x14ac:dyDescent="0.35">
      <c r="B295" t="s">
        <v>359</v>
      </c>
      <c r="C295" t="s">
        <v>42</v>
      </c>
      <c r="D295" t="s">
        <v>10</v>
      </c>
      <c r="I295" s="5">
        <v>46051</v>
      </c>
      <c r="J295" s="5">
        <f t="shared" si="8"/>
        <v>46231</v>
      </c>
      <c r="K295" t="str">
        <f t="shared" ca="1" si="9"/>
        <v>Active</v>
      </c>
      <c r="L295" t="s">
        <v>12</v>
      </c>
    </row>
    <row r="296" spans="2:12" x14ac:dyDescent="0.35">
      <c r="B296" t="s">
        <v>360</v>
      </c>
      <c r="C296" t="s">
        <v>42</v>
      </c>
      <c r="D296" t="s">
        <v>10</v>
      </c>
      <c r="I296" s="5">
        <v>46051</v>
      </c>
      <c r="J296" s="5">
        <f t="shared" si="8"/>
        <v>46231</v>
      </c>
      <c r="K296" t="str">
        <f t="shared" ca="1" si="9"/>
        <v>Active</v>
      </c>
      <c r="L296" t="s">
        <v>12</v>
      </c>
    </row>
    <row r="297" spans="2:12" x14ac:dyDescent="0.35">
      <c r="B297" t="s">
        <v>361</v>
      </c>
      <c r="C297" s="3" t="s">
        <v>14</v>
      </c>
      <c r="D297" t="s">
        <v>10</v>
      </c>
      <c r="E297" t="s">
        <v>19</v>
      </c>
      <c r="I297" s="5">
        <v>46051</v>
      </c>
      <c r="J297" s="5">
        <f t="shared" si="8"/>
        <v>46231</v>
      </c>
      <c r="K297" t="str">
        <f t="shared" ca="1" si="9"/>
        <v>Active</v>
      </c>
      <c r="L297" t="s">
        <v>12</v>
      </c>
    </row>
    <row r="298" spans="2:12" x14ac:dyDescent="0.35">
      <c r="B298" t="s">
        <v>362</v>
      </c>
      <c r="C298" t="s">
        <v>28</v>
      </c>
      <c r="D298" t="s">
        <v>10</v>
      </c>
      <c r="I298" s="5">
        <v>46051</v>
      </c>
      <c r="J298" s="5">
        <f t="shared" si="8"/>
        <v>46231</v>
      </c>
      <c r="K298" t="str">
        <f t="shared" ca="1" si="9"/>
        <v>Active</v>
      </c>
      <c r="L298" t="s">
        <v>12</v>
      </c>
    </row>
    <row r="299" spans="2:12" x14ac:dyDescent="0.35">
      <c r="B299" t="s">
        <v>363</v>
      </c>
      <c r="C299" s="3" t="s">
        <v>14</v>
      </c>
      <c r="D299" t="s">
        <v>10</v>
      </c>
      <c r="E299" t="s">
        <v>61</v>
      </c>
      <c r="I299" s="5">
        <v>46052</v>
      </c>
      <c r="J299" s="5">
        <f t="shared" si="8"/>
        <v>46232</v>
      </c>
      <c r="K299" t="str">
        <f t="shared" ca="1" si="9"/>
        <v>Active</v>
      </c>
      <c r="L299" t="s">
        <v>12</v>
      </c>
    </row>
    <row r="300" spans="2:12" x14ac:dyDescent="0.35">
      <c r="B300" t="s">
        <v>364</v>
      </c>
      <c r="C300" s="3" t="s">
        <v>14</v>
      </c>
      <c r="D300" t="s">
        <v>16</v>
      </c>
      <c r="E300" s="4" t="s">
        <v>11</v>
      </c>
      <c r="I300" s="5">
        <v>46052</v>
      </c>
      <c r="J300" s="5">
        <f t="shared" si="8"/>
        <v>46232</v>
      </c>
      <c r="K300" t="str">
        <f t="shared" ca="1" si="9"/>
        <v>Active</v>
      </c>
      <c r="L300" t="s">
        <v>12</v>
      </c>
    </row>
    <row r="301" spans="2:12" x14ac:dyDescent="0.35">
      <c r="B301" t="s">
        <v>365</v>
      </c>
      <c r="C301" t="s">
        <v>42</v>
      </c>
      <c r="D301" t="s">
        <v>16</v>
      </c>
      <c r="I301" s="5">
        <v>46052</v>
      </c>
      <c r="J301" s="5">
        <f t="shared" si="8"/>
        <v>46232</v>
      </c>
      <c r="K301" t="str">
        <f t="shared" ca="1" si="9"/>
        <v>Active</v>
      </c>
      <c r="L301" t="s">
        <v>12</v>
      </c>
    </row>
    <row r="302" spans="2:12" x14ac:dyDescent="0.35">
      <c r="B302" t="s">
        <v>366</v>
      </c>
      <c r="C302" s="3" t="s">
        <v>14</v>
      </c>
      <c r="D302" t="s">
        <v>34</v>
      </c>
      <c r="I302" s="5">
        <v>46052</v>
      </c>
      <c r="J302" s="5">
        <f t="shared" si="8"/>
        <v>46232</v>
      </c>
      <c r="K302" t="str">
        <f t="shared" ca="1" si="9"/>
        <v>Active</v>
      </c>
      <c r="L302" t="s">
        <v>12</v>
      </c>
    </row>
    <row r="303" spans="2:12" x14ac:dyDescent="0.35">
      <c r="B303" t="s">
        <v>367</v>
      </c>
      <c r="C303" t="s">
        <v>42</v>
      </c>
      <c r="D303" t="s">
        <v>50</v>
      </c>
      <c r="I303" s="5">
        <v>46052</v>
      </c>
      <c r="J303" s="5">
        <f t="shared" si="8"/>
        <v>46232</v>
      </c>
      <c r="K303" t="str">
        <f t="shared" ca="1" si="9"/>
        <v>Active</v>
      </c>
      <c r="L303" t="s">
        <v>12</v>
      </c>
    </row>
    <row r="304" spans="2:12" x14ac:dyDescent="0.35">
      <c r="B304" t="s">
        <v>368</v>
      </c>
      <c r="C304" t="s">
        <v>21</v>
      </c>
      <c r="D304" s="4" t="s">
        <v>40</v>
      </c>
      <c r="I304" s="5">
        <v>46052</v>
      </c>
      <c r="J304" s="5">
        <f t="shared" si="8"/>
        <v>46232</v>
      </c>
      <c r="K304" t="str">
        <f t="shared" ca="1" si="9"/>
        <v>Active</v>
      </c>
      <c r="L304" t="s">
        <v>12</v>
      </c>
    </row>
    <row r="305" spans="2:12" x14ac:dyDescent="0.35">
      <c r="B305" t="s">
        <v>369</v>
      </c>
      <c r="C305" t="s">
        <v>339</v>
      </c>
      <c r="D305" t="s">
        <v>10</v>
      </c>
      <c r="E305" t="s">
        <v>112</v>
      </c>
      <c r="I305" s="5">
        <v>46052</v>
      </c>
      <c r="J305" s="5">
        <f t="shared" si="8"/>
        <v>46232</v>
      </c>
      <c r="K305" t="str">
        <f t="shared" ca="1" si="9"/>
        <v>Active</v>
      </c>
      <c r="L305" t="s">
        <v>12</v>
      </c>
    </row>
    <row r="306" spans="2:12" x14ac:dyDescent="0.35">
      <c r="B306" t="s">
        <v>370</v>
      </c>
      <c r="C306" t="s">
        <v>18</v>
      </c>
      <c r="D306" t="s">
        <v>43</v>
      </c>
      <c r="E306" t="s">
        <v>10</v>
      </c>
      <c r="I306" s="5">
        <v>46052</v>
      </c>
      <c r="J306" s="5">
        <f t="shared" si="8"/>
        <v>46232</v>
      </c>
      <c r="K306" t="str">
        <f t="shared" ca="1" si="9"/>
        <v>Active</v>
      </c>
      <c r="L306" t="s">
        <v>12</v>
      </c>
    </row>
    <row r="307" spans="2:12" x14ac:dyDescent="0.35">
      <c r="B307" t="s">
        <v>371</v>
      </c>
      <c r="C307" t="s">
        <v>18</v>
      </c>
      <c r="D307" t="s">
        <v>19</v>
      </c>
      <c r="I307" s="5">
        <v>46052</v>
      </c>
      <c r="J307" s="5">
        <f t="shared" si="8"/>
        <v>46232</v>
      </c>
      <c r="K307" t="str">
        <f t="shared" ca="1" si="9"/>
        <v>Active</v>
      </c>
      <c r="L307" t="s">
        <v>12</v>
      </c>
    </row>
    <row r="308" spans="2:12" x14ac:dyDescent="0.35">
      <c r="B308" t="s">
        <v>372</v>
      </c>
      <c r="C308" s="3" t="s">
        <v>14</v>
      </c>
      <c r="D308" t="s">
        <v>23</v>
      </c>
      <c r="I308" s="5">
        <v>46052</v>
      </c>
      <c r="J308" s="5">
        <f t="shared" si="8"/>
        <v>46232</v>
      </c>
      <c r="K308" t="str">
        <f t="shared" ca="1" si="9"/>
        <v>Active</v>
      </c>
      <c r="L308" t="s">
        <v>12</v>
      </c>
    </row>
    <row r="309" spans="2:12" x14ac:dyDescent="0.35">
      <c r="B309" t="s">
        <v>373</v>
      </c>
      <c r="C309" s="3" t="s">
        <v>14</v>
      </c>
      <c r="D309" t="s">
        <v>34</v>
      </c>
      <c r="I309" s="5">
        <v>46052</v>
      </c>
      <c r="J309" s="5">
        <f t="shared" si="8"/>
        <v>46232</v>
      </c>
      <c r="K309" t="str">
        <f t="shared" ca="1" si="9"/>
        <v>Active</v>
      </c>
      <c r="L309" t="s">
        <v>12</v>
      </c>
    </row>
    <row r="310" spans="2:12" x14ac:dyDescent="0.35">
      <c r="B310" t="s">
        <v>374</v>
      </c>
      <c r="C310" t="s">
        <v>18</v>
      </c>
      <c r="D310" t="s">
        <v>10</v>
      </c>
      <c r="I310" s="5">
        <v>46052</v>
      </c>
      <c r="J310" s="5">
        <f t="shared" si="8"/>
        <v>46232</v>
      </c>
      <c r="K310" t="str">
        <f t="shared" ca="1" si="9"/>
        <v>Active</v>
      </c>
      <c r="L310" t="s">
        <v>12</v>
      </c>
    </row>
    <row r="311" spans="2:12" x14ac:dyDescent="0.35">
      <c r="B311" t="s">
        <v>375</v>
      </c>
      <c r="C311" t="s">
        <v>18</v>
      </c>
      <c r="D311" t="s">
        <v>36</v>
      </c>
      <c r="I311" s="5">
        <v>46052</v>
      </c>
      <c r="J311" s="5">
        <f t="shared" si="8"/>
        <v>46232</v>
      </c>
      <c r="K311" t="str">
        <f t="shared" ca="1" si="9"/>
        <v>Active</v>
      </c>
      <c r="L311" t="s">
        <v>12</v>
      </c>
    </row>
    <row r="312" spans="2:12" x14ac:dyDescent="0.35">
      <c r="B312" t="s">
        <v>376</v>
      </c>
      <c r="C312" s="3" t="s">
        <v>14</v>
      </c>
      <c r="D312" t="s">
        <v>16</v>
      </c>
      <c r="E312" t="s">
        <v>54</v>
      </c>
      <c r="I312" s="5">
        <v>46052</v>
      </c>
      <c r="J312" s="5">
        <f t="shared" si="8"/>
        <v>46232</v>
      </c>
      <c r="K312" t="str">
        <f t="shared" ca="1" si="9"/>
        <v>Active</v>
      </c>
      <c r="L312" t="s">
        <v>12</v>
      </c>
    </row>
    <row r="313" spans="2:12" x14ac:dyDescent="0.35">
      <c r="B313" t="s">
        <v>377</v>
      </c>
      <c r="C313" t="s">
        <v>21</v>
      </c>
      <c r="D313" t="s">
        <v>19</v>
      </c>
      <c r="E313" s="4" t="s">
        <v>56</v>
      </c>
      <c r="I313" s="5">
        <v>46052</v>
      </c>
      <c r="J313" s="5">
        <f t="shared" si="8"/>
        <v>46232</v>
      </c>
      <c r="K313" t="str">
        <f t="shared" ca="1" si="9"/>
        <v>Active</v>
      </c>
      <c r="L313" t="s">
        <v>12</v>
      </c>
    </row>
    <row r="314" spans="2:12" x14ac:dyDescent="0.35">
      <c r="B314" t="s">
        <v>378</v>
      </c>
      <c r="C314" t="s">
        <v>21</v>
      </c>
      <c r="D314" t="s">
        <v>10</v>
      </c>
      <c r="E314" t="s">
        <v>19</v>
      </c>
      <c r="I314" s="5">
        <v>46052</v>
      </c>
      <c r="J314" s="5">
        <f t="shared" si="8"/>
        <v>46232</v>
      </c>
      <c r="K314" t="str">
        <f t="shared" ca="1" si="9"/>
        <v>Active</v>
      </c>
      <c r="L314" t="s">
        <v>12</v>
      </c>
    </row>
    <row r="315" spans="2:12" x14ac:dyDescent="0.35">
      <c r="B315" t="s">
        <v>379</v>
      </c>
      <c r="C315" t="s">
        <v>21</v>
      </c>
      <c r="D315" t="s">
        <v>16</v>
      </c>
      <c r="E315" t="s">
        <v>61</v>
      </c>
      <c r="I315" s="5">
        <v>46052</v>
      </c>
      <c r="J315" s="5">
        <f t="shared" si="8"/>
        <v>46232</v>
      </c>
      <c r="K315" t="str">
        <f t="shared" ca="1" si="9"/>
        <v>Active</v>
      </c>
      <c r="L315" t="s">
        <v>12</v>
      </c>
    </row>
    <row r="316" spans="2:12" x14ac:dyDescent="0.35">
      <c r="B316" t="s">
        <v>380</v>
      </c>
      <c r="C316" t="s">
        <v>28</v>
      </c>
      <c r="D316" t="s">
        <v>23</v>
      </c>
      <c r="I316" s="5">
        <v>46055</v>
      </c>
      <c r="J316" s="5">
        <f t="shared" si="8"/>
        <v>46235</v>
      </c>
      <c r="K316" t="str">
        <f t="shared" ca="1" si="9"/>
        <v>Active</v>
      </c>
      <c r="L316" t="s">
        <v>12</v>
      </c>
    </row>
    <row r="317" spans="2:12" x14ac:dyDescent="0.35">
      <c r="B317" t="s">
        <v>381</v>
      </c>
      <c r="C317" t="s">
        <v>42</v>
      </c>
      <c r="D317" t="s">
        <v>10</v>
      </c>
      <c r="E317" t="s">
        <v>34</v>
      </c>
      <c r="I317" s="5">
        <v>46056</v>
      </c>
      <c r="J317" s="5">
        <f t="shared" si="8"/>
        <v>46236</v>
      </c>
      <c r="K317" t="str">
        <f t="shared" ca="1" si="9"/>
        <v>Active</v>
      </c>
      <c r="L317" t="s">
        <v>12</v>
      </c>
    </row>
    <row r="318" spans="2:12" x14ac:dyDescent="0.35">
      <c r="B318" t="s">
        <v>382</v>
      </c>
      <c r="C318" t="s">
        <v>28</v>
      </c>
      <c r="D318" t="s">
        <v>74</v>
      </c>
      <c r="I318" s="5">
        <v>46059</v>
      </c>
      <c r="J318" s="5">
        <f t="shared" si="8"/>
        <v>46239</v>
      </c>
      <c r="K318" t="str">
        <f t="shared" ca="1" si="9"/>
        <v>Active</v>
      </c>
      <c r="L318" t="s">
        <v>12</v>
      </c>
    </row>
    <row r="319" spans="2:12" x14ac:dyDescent="0.35">
      <c r="B319" t="s">
        <v>383</v>
      </c>
      <c r="C319" t="s">
        <v>18</v>
      </c>
      <c r="D319" t="s">
        <v>23</v>
      </c>
      <c r="E319" t="s">
        <v>61</v>
      </c>
      <c r="I319" s="5">
        <v>46062</v>
      </c>
      <c r="J319" s="5">
        <f t="shared" si="8"/>
        <v>46242</v>
      </c>
      <c r="K319" t="str">
        <f t="shared" ca="1" si="9"/>
        <v>Active</v>
      </c>
      <c r="L319" t="s">
        <v>12</v>
      </c>
    </row>
    <row r="320" spans="2:12" x14ac:dyDescent="0.35">
      <c r="B320" t="s">
        <v>384</v>
      </c>
      <c r="C320" t="s">
        <v>21</v>
      </c>
      <c r="D320" t="s">
        <v>16</v>
      </c>
      <c r="E320" t="s">
        <v>277</v>
      </c>
      <c r="I320" s="5">
        <v>46062</v>
      </c>
      <c r="J320" s="5">
        <f t="shared" si="8"/>
        <v>46242</v>
      </c>
      <c r="K320" t="str">
        <f t="shared" ca="1" si="9"/>
        <v>Active</v>
      </c>
      <c r="L320" t="s">
        <v>12</v>
      </c>
    </row>
    <row r="321" spans="2:12" x14ac:dyDescent="0.35">
      <c r="B321" t="s">
        <v>385</v>
      </c>
      <c r="C321" t="s">
        <v>103</v>
      </c>
      <c r="D321" t="s">
        <v>16</v>
      </c>
      <c r="I321" s="5">
        <v>46062</v>
      </c>
      <c r="J321" s="5">
        <f t="shared" si="8"/>
        <v>46242</v>
      </c>
      <c r="K321" t="str">
        <f t="shared" ca="1" si="9"/>
        <v>Active</v>
      </c>
      <c r="L321" t="s">
        <v>12</v>
      </c>
    </row>
    <row r="322" spans="2:12" x14ac:dyDescent="0.35">
      <c r="B322" t="s">
        <v>386</v>
      </c>
      <c r="C322" t="s">
        <v>42</v>
      </c>
      <c r="D322" t="s">
        <v>108</v>
      </c>
      <c r="E322" s="4" t="s">
        <v>387</v>
      </c>
      <c r="I322" s="5">
        <v>46062</v>
      </c>
      <c r="J322" s="5">
        <f t="shared" si="8"/>
        <v>46242</v>
      </c>
      <c r="K322" t="str">
        <f t="shared" ca="1" si="9"/>
        <v>Active</v>
      </c>
      <c r="L322" t="s">
        <v>12</v>
      </c>
    </row>
    <row r="323" spans="2:12" x14ac:dyDescent="0.35">
      <c r="B323" t="s">
        <v>388</v>
      </c>
      <c r="C323" t="s">
        <v>21</v>
      </c>
      <c r="D323" s="4" t="s">
        <v>147</v>
      </c>
      <c r="I323" s="5">
        <v>46063</v>
      </c>
      <c r="J323" s="5">
        <f t="shared" si="8"/>
        <v>46243</v>
      </c>
      <c r="K323" t="str">
        <f t="shared" ca="1" si="9"/>
        <v>Active</v>
      </c>
      <c r="L323" t="s">
        <v>12</v>
      </c>
    </row>
    <row r="324" spans="2:12" x14ac:dyDescent="0.35">
      <c r="B324" t="s">
        <v>389</v>
      </c>
      <c r="C324" t="s">
        <v>103</v>
      </c>
      <c r="D324" t="s">
        <v>34</v>
      </c>
      <c r="I324" s="5">
        <v>46063</v>
      </c>
      <c r="J324" s="5">
        <f t="shared" si="8"/>
        <v>46243</v>
      </c>
      <c r="K324" t="str">
        <f t="shared" ca="1" si="9"/>
        <v>Active</v>
      </c>
      <c r="L324" t="s">
        <v>12</v>
      </c>
    </row>
    <row r="325" spans="2:12" x14ac:dyDescent="0.35">
      <c r="B325" t="s">
        <v>390</v>
      </c>
      <c r="C325" t="s">
        <v>42</v>
      </c>
      <c r="D325" s="4" t="s">
        <v>157</v>
      </c>
      <c r="E325" t="s">
        <v>108</v>
      </c>
      <c r="I325" s="5">
        <v>46064</v>
      </c>
      <c r="J325" s="5">
        <f t="shared" ref="J325:J381" si="10">EDATE(I325,6)-1</f>
        <v>46244</v>
      </c>
      <c r="K325" t="str">
        <f t="shared" ca="1" si="9"/>
        <v>Active</v>
      </c>
      <c r="L325" t="s">
        <v>12</v>
      </c>
    </row>
    <row r="326" spans="2:12" x14ac:dyDescent="0.35">
      <c r="B326" t="s">
        <v>391</v>
      </c>
      <c r="C326" s="3" t="s">
        <v>14</v>
      </c>
      <c r="D326" t="s">
        <v>10</v>
      </c>
      <c r="I326" s="5">
        <v>46064</v>
      </c>
      <c r="J326" s="5">
        <f t="shared" si="10"/>
        <v>46244</v>
      </c>
      <c r="K326" t="str">
        <f t="shared" ca="1" si="9"/>
        <v>Active</v>
      </c>
      <c r="L326" t="s">
        <v>12</v>
      </c>
    </row>
    <row r="327" spans="2:12" x14ac:dyDescent="0.35">
      <c r="B327" t="s">
        <v>392</v>
      </c>
      <c r="C327" t="s">
        <v>42</v>
      </c>
      <c r="D327" t="s">
        <v>10</v>
      </c>
      <c r="I327" s="5">
        <v>46064</v>
      </c>
      <c r="J327" s="5">
        <f t="shared" si="10"/>
        <v>46244</v>
      </c>
      <c r="K327" t="str">
        <f t="shared" ca="1" si="9"/>
        <v>Active</v>
      </c>
      <c r="L327" t="s">
        <v>12</v>
      </c>
    </row>
    <row r="328" spans="2:12" x14ac:dyDescent="0.35">
      <c r="B328" t="s">
        <v>393</v>
      </c>
      <c r="C328" t="s">
        <v>42</v>
      </c>
      <c r="D328" t="s">
        <v>43</v>
      </c>
      <c r="E328" t="s">
        <v>123</v>
      </c>
      <c r="F328" t="s">
        <v>10</v>
      </c>
      <c r="I328" s="5">
        <v>46065</v>
      </c>
      <c r="J328" s="5">
        <f t="shared" si="10"/>
        <v>46245</v>
      </c>
      <c r="K328" t="str">
        <f t="shared" ca="1" si="9"/>
        <v>Active</v>
      </c>
      <c r="L328" t="s">
        <v>12</v>
      </c>
    </row>
    <row r="329" spans="2:12" x14ac:dyDescent="0.35">
      <c r="B329" t="s">
        <v>394</v>
      </c>
      <c r="C329" t="s">
        <v>42</v>
      </c>
      <c r="D329" t="s">
        <v>23</v>
      </c>
      <c r="I329" s="5">
        <v>46065</v>
      </c>
      <c r="J329" s="5">
        <f t="shared" si="10"/>
        <v>46245</v>
      </c>
      <c r="K329" t="str">
        <f t="shared" ca="1" si="9"/>
        <v>Active</v>
      </c>
      <c r="L329" t="s">
        <v>12</v>
      </c>
    </row>
    <row r="330" spans="2:12" x14ac:dyDescent="0.35">
      <c r="B330" t="s">
        <v>395</v>
      </c>
      <c r="C330" s="3" t="s">
        <v>14</v>
      </c>
      <c r="D330" t="s">
        <v>43</v>
      </c>
      <c r="E330" t="s">
        <v>10</v>
      </c>
      <c r="I330" s="5">
        <v>46066</v>
      </c>
      <c r="J330" s="5">
        <f t="shared" si="10"/>
        <v>46246</v>
      </c>
      <c r="K330" t="str">
        <f t="shared" ca="1" si="9"/>
        <v>Active</v>
      </c>
      <c r="L330" t="s">
        <v>12</v>
      </c>
    </row>
    <row r="331" spans="2:12" x14ac:dyDescent="0.35">
      <c r="B331" t="s">
        <v>396</v>
      </c>
      <c r="C331" t="s">
        <v>397</v>
      </c>
      <c r="D331" t="s">
        <v>16</v>
      </c>
      <c r="E331" t="s">
        <v>10</v>
      </c>
      <c r="I331" s="5">
        <v>46066</v>
      </c>
      <c r="J331" s="5">
        <f t="shared" si="10"/>
        <v>46246</v>
      </c>
      <c r="K331" t="str">
        <f t="shared" ca="1" si="9"/>
        <v>Active</v>
      </c>
      <c r="L331" t="s">
        <v>12</v>
      </c>
    </row>
    <row r="332" spans="2:12" x14ac:dyDescent="0.35">
      <c r="B332" t="s">
        <v>398</v>
      </c>
      <c r="C332" t="s">
        <v>42</v>
      </c>
      <c r="D332" t="s">
        <v>50</v>
      </c>
      <c r="I332" s="5">
        <v>46066</v>
      </c>
      <c r="J332" s="5">
        <f t="shared" si="10"/>
        <v>46246</v>
      </c>
      <c r="K332" t="str">
        <f t="shared" ca="1" si="9"/>
        <v>Active</v>
      </c>
      <c r="L332" t="s">
        <v>12</v>
      </c>
    </row>
    <row r="333" spans="2:12" x14ac:dyDescent="0.35">
      <c r="B333" t="s">
        <v>399</v>
      </c>
      <c r="C333" t="s">
        <v>42</v>
      </c>
      <c r="D333" t="s">
        <v>10</v>
      </c>
      <c r="I333" s="5">
        <v>46066</v>
      </c>
      <c r="J333" s="5">
        <f t="shared" si="10"/>
        <v>46246</v>
      </c>
      <c r="K333" t="str">
        <f t="shared" ca="1" si="9"/>
        <v>Active</v>
      </c>
      <c r="L333" t="s">
        <v>12</v>
      </c>
    </row>
    <row r="334" spans="2:12" x14ac:dyDescent="0.35">
      <c r="B334" t="s">
        <v>400</v>
      </c>
      <c r="C334" t="s">
        <v>42</v>
      </c>
      <c r="D334" t="s">
        <v>23</v>
      </c>
      <c r="I334" s="5">
        <v>46066</v>
      </c>
      <c r="J334" s="5">
        <f t="shared" si="10"/>
        <v>46246</v>
      </c>
      <c r="K334" t="str">
        <f t="shared" ca="1" si="9"/>
        <v>Active</v>
      </c>
      <c r="L334" t="s">
        <v>12</v>
      </c>
    </row>
    <row r="335" spans="2:12" x14ac:dyDescent="0.35">
      <c r="B335" t="s">
        <v>401</v>
      </c>
      <c r="C335" t="s">
        <v>42</v>
      </c>
      <c r="D335" t="s">
        <v>16</v>
      </c>
      <c r="I335" s="5">
        <v>46066</v>
      </c>
      <c r="J335" s="5">
        <f t="shared" si="10"/>
        <v>46246</v>
      </c>
      <c r="K335" t="str">
        <f t="shared" ca="1" si="9"/>
        <v>Active</v>
      </c>
      <c r="L335" t="s">
        <v>12</v>
      </c>
    </row>
    <row r="336" spans="2:12" x14ac:dyDescent="0.35">
      <c r="B336" t="s">
        <v>402</v>
      </c>
      <c r="C336" t="s">
        <v>21</v>
      </c>
      <c r="D336" t="s">
        <v>26</v>
      </c>
      <c r="I336" s="5">
        <v>46066</v>
      </c>
      <c r="J336" s="5">
        <f t="shared" si="10"/>
        <v>46246</v>
      </c>
      <c r="K336" t="str">
        <f t="shared" ca="1" si="9"/>
        <v>Active</v>
      </c>
      <c r="L336" t="s">
        <v>12</v>
      </c>
    </row>
    <row r="337" spans="2:12" x14ac:dyDescent="0.35">
      <c r="B337" t="s">
        <v>403</v>
      </c>
      <c r="C337" t="s">
        <v>18</v>
      </c>
      <c r="D337" s="4" t="s">
        <v>404</v>
      </c>
      <c r="I337" s="5">
        <v>46068</v>
      </c>
      <c r="J337" s="5">
        <f t="shared" si="10"/>
        <v>46248</v>
      </c>
      <c r="K337" t="str">
        <f t="shared" ca="1" si="9"/>
        <v>Active</v>
      </c>
      <c r="L337" t="s">
        <v>12</v>
      </c>
    </row>
    <row r="338" spans="2:12" x14ac:dyDescent="0.35">
      <c r="B338" t="s">
        <v>405</v>
      </c>
      <c r="C338" t="s">
        <v>14</v>
      </c>
      <c r="D338" s="4" t="s">
        <v>115</v>
      </c>
      <c r="I338" s="5">
        <v>46068</v>
      </c>
      <c r="J338" s="5">
        <f t="shared" si="10"/>
        <v>46248</v>
      </c>
      <c r="K338" t="str">
        <f t="shared" ca="1" si="9"/>
        <v>Active</v>
      </c>
      <c r="L338" t="s">
        <v>12</v>
      </c>
    </row>
    <row r="339" spans="2:12" x14ac:dyDescent="0.35">
      <c r="B339" t="s">
        <v>406</v>
      </c>
      <c r="C339" t="s">
        <v>21</v>
      </c>
      <c r="D339" t="s">
        <v>36</v>
      </c>
      <c r="E339" s="4" t="s">
        <v>147</v>
      </c>
      <c r="I339" s="5">
        <v>46068</v>
      </c>
      <c r="J339" s="5">
        <f t="shared" si="10"/>
        <v>46248</v>
      </c>
      <c r="K339" t="str">
        <f t="shared" ca="1" si="9"/>
        <v>Active</v>
      </c>
      <c r="L339" t="s">
        <v>12</v>
      </c>
    </row>
    <row r="340" spans="2:12" x14ac:dyDescent="0.35">
      <c r="B340" t="s">
        <v>407</v>
      </c>
      <c r="C340" t="s">
        <v>42</v>
      </c>
      <c r="D340" t="s">
        <v>108</v>
      </c>
      <c r="E340" s="4" t="s">
        <v>334</v>
      </c>
      <c r="I340" s="5">
        <v>46069</v>
      </c>
      <c r="J340" s="5">
        <f t="shared" si="10"/>
        <v>46249</v>
      </c>
      <c r="K340" t="str">
        <f t="shared" ca="1" si="9"/>
        <v>Active</v>
      </c>
      <c r="L340" t="s">
        <v>12</v>
      </c>
    </row>
    <row r="341" spans="2:12" x14ac:dyDescent="0.35">
      <c r="B341" t="s">
        <v>408</v>
      </c>
      <c r="C341" t="s">
        <v>21</v>
      </c>
      <c r="D341" t="s">
        <v>16</v>
      </c>
      <c r="I341" s="5">
        <v>46073</v>
      </c>
      <c r="J341" s="5">
        <f t="shared" si="10"/>
        <v>46253</v>
      </c>
      <c r="K341" t="str">
        <f t="shared" ca="1" si="9"/>
        <v>Active</v>
      </c>
      <c r="L341" t="s">
        <v>12</v>
      </c>
    </row>
    <row r="342" spans="2:12" x14ac:dyDescent="0.35">
      <c r="B342" t="s">
        <v>409</v>
      </c>
      <c r="C342" t="s">
        <v>21</v>
      </c>
      <c r="D342" t="s">
        <v>29</v>
      </c>
      <c r="E342" t="s">
        <v>19</v>
      </c>
      <c r="F342" s="4" t="s">
        <v>11</v>
      </c>
      <c r="I342" s="5">
        <v>46077</v>
      </c>
      <c r="J342" s="5">
        <f t="shared" si="10"/>
        <v>46257</v>
      </c>
      <c r="K342" t="str">
        <f t="shared" ca="1" si="9"/>
        <v>Active</v>
      </c>
      <c r="L342" t="s">
        <v>12</v>
      </c>
    </row>
    <row r="343" spans="2:12" x14ac:dyDescent="0.35">
      <c r="B343" t="s">
        <v>410</v>
      </c>
      <c r="C343" t="s">
        <v>9</v>
      </c>
      <c r="D343" t="s">
        <v>34</v>
      </c>
      <c r="I343" s="5">
        <v>46077</v>
      </c>
      <c r="J343" s="5">
        <f t="shared" si="10"/>
        <v>46257</v>
      </c>
      <c r="K343" t="str">
        <f t="shared" ref="K343:K381" ca="1" si="11">IF(J343&gt;=$B$1,"Active","Lapsed")</f>
        <v>Active</v>
      </c>
      <c r="L343" t="s">
        <v>12</v>
      </c>
    </row>
    <row r="344" spans="2:12" x14ac:dyDescent="0.35">
      <c r="B344" t="s">
        <v>411</v>
      </c>
      <c r="C344" t="s">
        <v>21</v>
      </c>
      <c r="D344" t="s">
        <v>29</v>
      </c>
      <c r="E344" t="s">
        <v>50</v>
      </c>
      <c r="I344" s="5">
        <v>46077</v>
      </c>
      <c r="J344" s="5">
        <f t="shared" si="10"/>
        <v>46257</v>
      </c>
      <c r="K344" t="str">
        <f t="shared" ca="1" si="11"/>
        <v>Active</v>
      </c>
      <c r="L344" t="s">
        <v>12</v>
      </c>
    </row>
    <row r="345" spans="2:12" x14ac:dyDescent="0.35">
      <c r="B345" t="s">
        <v>412</v>
      </c>
      <c r="C345" t="s">
        <v>42</v>
      </c>
      <c r="D345" t="s">
        <v>16</v>
      </c>
      <c r="E345" s="4" t="s">
        <v>11</v>
      </c>
      <c r="I345" s="5">
        <v>46078</v>
      </c>
      <c r="J345" s="5">
        <f t="shared" si="10"/>
        <v>46258</v>
      </c>
      <c r="K345" t="str">
        <f t="shared" ca="1" si="11"/>
        <v>Active</v>
      </c>
      <c r="L345" t="s">
        <v>12</v>
      </c>
    </row>
    <row r="346" spans="2:12" x14ac:dyDescent="0.35">
      <c r="B346" t="s">
        <v>413</v>
      </c>
      <c r="C346" t="s">
        <v>42</v>
      </c>
      <c r="D346" s="4" t="s">
        <v>414</v>
      </c>
      <c r="I346" s="5">
        <v>46078</v>
      </c>
      <c r="J346" s="5">
        <f t="shared" si="10"/>
        <v>46258</v>
      </c>
      <c r="K346" t="str">
        <f t="shared" ca="1" si="11"/>
        <v>Active</v>
      </c>
      <c r="L346" t="s">
        <v>12</v>
      </c>
    </row>
    <row r="347" spans="2:12" x14ac:dyDescent="0.35">
      <c r="B347" t="s">
        <v>415</v>
      </c>
      <c r="C347" t="s">
        <v>42</v>
      </c>
      <c r="D347" s="4" t="s">
        <v>334</v>
      </c>
      <c r="I347" s="5">
        <v>46078</v>
      </c>
      <c r="J347" s="5">
        <f t="shared" si="10"/>
        <v>46258</v>
      </c>
      <c r="K347" t="str">
        <f t="shared" ca="1" si="11"/>
        <v>Active</v>
      </c>
      <c r="L347" t="s">
        <v>12</v>
      </c>
    </row>
    <row r="348" spans="2:12" x14ac:dyDescent="0.35">
      <c r="B348" t="s">
        <v>416</v>
      </c>
      <c r="C348" t="s">
        <v>18</v>
      </c>
      <c r="D348" t="s">
        <v>74</v>
      </c>
      <c r="E348" s="4" t="s">
        <v>11</v>
      </c>
      <c r="I348" s="5">
        <v>46079</v>
      </c>
      <c r="J348" s="5">
        <f t="shared" si="10"/>
        <v>46259</v>
      </c>
      <c r="K348" t="str">
        <f t="shared" ca="1" si="11"/>
        <v>Active</v>
      </c>
      <c r="L348" t="s">
        <v>12</v>
      </c>
    </row>
    <row r="349" spans="2:12" x14ac:dyDescent="0.35">
      <c r="B349" t="s">
        <v>417</v>
      </c>
      <c r="C349" s="3" t="s">
        <v>14</v>
      </c>
      <c r="D349" t="s">
        <v>16</v>
      </c>
      <c r="E349" t="s">
        <v>23</v>
      </c>
      <c r="F349" s="4" t="s">
        <v>11</v>
      </c>
      <c r="I349" s="5">
        <v>46080</v>
      </c>
      <c r="J349" s="5">
        <f t="shared" si="10"/>
        <v>46260</v>
      </c>
      <c r="K349" t="str">
        <f t="shared" ca="1" si="11"/>
        <v>Active</v>
      </c>
      <c r="L349" t="s">
        <v>12</v>
      </c>
    </row>
    <row r="350" spans="2:12" x14ac:dyDescent="0.35">
      <c r="B350" t="s">
        <v>418</v>
      </c>
      <c r="C350" t="s">
        <v>21</v>
      </c>
      <c r="D350" t="s">
        <v>16</v>
      </c>
      <c r="E350" t="s">
        <v>29</v>
      </c>
      <c r="I350" s="5">
        <v>46080</v>
      </c>
      <c r="J350" s="5">
        <f t="shared" si="10"/>
        <v>46260</v>
      </c>
      <c r="K350" t="str">
        <f t="shared" ca="1" si="11"/>
        <v>Active</v>
      </c>
      <c r="L350" t="s">
        <v>12</v>
      </c>
    </row>
    <row r="351" spans="2:12" x14ac:dyDescent="0.35">
      <c r="B351" t="s">
        <v>419</v>
      </c>
      <c r="C351" t="s">
        <v>28</v>
      </c>
      <c r="D351" s="4" t="s">
        <v>11</v>
      </c>
      <c r="I351" s="5">
        <v>46080</v>
      </c>
      <c r="J351" s="5">
        <f t="shared" si="10"/>
        <v>46260</v>
      </c>
      <c r="K351" t="str">
        <f t="shared" ca="1" si="11"/>
        <v>Active</v>
      </c>
      <c r="L351" t="s">
        <v>12</v>
      </c>
    </row>
    <row r="352" spans="2:12" x14ac:dyDescent="0.35">
      <c r="B352" t="s">
        <v>420</v>
      </c>
      <c r="C352" s="3" t="s">
        <v>14</v>
      </c>
      <c r="D352" s="4" t="s">
        <v>421</v>
      </c>
      <c r="I352" s="5">
        <v>46080</v>
      </c>
      <c r="J352" s="5">
        <f t="shared" si="10"/>
        <v>46260</v>
      </c>
      <c r="K352" t="str">
        <f t="shared" ca="1" si="11"/>
        <v>Active</v>
      </c>
      <c r="L352" t="s">
        <v>12</v>
      </c>
    </row>
    <row r="353" spans="2:12" x14ac:dyDescent="0.35">
      <c r="B353" t="s">
        <v>422</v>
      </c>
      <c r="C353" t="s">
        <v>21</v>
      </c>
      <c r="D353" t="s">
        <v>10</v>
      </c>
      <c r="E353" t="s">
        <v>43</v>
      </c>
      <c r="F353" t="s">
        <v>16</v>
      </c>
      <c r="I353" s="5">
        <v>46080</v>
      </c>
      <c r="J353" s="5">
        <f t="shared" si="10"/>
        <v>46260</v>
      </c>
      <c r="K353" t="str">
        <f t="shared" ca="1" si="11"/>
        <v>Active</v>
      </c>
      <c r="L353" t="s">
        <v>12</v>
      </c>
    </row>
    <row r="354" spans="2:12" x14ac:dyDescent="0.35">
      <c r="B354" t="s">
        <v>423</v>
      </c>
      <c r="C354" t="s">
        <v>42</v>
      </c>
      <c r="D354" t="s">
        <v>16</v>
      </c>
      <c r="E354" t="s">
        <v>105</v>
      </c>
      <c r="I354" s="5">
        <v>46080</v>
      </c>
      <c r="J354" s="5">
        <f t="shared" si="10"/>
        <v>46260</v>
      </c>
      <c r="K354" t="str">
        <f t="shared" ca="1" si="11"/>
        <v>Active</v>
      </c>
      <c r="L354" t="s">
        <v>12</v>
      </c>
    </row>
    <row r="355" spans="2:12" x14ac:dyDescent="0.35">
      <c r="B355" t="s">
        <v>424</v>
      </c>
      <c r="C355" t="s">
        <v>21</v>
      </c>
      <c r="D355" t="s">
        <v>123</v>
      </c>
      <c r="I355" s="5">
        <v>46080</v>
      </c>
      <c r="J355" s="5">
        <f t="shared" si="10"/>
        <v>46260</v>
      </c>
      <c r="K355" t="str">
        <f t="shared" ca="1" si="11"/>
        <v>Active</v>
      </c>
      <c r="L355" t="s">
        <v>12</v>
      </c>
    </row>
    <row r="356" spans="2:12" x14ac:dyDescent="0.35">
      <c r="B356" t="s">
        <v>425</v>
      </c>
      <c r="C356" t="s">
        <v>42</v>
      </c>
      <c r="D356" t="s">
        <v>23</v>
      </c>
      <c r="I356" s="5">
        <v>46080</v>
      </c>
      <c r="J356" s="5">
        <f t="shared" si="10"/>
        <v>46260</v>
      </c>
      <c r="K356" t="str">
        <f t="shared" ca="1" si="11"/>
        <v>Active</v>
      </c>
      <c r="L356" t="s">
        <v>12</v>
      </c>
    </row>
    <row r="357" spans="2:12" x14ac:dyDescent="0.35">
      <c r="B357" t="s">
        <v>426</v>
      </c>
      <c r="C357" t="s">
        <v>21</v>
      </c>
      <c r="D357" t="s">
        <v>19</v>
      </c>
      <c r="I357" s="5">
        <v>46080</v>
      </c>
      <c r="J357" s="5">
        <f t="shared" si="10"/>
        <v>46260</v>
      </c>
      <c r="K357" t="str">
        <f t="shared" ca="1" si="11"/>
        <v>Active</v>
      </c>
      <c r="L357" t="s">
        <v>12</v>
      </c>
    </row>
    <row r="358" spans="2:12" x14ac:dyDescent="0.35">
      <c r="B358" t="s">
        <v>427</v>
      </c>
      <c r="C358" t="s">
        <v>42</v>
      </c>
      <c r="D358" t="s">
        <v>10</v>
      </c>
      <c r="E358" t="s">
        <v>50</v>
      </c>
      <c r="I358" s="5">
        <v>46084</v>
      </c>
      <c r="J358" s="5">
        <f t="shared" si="10"/>
        <v>46267</v>
      </c>
      <c r="K358" t="str">
        <f t="shared" ca="1" si="11"/>
        <v>Active</v>
      </c>
      <c r="L358" t="s">
        <v>12</v>
      </c>
    </row>
    <row r="359" spans="2:12" x14ac:dyDescent="0.35">
      <c r="B359" t="s">
        <v>428</v>
      </c>
      <c r="C359" t="s">
        <v>21</v>
      </c>
      <c r="D359" t="s">
        <v>123</v>
      </c>
      <c r="E359" t="s">
        <v>10</v>
      </c>
      <c r="I359" s="5">
        <v>46086</v>
      </c>
      <c r="J359" s="5">
        <f t="shared" si="10"/>
        <v>46269</v>
      </c>
      <c r="K359" t="str">
        <f t="shared" ca="1" si="11"/>
        <v>Active</v>
      </c>
      <c r="L359" t="s">
        <v>12</v>
      </c>
    </row>
    <row r="360" spans="2:12" x14ac:dyDescent="0.35">
      <c r="B360" t="s">
        <v>429</v>
      </c>
      <c r="C360" t="s">
        <v>21</v>
      </c>
      <c r="D360" t="s">
        <v>16</v>
      </c>
      <c r="E360" t="s">
        <v>36</v>
      </c>
      <c r="I360" s="5">
        <v>46087</v>
      </c>
      <c r="J360" s="5">
        <f t="shared" si="10"/>
        <v>46270</v>
      </c>
      <c r="K360" t="str">
        <f t="shared" ca="1" si="11"/>
        <v>Active</v>
      </c>
      <c r="L360" t="s">
        <v>12</v>
      </c>
    </row>
    <row r="361" spans="2:12" x14ac:dyDescent="0.35">
      <c r="B361" t="s">
        <v>430</v>
      </c>
      <c r="C361" s="3" t="s">
        <v>14</v>
      </c>
      <c r="D361" t="s">
        <v>29</v>
      </c>
      <c r="E361" t="s">
        <v>26</v>
      </c>
      <c r="I361" s="5">
        <v>46087</v>
      </c>
      <c r="J361" s="5">
        <f t="shared" si="10"/>
        <v>46270</v>
      </c>
      <c r="K361" t="str">
        <f t="shared" ca="1" si="11"/>
        <v>Active</v>
      </c>
      <c r="L361" t="s">
        <v>12</v>
      </c>
    </row>
    <row r="362" spans="2:12" x14ac:dyDescent="0.35">
      <c r="B362" t="s">
        <v>431</v>
      </c>
      <c r="C362" t="s">
        <v>18</v>
      </c>
      <c r="D362" t="s">
        <v>10</v>
      </c>
      <c r="E362" t="s">
        <v>213</v>
      </c>
      <c r="I362" s="5">
        <v>46090</v>
      </c>
      <c r="J362" s="5">
        <f t="shared" si="10"/>
        <v>46273</v>
      </c>
      <c r="K362" t="str">
        <f t="shared" ca="1" si="11"/>
        <v>Active</v>
      </c>
      <c r="L362" t="s">
        <v>12</v>
      </c>
    </row>
    <row r="363" spans="2:12" x14ac:dyDescent="0.35">
      <c r="B363" t="s">
        <v>432</v>
      </c>
      <c r="C363" t="s">
        <v>28</v>
      </c>
      <c r="D363" t="s">
        <v>16</v>
      </c>
      <c r="I363" s="5">
        <v>46090</v>
      </c>
      <c r="J363" s="5">
        <f t="shared" si="10"/>
        <v>46273</v>
      </c>
      <c r="K363" t="str">
        <f t="shared" ca="1" si="11"/>
        <v>Active</v>
      </c>
      <c r="L363" t="s">
        <v>12</v>
      </c>
    </row>
    <row r="364" spans="2:12" x14ac:dyDescent="0.35">
      <c r="B364" t="s">
        <v>433</v>
      </c>
      <c r="C364" t="s">
        <v>136</v>
      </c>
      <c r="D364" s="4" t="s">
        <v>434</v>
      </c>
      <c r="I364" s="5">
        <v>46090</v>
      </c>
      <c r="J364" s="5">
        <f t="shared" si="10"/>
        <v>46273</v>
      </c>
      <c r="K364" t="str">
        <f t="shared" ca="1" si="11"/>
        <v>Active</v>
      </c>
      <c r="L364" t="s">
        <v>12</v>
      </c>
    </row>
    <row r="365" spans="2:12" x14ac:dyDescent="0.35">
      <c r="B365" t="s">
        <v>435</v>
      </c>
      <c r="C365" t="s">
        <v>42</v>
      </c>
      <c r="D365" t="s">
        <v>47</v>
      </c>
      <c r="E365" t="s">
        <v>23</v>
      </c>
      <c r="I365" s="5">
        <v>46092</v>
      </c>
      <c r="J365" s="5">
        <f t="shared" si="10"/>
        <v>46275</v>
      </c>
      <c r="K365" t="str">
        <f t="shared" ca="1" si="11"/>
        <v>Active</v>
      </c>
      <c r="L365" t="s">
        <v>12</v>
      </c>
    </row>
    <row r="366" spans="2:12" x14ac:dyDescent="0.35">
      <c r="B366" t="s">
        <v>436</v>
      </c>
      <c r="C366" t="s">
        <v>136</v>
      </c>
      <c r="D366" s="4" t="s">
        <v>334</v>
      </c>
      <c r="I366" s="5">
        <v>46094</v>
      </c>
      <c r="J366" s="5">
        <f t="shared" si="10"/>
        <v>46277</v>
      </c>
      <c r="K366" t="str">
        <f t="shared" ca="1" si="11"/>
        <v>Active</v>
      </c>
      <c r="L366" t="s">
        <v>12</v>
      </c>
    </row>
    <row r="367" spans="2:12" x14ac:dyDescent="0.35">
      <c r="B367" t="s">
        <v>437</v>
      </c>
      <c r="C367" t="s">
        <v>39</v>
      </c>
      <c r="D367" s="4" t="s">
        <v>438</v>
      </c>
      <c r="I367" s="5">
        <v>46094</v>
      </c>
      <c r="J367" s="5">
        <f t="shared" si="10"/>
        <v>46277</v>
      </c>
      <c r="K367" t="str">
        <f t="shared" ca="1" si="11"/>
        <v>Active</v>
      </c>
      <c r="L367" t="s">
        <v>12</v>
      </c>
    </row>
    <row r="368" spans="2:12" x14ac:dyDescent="0.35">
      <c r="B368" t="s">
        <v>439</v>
      </c>
      <c r="C368" t="s">
        <v>39</v>
      </c>
      <c r="D368" t="s">
        <v>34</v>
      </c>
      <c r="I368" s="5">
        <v>46096</v>
      </c>
      <c r="J368" s="5">
        <f t="shared" si="10"/>
        <v>46279</v>
      </c>
      <c r="K368" t="str">
        <f t="shared" ca="1" si="11"/>
        <v>Active</v>
      </c>
      <c r="L368" t="s">
        <v>12</v>
      </c>
    </row>
    <row r="369" spans="2:12" x14ac:dyDescent="0.35">
      <c r="B369" t="s">
        <v>440</v>
      </c>
      <c r="C369" s="3" t="s">
        <v>14</v>
      </c>
      <c r="D369" t="s">
        <v>16</v>
      </c>
      <c r="I369" s="5">
        <v>46096</v>
      </c>
      <c r="J369" s="5">
        <f t="shared" si="10"/>
        <v>46279</v>
      </c>
      <c r="K369" t="str">
        <f t="shared" ca="1" si="11"/>
        <v>Active</v>
      </c>
      <c r="L369" t="s">
        <v>12</v>
      </c>
    </row>
    <row r="370" spans="2:12" x14ac:dyDescent="0.35">
      <c r="B370" t="s">
        <v>441</v>
      </c>
      <c r="C370" s="3" t="s">
        <v>21</v>
      </c>
      <c r="D370" t="s">
        <v>36</v>
      </c>
      <c r="E370" s="4" t="s">
        <v>56</v>
      </c>
      <c r="I370" s="5">
        <v>46096</v>
      </c>
      <c r="J370" s="5">
        <f t="shared" si="10"/>
        <v>46279</v>
      </c>
      <c r="K370" t="str">
        <f t="shared" ca="1" si="11"/>
        <v>Active</v>
      </c>
      <c r="L370" t="s">
        <v>63</v>
      </c>
    </row>
    <row r="371" spans="2:12" x14ac:dyDescent="0.35">
      <c r="B371" t="s">
        <v>442</v>
      </c>
      <c r="C371" s="3" t="s">
        <v>21</v>
      </c>
      <c r="D371" t="s">
        <v>16</v>
      </c>
      <c r="E371" t="s">
        <v>277</v>
      </c>
      <c r="I371" s="5">
        <v>46096</v>
      </c>
      <c r="J371" s="5">
        <f t="shared" si="10"/>
        <v>46279</v>
      </c>
      <c r="K371" t="str">
        <f t="shared" ca="1" si="11"/>
        <v>Active</v>
      </c>
      <c r="L371" t="s">
        <v>63</v>
      </c>
    </row>
    <row r="372" spans="2:12" x14ac:dyDescent="0.35">
      <c r="B372" t="s">
        <v>443</v>
      </c>
      <c r="C372" t="s">
        <v>42</v>
      </c>
      <c r="D372" t="s">
        <v>23</v>
      </c>
      <c r="E372" t="s">
        <v>213</v>
      </c>
      <c r="I372" s="5">
        <v>46097</v>
      </c>
      <c r="J372" s="5">
        <f t="shared" si="10"/>
        <v>46280</v>
      </c>
      <c r="K372" t="str">
        <f t="shared" ca="1" si="11"/>
        <v>Active</v>
      </c>
      <c r="L372" t="s">
        <v>12</v>
      </c>
    </row>
    <row r="373" spans="2:12" x14ac:dyDescent="0.35">
      <c r="B373" t="s">
        <v>444</v>
      </c>
      <c r="C373" t="s">
        <v>18</v>
      </c>
      <c r="D373" t="s">
        <v>16</v>
      </c>
      <c r="I373" s="5">
        <v>46097</v>
      </c>
      <c r="J373" s="5">
        <f t="shared" si="10"/>
        <v>46280</v>
      </c>
      <c r="K373" t="str">
        <f t="shared" ca="1" si="11"/>
        <v>Active</v>
      </c>
      <c r="L373" t="s">
        <v>12</v>
      </c>
    </row>
    <row r="374" spans="2:12" x14ac:dyDescent="0.35">
      <c r="B374" t="s">
        <v>445</v>
      </c>
      <c r="C374" t="s">
        <v>21</v>
      </c>
      <c r="D374" s="4" t="s">
        <v>147</v>
      </c>
      <c r="E374" s="4" t="s">
        <v>70</v>
      </c>
      <c r="I374" s="5">
        <v>46097</v>
      </c>
      <c r="J374" s="5">
        <f t="shared" si="10"/>
        <v>46280</v>
      </c>
      <c r="K374" t="str">
        <f t="shared" ca="1" si="11"/>
        <v>Active</v>
      </c>
      <c r="L374" t="s">
        <v>12</v>
      </c>
    </row>
    <row r="375" spans="2:12" x14ac:dyDescent="0.35">
      <c r="B375" t="s">
        <v>446</v>
      </c>
      <c r="C375" t="s">
        <v>21</v>
      </c>
      <c r="D375" t="s">
        <v>47</v>
      </c>
      <c r="E375" t="s">
        <v>16</v>
      </c>
      <c r="F375" t="s">
        <v>277</v>
      </c>
      <c r="I375" s="5">
        <v>46097</v>
      </c>
      <c r="J375" s="5">
        <f t="shared" si="10"/>
        <v>46280</v>
      </c>
      <c r="K375" t="str">
        <f t="shared" ca="1" si="11"/>
        <v>Active</v>
      </c>
      <c r="L375" t="s">
        <v>12</v>
      </c>
    </row>
    <row r="376" spans="2:12" x14ac:dyDescent="0.35">
      <c r="B376" t="s">
        <v>447</v>
      </c>
      <c r="C376" t="s">
        <v>42</v>
      </c>
      <c r="D376" t="s">
        <v>10</v>
      </c>
      <c r="E376" t="s">
        <v>29</v>
      </c>
      <c r="I376" s="5">
        <v>46098</v>
      </c>
      <c r="J376" s="5">
        <f t="shared" si="10"/>
        <v>46281</v>
      </c>
      <c r="K376" t="str">
        <f t="shared" ca="1" si="11"/>
        <v>Active</v>
      </c>
      <c r="L376" t="s">
        <v>12</v>
      </c>
    </row>
    <row r="377" spans="2:12" x14ac:dyDescent="0.35">
      <c r="B377" t="s">
        <v>448</v>
      </c>
      <c r="C377" t="s">
        <v>21</v>
      </c>
      <c r="D377" s="4" t="s">
        <v>147</v>
      </c>
      <c r="E377" t="s">
        <v>90</v>
      </c>
      <c r="I377" s="5">
        <v>46099</v>
      </c>
      <c r="J377" s="5">
        <f t="shared" si="10"/>
        <v>46282</v>
      </c>
      <c r="K377" t="str">
        <f t="shared" ca="1" si="11"/>
        <v>Active</v>
      </c>
      <c r="L377" t="s">
        <v>12</v>
      </c>
    </row>
    <row r="378" spans="2:12" x14ac:dyDescent="0.35">
      <c r="B378" t="s">
        <v>449</v>
      </c>
      <c r="C378" t="s">
        <v>9</v>
      </c>
      <c r="D378" t="s">
        <v>277</v>
      </c>
      <c r="E378" t="s">
        <v>16</v>
      </c>
      <c r="F378" t="s">
        <v>36</v>
      </c>
      <c r="I378" s="5">
        <v>46099</v>
      </c>
      <c r="J378" s="5">
        <f t="shared" si="10"/>
        <v>46282</v>
      </c>
      <c r="K378" t="str">
        <f t="shared" ca="1" si="11"/>
        <v>Active</v>
      </c>
      <c r="L378" t="s">
        <v>12</v>
      </c>
    </row>
    <row r="379" spans="2:12" x14ac:dyDescent="0.35">
      <c r="B379" t="s">
        <v>450</v>
      </c>
      <c r="C379" t="s">
        <v>18</v>
      </c>
      <c r="D379" t="s">
        <v>23</v>
      </c>
      <c r="E379" t="s">
        <v>19</v>
      </c>
      <c r="I379" s="5">
        <v>46100</v>
      </c>
      <c r="J379" s="5">
        <f t="shared" si="10"/>
        <v>46283</v>
      </c>
      <c r="K379" t="str">
        <f t="shared" ca="1" si="11"/>
        <v>Active</v>
      </c>
      <c r="L379" t="s">
        <v>12</v>
      </c>
    </row>
    <row r="380" spans="2:12" x14ac:dyDescent="0.35">
      <c r="B380" t="s">
        <v>451</v>
      </c>
      <c r="C380" t="s">
        <v>42</v>
      </c>
      <c r="D380" t="s">
        <v>10</v>
      </c>
      <c r="I380" s="5">
        <v>46101</v>
      </c>
      <c r="J380" s="5">
        <f t="shared" si="10"/>
        <v>46284</v>
      </c>
      <c r="K380" t="str">
        <f t="shared" ca="1" si="11"/>
        <v>Active</v>
      </c>
      <c r="L380" t="s">
        <v>12</v>
      </c>
    </row>
    <row r="381" spans="2:12" x14ac:dyDescent="0.35">
      <c r="B381" t="s">
        <v>452</v>
      </c>
      <c r="C381" s="3" t="s">
        <v>14</v>
      </c>
      <c r="D381" t="s">
        <v>15</v>
      </c>
      <c r="E381" t="s">
        <v>10</v>
      </c>
      <c r="I381" s="5">
        <v>46101</v>
      </c>
      <c r="J381" s="5">
        <f t="shared" si="10"/>
        <v>46284</v>
      </c>
      <c r="K381" t="str">
        <f t="shared" ca="1" si="11"/>
        <v>Active</v>
      </c>
      <c r="L381" t="s">
        <v>12</v>
      </c>
    </row>
    <row r="382" spans="2:12" x14ac:dyDescent="0.35">
      <c r="B382" t="s">
        <v>453</v>
      </c>
      <c r="C382" t="s">
        <v>21</v>
      </c>
      <c r="D382" t="s">
        <v>36</v>
      </c>
      <c r="I382" s="5">
        <v>46104</v>
      </c>
      <c r="J382" s="5">
        <f>EDATE(I382,6)-1</f>
        <v>46287</v>
      </c>
      <c r="K382" t="str">
        <f ca="1">IF(J382&gt;=$B$1,"Active","Lapsed")</f>
        <v>Active</v>
      </c>
      <c r="L382" t="s">
        <v>12</v>
      </c>
    </row>
    <row r="383" spans="2:12" x14ac:dyDescent="0.35">
      <c r="B383" t="s">
        <v>454</v>
      </c>
      <c r="C383" t="s">
        <v>21</v>
      </c>
      <c r="D383" t="s">
        <v>16</v>
      </c>
      <c r="E383" t="s">
        <v>97</v>
      </c>
      <c r="I383" s="5">
        <v>46104</v>
      </c>
      <c r="J383" s="5">
        <f>EDATE(I383,6)-1</f>
        <v>46287</v>
      </c>
      <c r="K383" t="str">
        <f ca="1">IF(J383&gt;=$B$1,"Active","Lapsed")</f>
        <v>Active</v>
      </c>
      <c r="L383" t="s">
        <v>12</v>
      </c>
    </row>
    <row r="384" spans="2:12" x14ac:dyDescent="0.35">
      <c r="B384" t="s">
        <v>455</v>
      </c>
      <c r="C384" t="s">
        <v>42</v>
      </c>
      <c r="D384" t="s">
        <v>47</v>
      </c>
      <c r="E384" t="s">
        <v>16</v>
      </c>
      <c r="I384" s="5">
        <v>46104</v>
      </c>
      <c r="J384" s="5">
        <f>EDATE(I384,6)-1</f>
        <v>46287</v>
      </c>
      <c r="K384" t="str">
        <f ca="1">IF(J384&gt;=$B$1,"Active","Lapsed")</f>
        <v>Active</v>
      </c>
      <c r="L384" t="s">
        <v>12</v>
      </c>
    </row>
    <row r="385" spans="2:12" x14ac:dyDescent="0.35">
      <c r="B385" s="3" t="s">
        <v>17</v>
      </c>
      <c r="C385" t="s">
        <v>18</v>
      </c>
      <c r="D385" t="s">
        <v>19</v>
      </c>
      <c r="I385" s="5">
        <v>46105</v>
      </c>
      <c r="J385" s="5">
        <f>EDATE(I385,6)-1</f>
        <v>46288</v>
      </c>
      <c r="K385" t="str">
        <f ca="1">IF(J385&gt;=$B$1,"Active","Lapsed")</f>
        <v>Active</v>
      </c>
      <c r="L385" t="s">
        <v>12</v>
      </c>
    </row>
    <row r="386" spans="2:12" x14ac:dyDescent="0.35">
      <c r="B386" t="s">
        <v>456</v>
      </c>
      <c r="C386" t="s">
        <v>21</v>
      </c>
      <c r="D386" t="s">
        <v>36</v>
      </c>
      <c r="E386" s="4" t="s">
        <v>11</v>
      </c>
      <c r="I386" s="5">
        <v>46106</v>
      </c>
      <c r="J386" s="5">
        <f t="shared" ref="J386:J449" si="12">EDATE(I386,6)-1</f>
        <v>46289</v>
      </c>
      <c r="K386" t="str">
        <f t="shared" ref="K386:K449" ca="1" si="13">IF(J386&gt;=$B$1,"Active","Lapsed")</f>
        <v>Active</v>
      </c>
      <c r="L386" t="s">
        <v>12</v>
      </c>
    </row>
    <row r="387" spans="2:12" x14ac:dyDescent="0.35">
      <c r="B387" t="s">
        <v>457</v>
      </c>
      <c r="C387" t="s">
        <v>21</v>
      </c>
      <c r="D387" t="s">
        <v>26</v>
      </c>
      <c r="I387" s="5">
        <v>46106</v>
      </c>
      <c r="J387" s="5">
        <f t="shared" si="12"/>
        <v>46289</v>
      </c>
      <c r="K387" t="str">
        <f t="shared" ca="1" si="13"/>
        <v>Active</v>
      </c>
      <c r="L387" t="s">
        <v>12</v>
      </c>
    </row>
    <row r="388" spans="2:12" x14ac:dyDescent="0.35">
      <c r="B388" t="s">
        <v>458</v>
      </c>
      <c r="C388" t="s">
        <v>42</v>
      </c>
      <c r="D388" t="s">
        <v>96</v>
      </c>
      <c r="E388" t="s">
        <v>277</v>
      </c>
      <c r="F388" t="s">
        <v>19</v>
      </c>
      <c r="I388" s="5">
        <v>46106</v>
      </c>
      <c r="J388" s="5">
        <f t="shared" si="12"/>
        <v>46289</v>
      </c>
      <c r="K388" t="str">
        <f t="shared" ca="1" si="13"/>
        <v>Active</v>
      </c>
      <c r="L388" t="s">
        <v>12</v>
      </c>
    </row>
    <row r="389" spans="2:12" x14ac:dyDescent="0.35">
      <c r="B389" t="s">
        <v>459</v>
      </c>
      <c r="C389" t="s">
        <v>42</v>
      </c>
      <c r="D389" t="s">
        <v>19</v>
      </c>
      <c r="E389" t="s">
        <v>26</v>
      </c>
      <c r="I389" s="5">
        <v>46106</v>
      </c>
      <c r="J389" s="5">
        <f t="shared" si="12"/>
        <v>46289</v>
      </c>
      <c r="K389" t="str">
        <f t="shared" ca="1" si="13"/>
        <v>Active</v>
      </c>
      <c r="L389" t="s">
        <v>12</v>
      </c>
    </row>
    <row r="390" spans="2:12" x14ac:dyDescent="0.35">
      <c r="B390" t="s">
        <v>8</v>
      </c>
      <c r="C390" t="s">
        <v>339</v>
      </c>
      <c r="D390" t="s">
        <v>19</v>
      </c>
      <c r="E390" t="s">
        <v>11</v>
      </c>
      <c r="I390" s="5">
        <v>46107</v>
      </c>
      <c r="J390" s="5">
        <f t="shared" si="12"/>
        <v>46290</v>
      </c>
      <c r="K390" t="str">
        <f t="shared" ca="1" si="13"/>
        <v>Active</v>
      </c>
      <c r="L390" t="s">
        <v>12</v>
      </c>
    </row>
    <row r="391" spans="2:12" x14ac:dyDescent="0.35">
      <c r="B391" t="s">
        <v>460</v>
      </c>
      <c r="C391" t="s">
        <v>21</v>
      </c>
      <c r="D391" t="s">
        <v>23</v>
      </c>
      <c r="E391" t="s">
        <v>50</v>
      </c>
      <c r="F391" t="s">
        <v>34</v>
      </c>
      <c r="I391" s="5">
        <v>46107</v>
      </c>
      <c r="J391" s="5">
        <f t="shared" si="12"/>
        <v>46290</v>
      </c>
      <c r="K391" t="str">
        <f t="shared" ca="1" si="13"/>
        <v>Active</v>
      </c>
      <c r="L391" t="s">
        <v>12</v>
      </c>
    </row>
    <row r="392" spans="2:12" x14ac:dyDescent="0.35">
      <c r="B392" t="s">
        <v>22</v>
      </c>
      <c r="C392" t="s">
        <v>14</v>
      </c>
      <c r="D392" t="s">
        <v>23</v>
      </c>
      <c r="I392" s="5">
        <v>46107</v>
      </c>
      <c r="J392" s="5">
        <f t="shared" si="12"/>
        <v>46290</v>
      </c>
      <c r="K392" t="str">
        <f t="shared" ca="1" si="13"/>
        <v>Active</v>
      </c>
      <c r="L392" t="s">
        <v>12</v>
      </c>
    </row>
    <row r="393" spans="2:12" x14ac:dyDescent="0.35">
      <c r="B393" t="s">
        <v>461</v>
      </c>
      <c r="C393" t="s">
        <v>21</v>
      </c>
      <c r="D393" t="s">
        <v>19</v>
      </c>
      <c r="I393" s="5">
        <v>46107</v>
      </c>
      <c r="J393" s="5">
        <f t="shared" si="12"/>
        <v>46290</v>
      </c>
      <c r="K393" t="str">
        <f t="shared" ca="1" si="13"/>
        <v>Active</v>
      </c>
      <c r="L393" t="s">
        <v>12</v>
      </c>
    </row>
    <row r="394" spans="2:12" x14ac:dyDescent="0.35">
      <c r="B394" t="s">
        <v>462</v>
      </c>
      <c r="C394" t="s">
        <v>339</v>
      </c>
      <c r="D394" t="s">
        <v>19</v>
      </c>
      <c r="I394" s="5">
        <v>46107</v>
      </c>
      <c r="J394" s="5">
        <f t="shared" si="12"/>
        <v>46290</v>
      </c>
      <c r="K394" t="str">
        <f t="shared" ca="1" si="13"/>
        <v>Active</v>
      </c>
      <c r="L394" t="s">
        <v>12</v>
      </c>
    </row>
    <row r="395" spans="2:12" x14ac:dyDescent="0.35">
      <c r="B395" t="s">
        <v>32</v>
      </c>
      <c r="C395" t="s">
        <v>21</v>
      </c>
      <c r="D395" t="s">
        <v>16</v>
      </c>
      <c r="E395" t="s">
        <v>19</v>
      </c>
      <c r="I395" s="5">
        <v>46108</v>
      </c>
      <c r="J395" s="5">
        <f t="shared" si="12"/>
        <v>46291</v>
      </c>
      <c r="K395" t="str">
        <f t="shared" ca="1" si="13"/>
        <v>Active</v>
      </c>
      <c r="L395" t="s">
        <v>12</v>
      </c>
    </row>
    <row r="396" spans="2:12" x14ac:dyDescent="0.35">
      <c r="B396" t="s">
        <v>463</v>
      </c>
      <c r="C396" t="s">
        <v>136</v>
      </c>
      <c r="D396" t="s">
        <v>61</v>
      </c>
      <c r="I396" s="5">
        <v>46108</v>
      </c>
      <c r="J396" s="5">
        <f t="shared" si="12"/>
        <v>46291</v>
      </c>
      <c r="K396" t="str">
        <f t="shared" ca="1" si="13"/>
        <v>Active</v>
      </c>
      <c r="L396" t="s">
        <v>12</v>
      </c>
    </row>
    <row r="397" spans="2:12" x14ac:dyDescent="0.35">
      <c r="B397" t="s">
        <v>13</v>
      </c>
      <c r="C397" t="s">
        <v>464</v>
      </c>
      <c r="D397" t="s">
        <v>19</v>
      </c>
      <c r="E397" t="s">
        <v>16</v>
      </c>
      <c r="F397" t="s">
        <v>15</v>
      </c>
      <c r="I397" s="5">
        <v>46108</v>
      </c>
      <c r="J397" s="5">
        <f t="shared" si="12"/>
        <v>46291</v>
      </c>
      <c r="K397" t="str">
        <f t="shared" ca="1" si="13"/>
        <v>Active</v>
      </c>
      <c r="L397" t="s">
        <v>12</v>
      </c>
    </row>
    <row r="398" spans="2:12" x14ac:dyDescent="0.35">
      <c r="B398" t="s">
        <v>465</v>
      </c>
      <c r="C398" t="s">
        <v>28</v>
      </c>
      <c r="D398" s="4" t="s">
        <v>56</v>
      </c>
      <c r="I398" s="5">
        <v>46108</v>
      </c>
      <c r="J398" s="5">
        <f t="shared" si="12"/>
        <v>46291</v>
      </c>
      <c r="K398" t="str">
        <f t="shared" ca="1" si="13"/>
        <v>Active</v>
      </c>
      <c r="L398" t="s">
        <v>12</v>
      </c>
    </row>
    <row r="399" spans="2:12" x14ac:dyDescent="0.35">
      <c r="B399" t="s">
        <v>41</v>
      </c>
      <c r="C399" t="s">
        <v>42</v>
      </c>
      <c r="D399" t="s">
        <v>43</v>
      </c>
      <c r="E399" t="s">
        <v>16</v>
      </c>
      <c r="I399" s="5">
        <v>46108</v>
      </c>
      <c r="J399" s="5">
        <f t="shared" si="12"/>
        <v>46291</v>
      </c>
      <c r="K399" t="str">
        <f t="shared" ca="1" si="13"/>
        <v>Active</v>
      </c>
      <c r="L399" t="s">
        <v>12</v>
      </c>
    </row>
    <row r="400" spans="2:12" x14ac:dyDescent="0.35">
      <c r="B400" t="s">
        <v>466</v>
      </c>
      <c r="C400" t="s">
        <v>467</v>
      </c>
      <c r="D400" t="s">
        <v>29</v>
      </c>
      <c r="E400" t="s">
        <v>19</v>
      </c>
      <c r="F400" s="4" t="s">
        <v>11</v>
      </c>
      <c r="I400" s="5">
        <v>46108</v>
      </c>
      <c r="J400" s="5">
        <f t="shared" si="12"/>
        <v>46291</v>
      </c>
      <c r="K400" t="str">
        <f t="shared" ca="1" si="13"/>
        <v>Active</v>
      </c>
      <c r="L400" t="s">
        <v>12</v>
      </c>
    </row>
    <row r="401" spans="2:12" x14ac:dyDescent="0.35">
      <c r="B401" t="s">
        <v>468</v>
      </c>
      <c r="C401" t="s">
        <v>21</v>
      </c>
      <c r="D401" s="4" t="s">
        <v>179</v>
      </c>
      <c r="I401" s="5">
        <v>46108</v>
      </c>
      <c r="J401" s="5">
        <f t="shared" si="12"/>
        <v>46291</v>
      </c>
      <c r="K401" t="str">
        <f t="shared" ca="1" si="13"/>
        <v>Active</v>
      </c>
      <c r="L401" t="s">
        <v>12</v>
      </c>
    </row>
    <row r="402" spans="2:12" x14ac:dyDescent="0.35">
      <c r="B402" t="s">
        <v>469</v>
      </c>
      <c r="C402" t="s">
        <v>397</v>
      </c>
      <c r="D402" s="4" t="s">
        <v>470</v>
      </c>
      <c r="I402" s="5">
        <v>46108</v>
      </c>
      <c r="J402" s="5">
        <f t="shared" si="12"/>
        <v>46291</v>
      </c>
      <c r="K402" t="str">
        <f t="shared" ca="1" si="13"/>
        <v>Active</v>
      </c>
      <c r="L402" t="s">
        <v>12</v>
      </c>
    </row>
    <row r="403" spans="2:12" x14ac:dyDescent="0.35">
      <c r="B403" t="s">
        <v>471</v>
      </c>
      <c r="C403" t="s">
        <v>397</v>
      </c>
      <c r="D403" t="s">
        <v>50</v>
      </c>
      <c r="I403" s="5">
        <v>46108</v>
      </c>
      <c r="J403" s="5">
        <f t="shared" si="12"/>
        <v>46291</v>
      </c>
      <c r="K403" t="str">
        <f t="shared" ca="1" si="13"/>
        <v>Active</v>
      </c>
      <c r="L403" t="s">
        <v>12</v>
      </c>
    </row>
    <row r="404" spans="2:12" x14ac:dyDescent="0.35">
      <c r="B404" t="s">
        <v>472</v>
      </c>
      <c r="C404" t="s">
        <v>21</v>
      </c>
      <c r="D404" t="s">
        <v>23</v>
      </c>
      <c r="I404" s="5">
        <v>46110</v>
      </c>
      <c r="J404" s="5">
        <f t="shared" si="12"/>
        <v>46293</v>
      </c>
      <c r="K404" t="str">
        <f t="shared" ca="1" si="13"/>
        <v>Active</v>
      </c>
      <c r="L404" t="s">
        <v>12</v>
      </c>
    </row>
    <row r="405" spans="2:12" s="1" customFormat="1" x14ac:dyDescent="0.35">
      <c r="B405" s="9" t="s">
        <v>473</v>
      </c>
      <c r="C405" s="10" t="s">
        <v>21</v>
      </c>
      <c r="D405" t="s">
        <v>16</v>
      </c>
      <c r="E405" t="s">
        <v>26</v>
      </c>
      <c r="I405" s="5">
        <v>46111</v>
      </c>
      <c r="J405" s="5">
        <f t="shared" si="12"/>
        <v>46294</v>
      </c>
      <c r="K405" t="str">
        <f t="shared" ca="1" si="13"/>
        <v>Active</v>
      </c>
      <c r="L405" t="s">
        <v>12</v>
      </c>
    </row>
    <row r="406" spans="2:12" x14ac:dyDescent="0.35">
      <c r="B406" s="11" t="s">
        <v>474</v>
      </c>
      <c r="C406" s="10" t="s">
        <v>14</v>
      </c>
      <c r="D406" s="4" t="s">
        <v>475</v>
      </c>
      <c r="I406" s="5">
        <v>46111</v>
      </c>
      <c r="J406" s="5">
        <f t="shared" si="12"/>
        <v>46294</v>
      </c>
      <c r="K406" t="str">
        <f t="shared" ca="1" si="13"/>
        <v>Active</v>
      </c>
      <c r="L406" t="s">
        <v>12</v>
      </c>
    </row>
    <row r="407" spans="2:12" x14ac:dyDescent="0.35">
      <c r="B407" s="11" t="s">
        <v>476</v>
      </c>
      <c r="C407" s="10" t="s">
        <v>136</v>
      </c>
      <c r="D407" t="s">
        <v>16</v>
      </c>
      <c r="E407" t="s">
        <v>112</v>
      </c>
      <c r="I407" s="5">
        <v>46111</v>
      </c>
      <c r="J407" s="5">
        <f t="shared" si="12"/>
        <v>46294</v>
      </c>
      <c r="K407" t="str">
        <f t="shared" ca="1" si="13"/>
        <v>Active</v>
      </c>
      <c r="L407" t="s">
        <v>12</v>
      </c>
    </row>
    <row r="408" spans="2:12" x14ac:dyDescent="0.35">
      <c r="B408" s="12" t="s">
        <v>477</v>
      </c>
      <c r="C408" s="13" t="s">
        <v>14</v>
      </c>
      <c r="D408" t="s">
        <v>19</v>
      </c>
      <c r="I408" s="5">
        <v>46112</v>
      </c>
      <c r="J408" s="5">
        <f t="shared" si="12"/>
        <v>46294</v>
      </c>
      <c r="K408" t="str">
        <f t="shared" ca="1" si="13"/>
        <v>Active</v>
      </c>
      <c r="L408" t="s">
        <v>12</v>
      </c>
    </row>
    <row r="409" spans="2:12" x14ac:dyDescent="0.35">
      <c r="B409" s="14" t="s">
        <v>478</v>
      </c>
      <c r="C409" s="13" t="s">
        <v>42</v>
      </c>
      <c r="D409" t="s">
        <v>50</v>
      </c>
      <c r="E409" t="s">
        <v>112</v>
      </c>
      <c r="I409" s="5">
        <v>46112</v>
      </c>
      <c r="J409" s="5">
        <f t="shared" si="12"/>
        <v>46294</v>
      </c>
      <c r="K409" t="str">
        <f t="shared" ca="1" si="13"/>
        <v>Active</v>
      </c>
      <c r="L409" t="s">
        <v>12</v>
      </c>
    </row>
    <row r="410" spans="2:12" x14ac:dyDescent="0.35">
      <c r="B410" s="14" t="s">
        <v>479</v>
      </c>
      <c r="C410" s="13" t="s">
        <v>28</v>
      </c>
      <c r="D410" s="4" t="s">
        <v>40</v>
      </c>
      <c r="I410" s="5">
        <v>46112</v>
      </c>
      <c r="J410" s="5">
        <f t="shared" si="12"/>
        <v>46294</v>
      </c>
      <c r="K410" t="str">
        <f t="shared" ca="1" si="13"/>
        <v>Active</v>
      </c>
      <c r="L410" t="s">
        <v>12</v>
      </c>
    </row>
    <row r="411" spans="2:12" x14ac:dyDescent="0.35">
      <c r="B411" s="15" t="s">
        <v>55</v>
      </c>
      <c r="C411" s="16" t="s">
        <v>14</v>
      </c>
      <c r="D411" s="4" t="s">
        <v>56</v>
      </c>
      <c r="I411" s="5">
        <v>46112</v>
      </c>
      <c r="J411" s="5">
        <f t="shared" si="12"/>
        <v>46294</v>
      </c>
      <c r="K411" t="str">
        <f t="shared" ca="1" si="13"/>
        <v>Active</v>
      </c>
      <c r="L411" t="s">
        <v>12</v>
      </c>
    </row>
    <row r="412" spans="2:12" x14ac:dyDescent="0.35">
      <c r="B412" s="15" t="s">
        <v>27</v>
      </c>
      <c r="C412" s="16" t="s">
        <v>28</v>
      </c>
      <c r="D412" t="s">
        <v>29</v>
      </c>
      <c r="E412" t="s">
        <v>15</v>
      </c>
      <c r="I412" s="5">
        <v>46112</v>
      </c>
      <c r="J412" s="5">
        <f t="shared" si="12"/>
        <v>46294</v>
      </c>
      <c r="K412" t="str">
        <f t="shared" ca="1" si="13"/>
        <v>Active</v>
      </c>
      <c r="L412" t="s">
        <v>12</v>
      </c>
    </row>
    <row r="413" spans="2:12" x14ac:dyDescent="0.35">
      <c r="B413" s="17" t="s">
        <v>53</v>
      </c>
      <c r="C413" s="13" t="s">
        <v>42</v>
      </c>
      <c r="D413" t="s">
        <v>43</v>
      </c>
      <c r="E413" t="s">
        <v>26</v>
      </c>
      <c r="F413" t="s">
        <v>54</v>
      </c>
      <c r="I413" s="5">
        <v>46112</v>
      </c>
      <c r="J413" s="5">
        <f t="shared" si="12"/>
        <v>46294</v>
      </c>
      <c r="K413" t="str">
        <f t="shared" ca="1" si="13"/>
        <v>Active</v>
      </c>
      <c r="L413" t="s">
        <v>12</v>
      </c>
    </row>
    <row r="414" spans="2:12" x14ac:dyDescent="0.35">
      <c r="B414" s="15" t="s">
        <v>480</v>
      </c>
      <c r="C414" s="18" t="s">
        <v>21</v>
      </c>
      <c r="D414" t="s">
        <v>26</v>
      </c>
      <c r="I414" s="5">
        <v>46112</v>
      </c>
      <c r="J414" s="5">
        <f t="shared" si="12"/>
        <v>46294</v>
      </c>
      <c r="K414" t="str">
        <f t="shared" ca="1" si="13"/>
        <v>Active</v>
      </c>
      <c r="L414" t="s">
        <v>12</v>
      </c>
    </row>
    <row r="415" spans="2:12" x14ac:dyDescent="0.35">
      <c r="B415" s="15" t="s">
        <v>481</v>
      </c>
      <c r="C415" s="18" t="s">
        <v>14</v>
      </c>
      <c r="D415" t="s">
        <v>16</v>
      </c>
      <c r="E415" t="s">
        <v>36</v>
      </c>
      <c r="I415" s="5">
        <v>46112</v>
      </c>
      <c r="J415" s="5">
        <f t="shared" si="12"/>
        <v>46294</v>
      </c>
      <c r="K415" t="str">
        <f t="shared" ca="1" si="13"/>
        <v>Active</v>
      </c>
      <c r="L415" t="s">
        <v>12</v>
      </c>
    </row>
    <row r="416" spans="2:12" x14ac:dyDescent="0.35">
      <c r="B416" s="15" t="s">
        <v>68</v>
      </c>
      <c r="C416" s="18" t="s">
        <v>21</v>
      </c>
      <c r="D416" t="s">
        <v>112</v>
      </c>
      <c r="E416" t="s">
        <v>36</v>
      </c>
      <c r="I416" s="5">
        <v>46112</v>
      </c>
      <c r="J416" s="5">
        <f t="shared" si="12"/>
        <v>46294</v>
      </c>
      <c r="K416" t="str">
        <f t="shared" ca="1" si="13"/>
        <v>Active</v>
      </c>
      <c r="L416" t="s">
        <v>12</v>
      </c>
    </row>
    <row r="417" spans="2:12" x14ac:dyDescent="0.35">
      <c r="B417" s="15" t="s">
        <v>482</v>
      </c>
      <c r="C417" s="16" t="s">
        <v>14</v>
      </c>
      <c r="D417" t="s">
        <v>10</v>
      </c>
      <c r="E417" t="s">
        <v>15</v>
      </c>
      <c r="I417" s="5">
        <v>46112</v>
      </c>
      <c r="J417" s="5">
        <f t="shared" si="12"/>
        <v>46294</v>
      </c>
      <c r="K417" t="str">
        <f t="shared" ca="1" si="13"/>
        <v>Active</v>
      </c>
      <c r="L417" t="s">
        <v>12</v>
      </c>
    </row>
    <row r="418" spans="2:12" x14ac:dyDescent="0.35">
      <c r="B418" s="15" t="s">
        <v>71</v>
      </c>
      <c r="C418" s="16" t="s">
        <v>21</v>
      </c>
      <c r="D418" t="s">
        <v>16</v>
      </c>
      <c r="I418" s="5">
        <v>46112</v>
      </c>
      <c r="J418" s="5">
        <f t="shared" si="12"/>
        <v>46294</v>
      </c>
      <c r="K418" t="str">
        <f t="shared" ca="1" si="13"/>
        <v>Active</v>
      </c>
      <c r="L418" t="s">
        <v>12</v>
      </c>
    </row>
    <row r="419" spans="2:12" x14ac:dyDescent="0.35">
      <c r="B419" s="15" t="s">
        <v>483</v>
      </c>
      <c r="C419" s="16" t="s">
        <v>21</v>
      </c>
      <c r="D419" t="s">
        <v>179</v>
      </c>
      <c r="I419" s="5">
        <v>46112</v>
      </c>
      <c r="J419" s="5">
        <f t="shared" si="12"/>
        <v>46294</v>
      </c>
      <c r="K419" t="str">
        <f t="shared" ca="1" si="13"/>
        <v>Active</v>
      </c>
      <c r="L419" t="s">
        <v>12</v>
      </c>
    </row>
    <row r="420" spans="2:12" x14ac:dyDescent="0.35">
      <c r="B420" s="19" t="s">
        <v>44</v>
      </c>
      <c r="C420" s="16" t="s">
        <v>21</v>
      </c>
      <c r="D420" t="s">
        <v>16</v>
      </c>
      <c r="I420" s="5">
        <v>46112</v>
      </c>
      <c r="J420" s="5">
        <f t="shared" si="12"/>
        <v>46294</v>
      </c>
      <c r="K420" t="str">
        <f t="shared" ca="1" si="13"/>
        <v>Active</v>
      </c>
      <c r="L420" t="s">
        <v>12</v>
      </c>
    </row>
    <row r="421" spans="2:12" x14ac:dyDescent="0.35">
      <c r="B421" s="19" t="s">
        <v>484</v>
      </c>
      <c r="C421" s="16" t="s">
        <v>136</v>
      </c>
      <c r="D421" s="4" t="s">
        <v>485</v>
      </c>
      <c r="I421" s="5">
        <v>46112</v>
      </c>
      <c r="J421" s="5">
        <f t="shared" si="12"/>
        <v>46294</v>
      </c>
      <c r="K421" t="str">
        <f t="shared" ca="1" si="13"/>
        <v>Active</v>
      </c>
      <c r="L421" t="s">
        <v>12</v>
      </c>
    </row>
    <row r="422" spans="2:12" x14ac:dyDescent="0.35">
      <c r="B422" s="19" t="s">
        <v>486</v>
      </c>
      <c r="C422" s="16" t="s">
        <v>28</v>
      </c>
      <c r="D422" t="s">
        <v>254</v>
      </c>
      <c r="I422" s="5">
        <v>46112</v>
      </c>
      <c r="J422" s="5">
        <f t="shared" si="12"/>
        <v>46294</v>
      </c>
      <c r="K422" t="str">
        <f t="shared" ca="1" si="13"/>
        <v>Active</v>
      </c>
      <c r="L422" t="s">
        <v>12</v>
      </c>
    </row>
    <row r="423" spans="2:12" x14ac:dyDescent="0.35">
      <c r="B423" s="19" t="s">
        <v>487</v>
      </c>
      <c r="C423" s="20" t="s">
        <v>21</v>
      </c>
      <c r="D423" t="s">
        <v>23</v>
      </c>
      <c r="E423" t="s">
        <v>112</v>
      </c>
      <c r="I423" s="5">
        <v>46112</v>
      </c>
      <c r="J423" s="5">
        <f t="shared" si="12"/>
        <v>46294</v>
      </c>
      <c r="K423" t="str">
        <f t="shared" ca="1" si="13"/>
        <v>Active</v>
      </c>
      <c r="L423" t="s">
        <v>12</v>
      </c>
    </row>
    <row r="424" spans="2:12" x14ac:dyDescent="0.35">
      <c r="B424" s="19" t="s">
        <v>488</v>
      </c>
      <c r="C424" s="20" t="s">
        <v>21</v>
      </c>
      <c r="D424" t="s">
        <v>16</v>
      </c>
      <c r="E424" t="s">
        <v>123</v>
      </c>
      <c r="I424" s="5">
        <v>46113</v>
      </c>
      <c r="J424" s="5">
        <f t="shared" si="12"/>
        <v>46295</v>
      </c>
      <c r="K424" t="str">
        <f t="shared" ca="1" si="13"/>
        <v>Active</v>
      </c>
      <c r="L424" t="s">
        <v>12</v>
      </c>
    </row>
    <row r="425" spans="2:12" x14ac:dyDescent="0.35">
      <c r="B425" s="15" t="s">
        <v>489</v>
      </c>
      <c r="C425" s="20" t="s">
        <v>21</v>
      </c>
      <c r="D425" t="s">
        <v>10</v>
      </c>
      <c r="E425" t="s">
        <v>15</v>
      </c>
      <c r="I425" s="5">
        <v>46113</v>
      </c>
      <c r="J425" s="5">
        <f t="shared" si="12"/>
        <v>46295</v>
      </c>
      <c r="K425" t="str">
        <f t="shared" ca="1" si="13"/>
        <v>Active</v>
      </c>
      <c r="L425" t="s">
        <v>12</v>
      </c>
    </row>
    <row r="426" spans="2:12" x14ac:dyDescent="0.35">
      <c r="B426" s="15" t="s">
        <v>490</v>
      </c>
      <c r="C426" s="16" t="s">
        <v>14</v>
      </c>
      <c r="D426" t="s">
        <v>16</v>
      </c>
      <c r="I426" s="5">
        <v>46113</v>
      </c>
      <c r="J426" s="5">
        <f t="shared" si="12"/>
        <v>46295</v>
      </c>
      <c r="K426" t="str">
        <f t="shared" ca="1" si="13"/>
        <v>Active</v>
      </c>
      <c r="L426" t="s">
        <v>12</v>
      </c>
    </row>
    <row r="427" spans="2:12" x14ac:dyDescent="0.35">
      <c r="B427" s="15" t="s">
        <v>491</v>
      </c>
      <c r="C427" s="16" t="s">
        <v>21</v>
      </c>
      <c r="D427" t="s">
        <v>16</v>
      </c>
      <c r="E427" t="s">
        <v>112</v>
      </c>
      <c r="I427" s="5">
        <v>46113</v>
      </c>
      <c r="J427" s="5">
        <f t="shared" si="12"/>
        <v>46295</v>
      </c>
      <c r="K427" t="str">
        <f t="shared" ca="1" si="13"/>
        <v>Active</v>
      </c>
      <c r="L427" t="s">
        <v>12</v>
      </c>
    </row>
    <row r="428" spans="2:12" x14ac:dyDescent="0.35">
      <c r="B428" s="15" t="s">
        <v>52</v>
      </c>
      <c r="C428" s="16" t="s">
        <v>21</v>
      </c>
      <c r="D428" t="s">
        <v>16</v>
      </c>
      <c r="E428" t="s">
        <v>23</v>
      </c>
      <c r="I428" s="5">
        <v>46113</v>
      </c>
      <c r="J428" s="5">
        <f t="shared" si="12"/>
        <v>46295</v>
      </c>
      <c r="K428" t="str">
        <f t="shared" ca="1" si="13"/>
        <v>Active</v>
      </c>
      <c r="L428" t="s">
        <v>12</v>
      </c>
    </row>
    <row r="429" spans="2:12" x14ac:dyDescent="0.35">
      <c r="B429" s="14" t="s">
        <v>72</v>
      </c>
      <c r="C429" s="16" t="s">
        <v>21</v>
      </c>
      <c r="D429" t="s">
        <v>23</v>
      </c>
      <c r="I429" s="5">
        <v>46113</v>
      </c>
      <c r="J429" s="5">
        <f t="shared" si="12"/>
        <v>46295</v>
      </c>
      <c r="K429" t="str">
        <f t="shared" ca="1" si="13"/>
        <v>Active</v>
      </c>
      <c r="L429" t="s">
        <v>12</v>
      </c>
    </row>
    <row r="430" spans="2:12" x14ac:dyDescent="0.35">
      <c r="B430" s="14" t="s">
        <v>492</v>
      </c>
      <c r="C430" s="16" t="s">
        <v>14</v>
      </c>
      <c r="D430" s="4" t="s">
        <v>493</v>
      </c>
      <c r="E430" s="4" t="s">
        <v>494</v>
      </c>
      <c r="I430" s="5">
        <v>46113</v>
      </c>
      <c r="J430" s="5">
        <f t="shared" si="12"/>
        <v>46295</v>
      </c>
      <c r="K430" t="str">
        <f t="shared" ca="1" si="13"/>
        <v>Active</v>
      </c>
      <c r="L430" t="s">
        <v>12</v>
      </c>
    </row>
    <row r="431" spans="2:12" x14ac:dyDescent="0.35">
      <c r="B431" s="14" t="s">
        <v>495</v>
      </c>
      <c r="C431" s="16" t="s">
        <v>28</v>
      </c>
      <c r="D431" s="4" t="s">
        <v>493</v>
      </c>
      <c r="I431" s="5">
        <v>46114</v>
      </c>
      <c r="J431" s="5">
        <f t="shared" si="12"/>
        <v>46296</v>
      </c>
      <c r="K431" t="str">
        <f t="shared" ca="1" si="13"/>
        <v>Active</v>
      </c>
      <c r="L431" t="s">
        <v>12</v>
      </c>
    </row>
    <row r="432" spans="2:12" x14ac:dyDescent="0.35">
      <c r="B432" s="14" t="s">
        <v>30</v>
      </c>
      <c r="C432" s="16" t="s">
        <v>21</v>
      </c>
      <c r="D432" t="s">
        <v>36</v>
      </c>
      <c r="E432" t="s">
        <v>19</v>
      </c>
      <c r="I432" s="5">
        <v>46114</v>
      </c>
      <c r="J432" s="5">
        <f t="shared" si="12"/>
        <v>46296</v>
      </c>
      <c r="K432" t="str">
        <f t="shared" ca="1" si="13"/>
        <v>Active</v>
      </c>
      <c r="L432" t="s">
        <v>12</v>
      </c>
    </row>
    <row r="433" spans="2:12" x14ac:dyDescent="0.35">
      <c r="B433" s="15" t="s">
        <v>496</v>
      </c>
      <c r="C433" s="16" t="s">
        <v>14</v>
      </c>
      <c r="D433" t="s">
        <v>23</v>
      </c>
      <c r="E433" t="s">
        <v>61</v>
      </c>
      <c r="I433" s="5">
        <v>46114</v>
      </c>
      <c r="J433" s="5">
        <f t="shared" si="12"/>
        <v>46296</v>
      </c>
      <c r="K433" t="str">
        <f t="shared" ca="1" si="13"/>
        <v>Active</v>
      </c>
      <c r="L433" t="s">
        <v>12</v>
      </c>
    </row>
    <row r="434" spans="2:12" x14ac:dyDescent="0.35">
      <c r="B434" s="15" t="s">
        <v>79</v>
      </c>
      <c r="C434" s="16" t="s">
        <v>21</v>
      </c>
      <c r="D434" t="s">
        <v>16</v>
      </c>
      <c r="I434" s="5">
        <v>46114</v>
      </c>
      <c r="J434" s="5">
        <f t="shared" si="12"/>
        <v>46296</v>
      </c>
      <c r="K434" t="str">
        <f t="shared" ca="1" si="13"/>
        <v>Active</v>
      </c>
      <c r="L434" t="s">
        <v>12</v>
      </c>
    </row>
    <row r="435" spans="2:12" x14ac:dyDescent="0.35">
      <c r="B435" s="15" t="s">
        <v>497</v>
      </c>
      <c r="C435" s="16" t="s">
        <v>21</v>
      </c>
      <c r="D435" t="s">
        <v>61</v>
      </c>
      <c r="E435" t="s">
        <v>51</v>
      </c>
      <c r="I435" s="5">
        <v>46114</v>
      </c>
      <c r="J435" s="5">
        <f t="shared" si="12"/>
        <v>46296</v>
      </c>
      <c r="K435" t="str">
        <f t="shared" ca="1" si="13"/>
        <v>Active</v>
      </c>
      <c r="L435" t="s">
        <v>12</v>
      </c>
    </row>
    <row r="436" spans="2:12" x14ac:dyDescent="0.35">
      <c r="B436" s="15" t="s">
        <v>498</v>
      </c>
      <c r="C436" s="16" t="s">
        <v>42</v>
      </c>
      <c r="D436" t="s">
        <v>10</v>
      </c>
      <c r="I436" s="5">
        <v>46114</v>
      </c>
      <c r="J436" s="5">
        <f t="shared" si="12"/>
        <v>46296</v>
      </c>
      <c r="K436" t="str">
        <f t="shared" ca="1" si="13"/>
        <v>Active</v>
      </c>
      <c r="L436" t="s">
        <v>12</v>
      </c>
    </row>
    <row r="437" spans="2:12" x14ac:dyDescent="0.35">
      <c r="B437" s="15" t="s">
        <v>67</v>
      </c>
      <c r="C437" s="16" t="s">
        <v>21</v>
      </c>
      <c r="D437" t="s">
        <v>10</v>
      </c>
      <c r="I437" s="5">
        <v>46114</v>
      </c>
      <c r="J437" s="5">
        <f t="shared" si="12"/>
        <v>46296</v>
      </c>
      <c r="K437" t="str">
        <f t="shared" ca="1" si="13"/>
        <v>Active</v>
      </c>
      <c r="L437" t="s">
        <v>12</v>
      </c>
    </row>
    <row r="438" spans="2:12" x14ac:dyDescent="0.35">
      <c r="B438" s="15" t="s">
        <v>499</v>
      </c>
      <c r="C438" s="20" t="s">
        <v>136</v>
      </c>
      <c r="D438" t="s">
        <v>29</v>
      </c>
      <c r="E438" t="s">
        <v>10</v>
      </c>
      <c r="I438" s="5">
        <v>46114</v>
      </c>
      <c r="J438" s="5">
        <f t="shared" si="12"/>
        <v>46296</v>
      </c>
      <c r="K438" t="str">
        <f t="shared" ca="1" si="13"/>
        <v>Active</v>
      </c>
      <c r="L438" t="s">
        <v>12</v>
      </c>
    </row>
    <row r="439" spans="2:12" x14ac:dyDescent="0.35">
      <c r="B439" s="15" t="s">
        <v>500</v>
      </c>
      <c r="C439" s="13" t="s">
        <v>28</v>
      </c>
      <c r="D439" t="s">
        <v>10</v>
      </c>
      <c r="I439" s="5">
        <v>46114</v>
      </c>
      <c r="J439" s="5">
        <f t="shared" si="12"/>
        <v>46296</v>
      </c>
      <c r="K439" t="str">
        <f t="shared" ca="1" si="13"/>
        <v>Active</v>
      </c>
      <c r="L439" t="s">
        <v>12</v>
      </c>
    </row>
    <row r="440" spans="2:12" x14ac:dyDescent="0.35">
      <c r="B440" s="19" t="s">
        <v>501</v>
      </c>
      <c r="C440" s="13" t="s">
        <v>21</v>
      </c>
      <c r="D440" t="s">
        <v>16</v>
      </c>
      <c r="I440" s="5">
        <v>46114</v>
      </c>
      <c r="J440" s="5">
        <f t="shared" si="12"/>
        <v>46296</v>
      </c>
      <c r="K440" t="str">
        <f t="shared" ca="1" si="13"/>
        <v>Active</v>
      </c>
      <c r="L440" t="s">
        <v>12</v>
      </c>
    </row>
    <row r="441" spans="2:12" x14ac:dyDescent="0.35">
      <c r="B441" s="19" t="s">
        <v>77</v>
      </c>
      <c r="C441" s="13" t="s">
        <v>28</v>
      </c>
      <c r="D441" t="s">
        <v>23</v>
      </c>
      <c r="E441" t="s">
        <v>15</v>
      </c>
      <c r="I441" s="5">
        <v>46114</v>
      </c>
      <c r="J441" s="5">
        <f>EDATE(I441,6)-1</f>
        <v>46296</v>
      </c>
      <c r="K441" t="str">
        <f t="shared" ca="1" si="13"/>
        <v>Active</v>
      </c>
      <c r="L441" t="s">
        <v>12</v>
      </c>
    </row>
    <row r="442" spans="2:12" x14ac:dyDescent="0.35">
      <c r="B442" s="19" t="s">
        <v>502</v>
      </c>
      <c r="C442" s="13" t="s">
        <v>28</v>
      </c>
      <c r="D442" t="s">
        <v>16</v>
      </c>
      <c r="I442" s="5">
        <v>46114</v>
      </c>
      <c r="J442" s="5">
        <f t="shared" si="12"/>
        <v>46296</v>
      </c>
      <c r="K442" t="str">
        <f t="shared" ca="1" si="13"/>
        <v>Active</v>
      </c>
      <c r="L442" t="s">
        <v>12</v>
      </c>
    </row>
    <row r="443" spans="2:12" x14ac:dyDescent="0.35">
      <c r="B443" s="19" t="s">
        <v>503</v>
      </c>
      <c r="C443" s="16" t="s">
        <v>42</v>
      </c>
      <c r="D443" t="s">
        <v>23</v>
      </c>
      <c r="E443" t="s">
        <v>61</v>
      </c>
      <c r="F443" t="s">
        <v>90</v>
      </c>
      <c r="I443" s="5">
        <v>46114</v>
      </c>
      <c r="J443" s="5">
        <f t="shared" si="12"/>
        <v>46296</v>
      </c>
      <c r="K443" t="str">
        <f t="shared" ca="1" si="13"/>
        <v>Active</v>
      </c>
      <c r="L443" t="s">
        <v>12</v>
      </c>
    </row>
    <row r="444" spans="2:12" x14ac:dyDescent="0.35">
      <c r="B444" t="s">
        <v>49</v>
      </c>
      <c r="C444" t="s">
        <v>42</v>
      </c>
      <c r="D444" t="s">
        <v>50</v>
      </c>
      <c r="E444" t="s">
        <v>51</v>
      </c>
      <c r="I444" s="21">
        <v>46119</v>
      </c>
      <c r="J444" s="5">
        <f t="shared" si="12"/>
        <v>46301</v>
      </c>
      <c r="K444" t="str">
        <f t="shared" ca="1" si="13"/>
        <v>Active</v>
      </c>
      <c r="L444" t="s">
        <v>12</v>
      </c>
    </row>
    <row r="445" spans="2:12" x14ac:dyDescent="0.35">
      <c r="B445" t="s">
        <v>75</v>
      </c>
      <c r="C445" t="s">
        <v>18</v>
      </c>
      <c r="D445" t="s">
        <v>23</v>
      </c>
      <c r="E445" s="22" t="s">
        <v>112</v>
      </c>
      <c r="I445" s="5">
        <v>46120</v>
      </c>
      <c r="J445" s="5">
        <f t="shared" si="12"/>
        <v>46302</v>
      </c>
      <c r="K445" t="str">
        <f t="shared" ca="1" si="13"/>
        <v>Active</v>
      </c>
      <c r="L445" t="s">
        <v>12</v>
      </c>
    </row>
    <row r="446" spans="2:12" x14ac:dyDescent="0.35">
      <c r="B446" t="s">
        <v>504</v>
      </c>
      <c r="C446" t="s">
        <v>18</v>
      </c>
      <c r="D446" t="s">
        <v>36</v>
      </c>
      <c r="E446" t="s">
        <v>16</v>
      </c>
      <c r="F446" t="s">
        <v>112</v>
      </c>
      <c r="I446" s="5">
        <v>46120</v>
      </c>
      <c r="J446" s="5">
        <f>EDATE(I446,6)-1</f>
        <v>46302</v>
      </c>
      <c r="K446" t="str">
        <f t="shared" ca="1" si="13"/>
        <v>Active</v>
      </c>
      <c r="L446" t="s">
        <v>12</v>
      </c>
    </row>
    <row r="447" spans="2:12" x14ac:dyDescent="0.35">
      <c r="B447" t="s">
        <v>64</v>
      </c>
      <c r="C447" t="s">
        <v>21</v>
      </c>
      <c r="D447" t="s">
        <v>16</v>
      </c>
      <c r="E447" t="s">
        <v>505</v>
      </c>
      <c r="I447" s="5">
        <v>46120</v>
      </c>
      <c r="J447" s="5">
        <f t="shared" si="12"/>
        <v>46302</v>
      </c>
      <c r="K447" t="str">
        <f t="shared" ca="1" si="13"/>
        <v>Active</v>
      </c>
      <c r="L447" t="s">
        <v>12</v>
      </c>
    </row>
    <row r="448" spans="2:12" x14ac:dyDescent="0.35">
      <c r="B448" t="s">
        <v>87</v>
      </c>
      <c r="C448" t="s">
        <v>21</v>
      </c>
      <c r="D448" t="s">
        <v>112</v>
      </c>
      <c r="I448" s="5">
        <v>46122</v>
      </c>
      <c r="J448" s="5">
        <f t="shared" si="12"/>
        <v>46304</v>
      </c>
      <c r="K448" t="str">
        <f t="shared" ca="1" si="13"/>
        <v>Active</v>
      </c>
      <c r="L448" t="s">
        <v>12</v>
      </c>
    </row>
    <row r="449" spans="2:12" x14ac:dyDescent="0.35">
      <c r="B449" t="s">
        <v>83</v>
      </c>
      <c r="C449" t="s">
        <v>42</v>
      </c>
      <c r="D449" t="s">
        <v>26</v>
      </c>
      <c r="I449" s="5">
        <v>46122</v>
      </c>
      <c r="J449" s="5">
        <f t="shared" si="12"/>
        <v>46304</v>
      </c>
      <c r="K449" t="str">
        <f t="shared" ca="1" si="13"/>
        <v>Active</v>
      </c>
      <c r="L449" t="s">
        <v>12</v>
      </c>
    </row>
    <row r="450" spans="2:12" x14ac:dyDescent="0.35">
      <c r="B450" t="s">
        <v>80</v>
      </c>
      <c r="C450" t="s">
        <v>21</v>
      </c>
      <c r="D450" t="s">
        <v>506</v>
      </c>
      <c r="I450" s="5">
        <v>46122</v>
      </c>
      <c r="J450" s="5">
        <f t="shared" ref="J450:J503" si="14">EDATE(I450,6)-1</f>
        <v>46304</v>
      </c>
      <c r="K450" t="str">
        <f t="shared" ref="K450:K503" ca="1" si="15">IF(J450&gt;=$B$1,"Active","Lapsed")</f>
        <v>Active</v>
      </c>
      <c r="L450" t="s">
        <v>12</v>
      </c>
    </row>
    <row r="451" spans="2:12" x14ac:dyDescent="0.35">
      <c r="B451" t="s">
        <v>507</v>
      </c>
      <c r="C451" t="s">
        <v>21</v>
      </c>
      <c r="D451" t="s">
        <v>43</v>
      </c>
      <c r="E451" t="s">
        <v>97</v>
      </c>
      <c r="F451" t="s">
        <v>508</v>
      </c>
      <c r="I451" s="5">
        <v>46122</v>
      </c>
      <c r="J451" s="5">
        <f t="shared" si="14"/>
        <v>46304</v>
      </c>
      <c r="K451" t="str">
        <f t="shared" ca="1" si="15"/>
        <v>Active</v>
      </c>
      <c r="L451" t="s">
        <v>12</v>
      </c>
    </row>
    <row r="452" spans="2:12" x14ac:dyDescent="0.35">
      <c r="B452" t="s">
        <v>509</v>
      </c>
      <c r="C452" t="s">
        <v>136</v>
      </c>
      <c r="D452" t="s">
        <v>26</v>
      </c>
      <c r="E452" t="s">
        <v>19</v>
      </c>
      <c r="I452" s="5">
        <v>46124</v>
      </c>
      <c r="J452" s="5">
        <f t="shared" si="14"/>
        <v>46306</v>
      </c>
      <c r="K452" t="str">
        <f t="shared" ca="1" si="15"/>
        <v>Active</v>
      </c>
      <c r="L452" t="s">
        <v>12</v>
      </c>
    </row>
    <row r="453" spans="2:12" x14ac:dyDescent="0.35">
      <c r="B453" t="s">
        <v>510</v>
      </c>
      <c r="C453" t="s">
        <v>511</v>
      </c>
      <c r="D453" t="s">
        <v>47</v>
      </c>
      <c r="E453" t="s">
        <v>23</v>
      </c>
      <c r="I453" s="5">
        <v>46124</v>
      </c>
      <c r="J453" s="5">
        <f t="shared" si="14"/>
        <v>46306</v>
      </c>
      <c r="K453" t="str">
        <f t="shared" ca="1" si="15"/>
        <v>Active</v>
      </c>
      <c r="L453" t="s">
        <v>12</v>
      </c>
    </row>
    <row r="454" spans="2:12" x14ac:dyDescent="0.35">
      <c r="B454" t="s">
        <v>512</v>
      </c>
      <c r="C454" t="s">
        <v>21</v>
      </c>
      <c r="D454" t="s">
        <v>16</v>
      </c>
      <c r="I454" s="5">
        <v>46124</v>
      </c>
      <c r="J454" s="5">
        <f t="shared" si="14"/>
        <v>46306</v>
      </c>
      <c r="K454" t="str">
        <f t="shared" ca="1" si="15"/>
        <v>Active</v>
      </c>
      <c r="L454" t="s">
        <v>12</v>
      </c>
    </row>
    <row r="455" spans="2:12" x14ac:dyDescent="0.35">
      <c r="B455" t="s">
        <v>513</v>
      </c>
      <c r="C455" t="s">
        <v>21</v>
      </c>
      <c r="D455" t="s">
        <v>16</v>
      </c>
      <c r="E455" t="s">
        <v>26</v>
      </c>
      <c r="I455" s="5">
        <v>46124</v>
      </c>
      <c r="J455" s="5">
        <f t="shared" si="14"/>
        <v>46306</v>
      </c>
      <c r="K455" t="str">
        <f t="shared" ca="1" si="15"/>
        <v>Active</v>
      </c>
      <c r="L455" t="s">
        <v>12</v>
      </c>
    </row>
    <row r="456" spans="2:12" x14ac:dyDescent="0.35">
      <c r="B456" t="s">
        <v>514</v>
      </c>
      <c r="C456" t="s">
        <v>21</v>
      </c>
      <c r="D456" t="s">
        <v>29</v>
      </c>
      <c r="E456" t="s">
        <v>54</v>
      </c>
      <c r="I456" s="5">
        <v>46125</v>
      </c>
      <c r="J456" s="5">
        <f t="shared" si="14"/>
        <v>46307</v>
      </c>
      <c r="K456" t="str">
        <f t="shared" ca="1" si="15"/>
        <v>Active</v>
      </c>
      <c r="L456" t="s">
        <v>12</v>
      </c>
    </row>
    <row r="457" spans="2:12" x14ac:dyDescent="0.35">
      <c r="B457" t="s">
        <v>515</v>
      </c>
      <c r="C457" t="s">
        <v>21</v>
      </c>
      <c r="D457" t="s">
        <v>10</v>
      </c>
      <c r="I457" s="5">
        <v>46125</v>
      </c>
      <c r="J457" s="5">
        <f t="shared" si="14"/>
        <v>46307</v>
      </c>
      <c r="K457" t="str">
        <f t="shared" ca="1" si="15"/>
        <v>Active</v>
      </c>
      <c r="L457" t="s">
        <v>12</v>
      </c>
    </row>
    <row r="458" spans="2:12" x14ac:dyDescent="0.35">
      <c r="B458" t="s">
        <v>92</v>
      </c>
      <c r="C458" t="s">
        <v>42</v>
      </c>
      <c r="D458" t="s">
        <v>50</v>
      </c>
      <c r="E458" t="s">
        <v>36</v>
      </c>
      <c r="I458" s="5">
        <v>46127</v>
      </c>
      <c r="J458" s="5">
        <f t="shared" si="14"/>
        <v>46309</v>
      </c>
      <c r="K458" t="str">
        <f t="shared" ca="1" si="15"/>
        <v>Active</v>
      </c>
      <c r="L458" t="s">
        <v>12</v>
      </c>
    </row>
    <row r="459" spans="2:12" x14ac:dyDescent="0.35">
      <c r="B459" t="s">
        <v>69</v>
      </c>
      <c r="C459" s="16" t="s">
        <v>14</v>
      </c>
      <c r="D459" t="s">
        <v>16</v>
      </c>
      <c r="E459" s="22" t="s">
        <v>70</v>
      </c>
      <c r="I459" s="5">
        <v>46128</v>
      </c>
      <c r="J459" s="5">
        <f t="shared" si="14"/>
        <v>46310</v>
      </c>
      <c r="K459" t="str">
        <f t="shared" ca="1" si="15"/>
        <v>Active</v>
      </c>
      <c r="L459" t="s">
        <v>12</v>
      </c>
    </row>
    <row r="460" spans="2:12" x14ac:dyDescent="0.35">
      <c r="B460" t="s">
        <v>24</v>
      </c>
      <c r="C460" t="s">
        <v>21</v>
      </c>
      <c r="D460" t="s">
        <v>10</v>
      </c>
      <c r="I460" s="5">
        <v>46128</v>
      </c>
      <c r="J460" s="5">
        <f t="shared" si="14"/>
        <v>46310</v>
      </c>
      <c r="K460" t="str">
        <f t="shared" ca="1" si="15"/>
        <v>Active</v>
      </c>
      <c r="L460" t="s">
        <v>12</v>
      </c>
    </row>
    <row r="461" spans="2:12" x14ac:dyDescent="0.35">
      <c r="B461" t="s">
        <v>516</v>
      </c>
      <c r="C461" t="s">
        <v>28</v>
      </c>
      <c r="D461" t="s">
        <v>36</v>
      </c>
      <c r="I461" s="5">
        <v>46129</v>
      </c>
      <c r="J461" s="5">
        <f t="shared" si="14"/>
        <v>46311</v>
      </c>
      <c r="K461" t="str">
        <f t="shared" ca="1" si="15"/>
        <v>Active</v>
      </c>
      <c r="L461" t="s">
        <v>12</v>
      </c>
    </row>
    <row r="462" spans="2:12" x14ac:dyDescent="0.35">
      <c r="B462" t="s">
        <v>102</v>
      </c>
      <c r="C462" t="s">
        <v>103</v>
      </c>
      <c r="D462" t="s">
        <v>10</v>
      </c>
      <c r="E462" t="s">
        <v>74</v>
      </c>
      <c r="F462" t="s">
        <v>19</v>
      </c>
      <c r="G462" t="s">
        <v>90</v>
      </c>
      <c r="I462" s="5">
        <v>46129</v>
      </c>
      <c r="J462" s="5">
        <f t="shared" si="14"/>
        <v>46311</v>
      </c>
      <c r="K462" t="str">
        <f t="shared" ca="1" si="15"/>
        <v>Active</v>
      </c>
      <c r="L462" t="s">
        <v>12</v>
      </c>
    </row>
    <row r="463" spans="2:12" x14ac:dyDescent="0.35">
      <c r="B463" t="s">
        <v>517</v>
      </c>
      <c r="C463" t="s">
        <v>14</v>
      </c>
      <c r="D463" t="s">
        <v>16</v>
      </c>
      <c r="I463" s="5">
        <v>46132</v>
      </c>
      <c r="J463" s="5">
        <f t="shared" si="14"/>
        <v>46314</v>
      </c>
      <c r="K463" t="str">
        <f t="shared" ca="1" si="15"/>
        <v>Active</v>
      </c>
      <c r="L463" t="s">
        <v>12</v>
      </c>
    </row>
    <row r="464" spans="2:12" x14ac:dyDescent="0.35">
      <c r="B464" t="s">
        <v>518</v>
      </c>
      <c r="C464" t="s">
        <v>42</v>
      </c>
      <c r="D464" t="s">
        <v>112</v>
      </c>
      <c r="I464" s="5">
        <v>46132</v>
      </c>
      <c r="J464" s="5">
        <f t="shared" si="14"/>
        <v>46314</v>
      </c>
      <c r="K464" t="str">
        <f t="shared" ca="1" si="15"/>
        <v>Active</v>
      </c>
      <c r="L464" t="s">
        <v>12</v>
      </c>
    </row>
    <row r="465" spans="2:12" x14ac:dyDescent="0.35">
      <c r="B465" t="s">
        <v>33</v>
      </c>
      <c r="C465" t="s">
        <v>21</v>
      </c>
      <c r="D465" s="23" t="s">
        <v>11</v>
      </c>
      <c r="E465" t="s">
        <v>34</v>
      </c>
      <c r="I465" s="5">
        <v>46133</v>
      </c>
      <c r="J465" s="5">
        <f t="shared" si="14"/>
        <v>46315</v>
      </c>
      <c r="K465" t="str">
        <f t="shared" ca="1" si="15"/>
        <v>Active</v>
      </c>
      <c r="L465" t="s">
        <v>12</v>
      </c>
    </row>
    <row r="466" spans="2:12" x14ac:dyDescent="0.35">
      <c r="B466" t="s">
        <v>519</v>
      </c>
      <c r="C466" t="s">
        <v>42</v>
      </c>
      <c r="D466" t="s">
        <v>10</v>
      </c>
      <c r="E466" t="s">
        <v>50</v>
      </c>
      <c r="I466" s="5">
        <v>46133</v>
      </c>
      <c r="J466" s="5">
        <f t="shared" si="14"/>
        <v>46315</v>
      </c>
      <c r="K466" t="str">
        <f t="shared" ca="1" si="15"/>
        <v>Active</v>
      </c>
      <c r="L466" t="s">
        <v>12</v>
      </c>
    </row>
    <row r="467" spans="2:12" x14ac:dyDescent="0.35">
      <c r="B467" t="s">
        <v>520</v>
      </c>
      <c r="C467" t="s">
        <v>21</v>
      </c>
      <c r="D467" t="s">
        <v>16</v>
      </c>
      <c r="E467" t="s">
        <v>19</v>
      </c>
      <c r="I467" s="5">
        <v>46134</v>
      </c>
      <c r="J467" s="5">
        <f t="shared" si="14"/>
        <v>46316</v>
      </c>
      <c r="K467" t="str">
        <f t="shared" ca="1" si="15"/>
        <v>Active</v>
      </c>
      <c r="L467" t="s">
        <v>12</v>
      </c>
    </row>
    <row r="468" spans="2:12" x14ac:dyDescent="0.35">
      <c r="B468" t="s">
        <v>521</v>
      </c>
      <c r="C468" t="s">
        <v>14</v>
      </c>
      <c r="D468" s="23" t="s">
        <v>530</v>
      </c>
      <c r="I468" s="5">
        <v>46134</v>
      </c>
      <c r="J468" s="5">
        <f t="shared" si="14"/>
        <v>46316</v>
      </c>
      <c r="K468" t="str">
        <f t="shared" ca="1" si="15"/>
        <v>Active</v>
      </c>
      <c r="L468" t="s">
        <v>12</v>
      </c>
    </row>
    <row r="469" spans="2:12" x14ac:dyDescent="0.35">
      <c r="B469" t="s">
        <v>522</v>
      </c>
      <c r="C469" t="s">
        <v>42</v>
      </c>
      <c r="D469" t="s">
        <v>23</v>
      </c>
      <c r="I469" s="5">
        <v>46134</v>
      </c>
      <c r="J469" s="5">
        <f t="shared" si="14"/>
        <v>46316</v>
      </c>
      <c r="K469" t="str">
        <f t="shared" ca="1" si="15"/>
        <v>Active</v>
      </c>
      <c r="L469" t="s">
        <v>12</v>
      </c>
    </row>
    <row r="470" spans="2:12" x14ac:dyDescent="0.35">
      <c r="B470" t="s">
        <v>523</v>
      </c>
      <c r="C470" t="s">
        <v>14</v>
      </c>
      <c r="D470" t="s">
        <v>334</v>
      </c>
      <c r="I470" s="5">
        <v>46135</v>
      </c>
      <c r="J470" s="5">
        <f t="shared" si="14"/>
        <v>46317</v>
      </c>
      <c r="K470" t="str">
        <f t="shared" ca="1" si="15"/>
        <v>Active</v>
      </c>
      <c r="L470" t="s">
        <v>12</v>
      </c>
    </row>
    <row r="471" spans="2:12" x14ac:dyDescent="0.35">
      <c r="B471" t="s">
        <v>101</v>
      </c>
      <c r="C471" t="s">
        <v>28</v>
      </c>
      <c r="D471" t="s">
        <v>16</v>
      </c>
      <c r="I471" s="5">
        <v>46135</v>
      </c>
      <c r="J471" s="5">
        <f t="shared" si="14"/>
        <v>46317</v>
      </c>
      <c r="K471" t="str">
        <f t="shared" ca="1" si="15"/>
        <v>Active</v>
      </c>
      <c r="L471" t="s">
        <v>12</v>
      </c>
    </row>
    <row r="472" spans="2:12" x14ac:dyDescent="0.35">
      <c r="B472" t="s">
        <v>48</v>
      </c>
      <c r="C472" t="s">
        <v>28</v>
      </c>
      <c r="D472" t="s">
        <v>531</v>
      </c>
      <c r="I472" s="5">
        <v>46136</v>
      </c>
      <c r="J472" s="5">
        <f t="shared" si="14"/>
        <v>46318</v>
      </c>
      <c r="K472" t="str">
        <f t="shared" ca="1" si="15"/>
        <v>Active</v>
      </c>
      <c r="L472" t="s">
        <v>12</v>
      </c>
    </row>
    <row r="473" spans="2:12" x14ac:dyDescent="0.35">
      <c r="B473" t="s">
        <v>524</v>
      </c>
      <c r="C473" t="s">
        <v>467</v>
      </c>
      <c r="D473" t="s">
        <v>16</v>
      </c>
      <c r="I473" s="5">
        <v>46136</v>
      </c>
      <c r="J473" s="5">
        <f t="shared" si="14"/>
        <v>46318</v>
      </c>
      <c r="K473" t="str">
        <f t="shared" ca="1" si="15"/>
        <v>Active</v>
      </c>
      <c r="L473" t="s">
        <v>12</v>
      </c>
    </row>
    <row r="474" spans="2:12" x14ac:dyDescent="0.35">
      <c r="B474" t="s">
        <v>525</v>
      </c>
      <c r="C474" t="s">
        <v>21</v>
      </c>
      <c r="D474" t="s">
        <v>36</v>
      </c>
      <c r="I474" s="5">
        <v>46136</v>
      </c>
      <c r="J474" s="5">
        <f t="shared" si="14"/>
        <v>46318</v>
      </c>
      <c r="K474" t="str">
        <f t="shared" ca="1" si="15"/>
        <v>Active</v>
      </c>
      <c r="L474" t="s">
        <v>12</v>
      </c>
    </row>
    <row r="475" spans="2:12" x14ac:dyDescent="0.35">
      <c r="B475" t="s">
        <v>526</v>
      </c>
      <c r="C475" t="s">
        <v>397</v>
      </c>
      <c r="D475" t="s">
        <v>70</v>
      </c>
      <c r="I475" s="5">
        <v>46136</v>
      </c>
      <c r="J475" s="5">
        <f t="shared" si="14"/>
        <v>46318</v>
      </c>
      <c r="K475" t="str">
        <f t="shared" ca="1" si="15"/>
        <v>Active</v>
      </c>
      <c r="L475" t="s">
        <v>12</v>
      </c>
    </row>
    <row r="476" spans="2:12" x14ac:dyDescent="0.35">
      <c r="B476" t="s">
        <v>527</v>
      </c>
      <c r="C476" t="s">
        <v>103</v>
      </c>
      <c r="D476" t="s">
        <v>15</v>
      </c>
      <c r="E476" t="s">
        <v>16</v>
      </c>
      <c r="I476" s="5">
        <v>46136</v>
      </c>
      <c r="J476" s="5">
        <f t="shared" si="14"/>
        <v>46318</v>
      </c>
      <c r="K476" t="str">
        <f t="shared" ca="1" si="15"/>
        <v>Active</v>
      </c>
      <c r="L476" t="s">
        <v>12</v>
      </c>
    </row>
    <row r="477" spans="2:12" x14ac:dyDescent="0.35">
      <c r="B477" t="s">
        <v>528</v>
      </c>
      <c r="C477" t="s">
        <v>14</v>
      </c>
      <c r="D477" t="s">
        <v>34</v>
      </c>
      <c r="I477" s="5">
        <v>46136</v>
      </c>
      <c r="J477" s="5">
        <f t="shared" si="14"/>
        <v>46318</v>
      </c>
      <c r="K477" t="str">
        <f t="shared" ca="1" si="15"/>
        <v>Active</v>
      </c>
      <c r="L477" t="s">
        <v>12</v>
      </c>
    </row>
    <row r="478" spans="2:12" x14ac:dyDescent="0.35">
      <c r="B478" t="s">
        <v>529</v>
      </c>
      <c r="C478" t="s">
        <v>42</v>
      </c>
      <c r="D478" t="s">
        <v>96</v>
      </c>
      <c r="E478" t="s">
        <v>23</v>
      </c>
      <c r="I478" s="5">
        <v>46136</v>
      </c>
      <c r="J478" s="5">
        <f t="shared" si="14"/>
        <v>46318</v>
      </c>
      <c r="K478" t="str">
        <f t="shared" ca="1" si="15"/>
        <v>Active</v>
      </c>
      <c r="L478" t="s">
        <v>12</v>
      </c>
    </row>
    <row r="479" spans="2:12" x14ac:dyDescent="0.35">
      <c r="B479" t="s">
        <v>116</v>
      </c>
      <c r="C479" t="s">
        <v>14</v>
      </c>
      <c r="D479" t="s">
        <v>23</v>
      </c>
      <c r="E479" t="s">
        <v>532</v>
      </c>
      <c r="I479" s="5">
        <v>46136</v>
      </c>
      <c r="J479" s="5">
        <f t="shared" si="14"/>
        <v>46318</v>
      </c>
      <c r="K479" t="str">
        <f t="shared" ca="1" si="15"/>
        <v>Active</v>
      </c>
      <c r="L479" t="s">
        <v>12</v>
      </c>
    </row>
    <row r="480" spans="2:12" x14ac:dyDescent="0.35">
      <c r="B480" s="24" t="s">
        <v>533</v>
      </c>
      <c r="C480" s="10" t="s">
        <v>21</v>
      </c>
      <c r="D480" t="s">
        <v>16</v>
      </c>
      <c r="I480" s="5">
        <v>46139</v>
      </c>
      <c r="J480" s="5">
        <f t="shared" si="14"/>
        <v>46321</v>
      </c>
      <c r="K480" t="str">
        <f t="shared" ca="1" si="15"/>
        <v>Active</v>
      </c>
      <c r="L480" t="s">
        <v>12</v>
      </c>
    </row>
    <row r="481" spans="2:12" x14ac:dyDescent="0.35">
      <c r="B481" s="11" t="s">
        <v>534</v>
      </c>
      <c r="C481" s="10" t="s">
        <v>136</v>
      </c>
      <c r="D481" t="s">
        <v>19</v>
      </c>
      <c r="E481" s="4" t="s">
        <v>11</v>
      </c>
      <c r="I481" s="5">
        <v>46139</v>
      </c>
      <c r="J481" s="5">
        <f t="shared" si="14"/>
        <v>46321</v>
      </c>
      <c r="K481" t="str">
        <f t="shared" ca="1" si="15"/>
        <v>Active</v>
      </c>
      <c r="L481" t="s">
        <v>12</v>
      </c>
    </row>
    <row r="482" spans="2:12" x14ac:dyDescent="0.35">
      <c r="B482" s="11" t="s">
        <v>535</v>
      </c>
      <c r="C482" s="10" t="s">
        <v>14</v>
      </c>
      <c r="D482" t="s">
        <v>549</v>
      </c>
      <c r="E482" t="s">
        <v>10</v>
      </c>
      <c r="F482" t="s">
        <v>19</v>
      </c>
      <c r="I482" s="5">
        <v>46139</v>
      </c>
      <c r="J482" s="5">
        <f t="shared" si="14"/>
        <v>46321</v>
      </c>
      <c r="K482" t="str">
        <f t="shared" ca="1" si="15"/>
        <v>Active</v>
      </c>
      <c r="L482" t="s">
        <v>12</v>
      </c>
    </row>
    <row r="483" spans="2:12" x14ac:dyDescent="0.35">
      <c r="B483" s="12" t="s">
        <v>536</v>
      </c>
      <c r="C483" s="13" t="s">
        <v>14</v>
      </c>
      <c r="D483" t="s">
        <v>47</v>
      </c>
      <c r="E483" t="s">
        <v>16</v>
      </c>
      <c r="F483" t="s">
        <v>36</v>
      </c>
      <c r="G483" t="s">
        <v>97</v>
      </c>
      <c r="I483" s="5">
        <v>46140</v>
      </c>
      <c r="J483" s="5">
        <f t="shared" si="14"/>
        <v>46322</v>
      </c>
      <c r="K483" t="str">
        <f t="shared" ca="1" si="15"/>
        <v>Active</v>
      </c>
      <c r="L483" t="s">
        <v>12</v>
      </c>
    </row>
    <row r="484" spans="2:12" x14ac:dyDescent="0.35">
      <c r="B484" s="14" t="s">
        <v>59</v>
      </c>
      <c r="C484" s="13" t="s">
        <v>21</v>
      </c>
      <c r="D484" t="s">
        <v>26</v>
      </c>
      <c r="E484" t="s">
        <v>550</v>
      </c>
      <c r="I484" s="5">
        <v>46140</v>
      </c>
      <c r="J484" s="5">
        <f t="shared" si="14"/>
        <v>46322</v>
      </c>
      <c r="K484" t="str">
        <f t="shared" ca="1" si="15"/>
        <v>Active</v>
      </c>
      <c r="L484" t="s">
        <v>12</v>
      </c>
    </row>
    <row r="485" spans="2:12" x14ac:dyDescent="0.35">
      <c r="B485" s="14" t="s">
        <v>537</v>
      </c>
      <c r="C485" s="13" t="s">
        <v>21</v>
      </c>
      <c r="D485" t="s">
        <v>551</v>
      </c>
      <c r="E485" t="s">
        <v>50</v>
      </c>
      <c r="I485" s="5">
        <v>46140</v>
      </c>
      <c r="J485" s="5">
        <f t="shared" si="14"/>
        <v>46322</v>
      </c>
      <c r="K485" t="str">
        <f t="shared" ca="1" si="15"/>
        <v>Active</v>
      </c>
      <c r="L485" t="s">
        <v>12</v>
      </c>
    </row>
    <row r="486" spans="2:12" x14ac:dyDescent="0.35">
      <c r="B486" s="15" t="s">
        <v>538</v>
      </c>
      <c r="C486" s="16" t="s">
        <v>14</v>
      </c>
      <c r="D486" t="s">
        <v>16</v>
      </c>
      <c r="I486" s="5">
        <v>46140</v>
      </c>
      <c r="J486" s="5">
        <f t="shared" si="14"/>
        <v>46322</v>
      </c>
      <c r="K486" t="str">
        <f t="shared" ca="1" si="15"/>
        <v>Active</v>
      </c>
      <c r="L486" t="s">
        <v>12</v>
      </c>
    </row>
    <row r="487" spans="2:12" x14ac:dyDescent="0.35">
      <c r="B487" s="15" t="s">
        <v>539</v>
      </c>
      <c r="C487" s="16" t="s">
        <v>14</v>
      </c>
      <c r="D487" t="s">
        <v>61</v>
      </c>
      <c r="E487" s="4" t="s">
        <v>132</v>
      </c>
      <c r="I487" s="5">
        <v>46140</v>
      </c>
      <c r="J487" s="5">
        <f t="shared" si="14"/>
        <v>46322</v>
      </c>
      <c r="K487" t="str">
        <f t="shared" ca="1" si="15"/>
        <v>Active</v>
      </c>
      <c r="L487" t="s">
        <v>12</v>
      </c>
    </row>
    <row r="488" spans="2:12" x14ac:dyDescent="0.35">
      <c r="B488" s="17" t="s">
        <v>540</v>
      </c>
      <c r="C488" s="13" t="s">
        <v>136</v>
      </c>
      <c r="D488" t="s">
        <v>97</v>
      </c>
      <c r="E488" t="s">
        <v>112</v>
      </c>
      <c r="F488" t="s">
        <v>29</v>
      </c>
      <c r="I488" s="5">
        <v>46140</v>
      </c>
      <c r="J488" s="5">
        <f t="shared" si="14"/>
        <v>46322</v>
      </c>
      <c r="K488" t="str">
        <f t="shared" ca="1" si="15"/>
        <v>Active</v>
      </c>
      <c r="L488" t="s">
        <v>12</v>
      </c>
    </row>
    <row r="489" spans="2:12" x14ac:dyDescent="0.35">
      <c r="B489" s="15" t="s">
        <v>541</v>
      </c>
      <c r="C489" s="18" t="s">
        <v>136</v>
      </c>
      <c r="D489" t="s">
        <v>26</v>
      </c>
      <c r="I489" s="5">
        <v>46141</v>
      </c>
      <c r="J489" s="5">
        <f t="shared" si="14"/>
        <v>46323</v>
      </c>
      <c r="K489" t="str">
        <f t="shared" ca="1" si="15"/>
        <v>Active</v>
      </c>
      <c r="L489" t="s">
        <v>12</v>
      </c>
    </row>
    <row r="490" spans="2:12" x14ac:dyDescent="0.35">
      <c r="B490" s="15" t="s">
        <v>542</v>
      </c>
      <c r="C490" s="18" t="s">
        <v>21</v>
      </c>
      <c r="D490" t="s">
        <v>23</v>
      </c>
      <c r="E490" t="s">
        <v>550</v>
      </c>
      <c r="F490" t="s">
        <v>61</v>
      </c>
      <c r="I490" s="5">
        <v>46141</v>
      </c>
      <c r="J490" s="5">
        <f t="shared" si="14"/>
        <v>46323</v>
      </c>
      <c r="K490" t="str">
        <f t="shared" ca="1" si="15"/>
        <v>Active</v>
      </c>
      <c r="L490" t="s">
        <v>12</v>
      </c>
    </row>
    <row r="491" spans="2:12" x14ac:dyDescent="0.35">
      <c r="B491" s="15" t="s">
        <v>543</v>
      </c>
      <c r="C491" s="18" t="s">
        <v>28</v>
      </c>
      <c r="D491" t="s">
        <v>550</v>
      </c>
      <c r="I491" s="5">
        <v>46141</v>
      </c>
      <c r="J491" s="5">
        <f t="shared" si="14"/>
        <v>46323</v>
      </c>
      <c r="K491" t="str">
        <f t="shared" ca="1" si="15"/>
        <v>Active</v>
      </c>
      <c r="L491" t="s">
        <v>12</v>
      </c>
    </row>
    <row r="492" spans="2:12" x14ac:dyDescent="0.35">
      <c r="B492" s="15" t="s">
        <v>544</v>
      </c>
      <c r="C492" s="16" t="s">
        <v>9</v>
      </c>
      <c r="D492" t="s">
        <v>26</v>
      </c>
      <c r="E492" t="s">
        <v>90</v>
      </c>
      <c r="I492" s="5">
        <v>46141</v>
      </c>
      <c r="J492" s="5">
        <f t="shared" si="14"/>
        <v>46323</v>
      </c>
      <c r="K492" t="str">
        <f t="shared" ca="1" si="15"/>
        <v>Active</v>
      </c>
      <c r="L492" t="s">
        <v>12</v>
      </c>
    </row>
    <row r="493" spans="2:12" x14ac:dyDescent="0.35">
      <c r="B493" s="15" t="s">
        <v>98</v>
      </c>
      <c r="C493" s="16" t="s">
        <v>28</v>
      </c>
      <c r="D493" t="s">
        <v>16</v>
      </c>
      <c r="I493" s="5">
        <v>46141</v>
      </c>
      <c r="J493" s="5">
        <f t="shared" si="14"/>
        <v>46323</v>
      </c>
      <c r="K493" t="str">
        <f t="shared" ca="1" si="15"/>
        <v>Active</v>
      </c>
      <c r="L493" t="s">
        <v>12</v>
      </c>
    </row>
    <row r="494" spans="2:12" x14ac:dyDescent="0.35">
      <c r="B494" s="15" t="s">
        <v>121</v>
      </c>
      <c r="C494" s="16" t="s">
        <v>21</v>
      </c>
      <c r="D494" t="s">
        <v>23</v>
      </c>
      <c r="I494" s="5">
        <v>46141</v>
      </c>
      <c r="J494" s="5">
        <f t="shared" si="14"/>
        <v>46323</v>
      </c>
      <c r="K494" t="str">
        <f t="shared" ca="1" si="15"/>
        <v>Active</v>
      </c>
      <c r="L494" t="s">
        <v>12</v>
      </c>
    </row>
    <row r="495" spans="2:12" x14ac:dyDescent="0.35">
      <c r="B495" s="19" t="s">
        <v>545</v>
      </c>
      <c r="C495" s="16" t="s">
        <v>21</v>
      </c>
      <c r="D495" t="s">
        <v>36</v>
      </c>
      <c r="I495" s="5">
        <v>46141</v>
      </c>
      <c r="J495" s="5">
        <f t="shared" si="14"/>
        <v>46323</v>
      </c>
      <c r="K495" t="str">
        <f t="shared" ca="1" si="15"/>
        <v>Active</v>
      </c>
      <c r="L495" t="s">
        <v>12</v>
      </c>
    </row>
    <row r="496" spans="2:12" x14ac:dyDescent="0.35">
      <c r="B496" s="19" t="s">
        <v>95</v>
      </c>
      <c r="C496" s="16" t="s">
        <v>42</v>
      </c>
      <c r="D496" t="s">
        <v>96</v>
      </c>
      <c r="E496" t="s">
        <v>97</v>
      </c>
      <c r="F496" t="s">
        <v>16</v>
      </c>
      <c r="I496" s="5">
        <v>46141</v>
      </c>
      <c r="J496" s="5">
        <f t="shared" si="14"/>
        <v>46323</v>
      </c>
      <c r="K496" t="str">
        <f t="shared" ca="1" si="15"/>
        <v>Active</v>
      </c>
      <c r="L496" t="s">
        <v>12</v>
      </c>
    </row>
    <row r="497" spans="2:12" x14ac:dyDescent="0.35">
      <c r="B497" s="19" t="s">
        <v>106</v>
      </c>
      <c r="C497" s="16" t="s">
        <v>42</v>
      </c>
      <c r="D497" s="4" t="s">
        <v>11</v>
      </c>
      <c r="E497" t="s">
        <v>34</v>
      </c>
      <c r="I497" s="5">
        <v>46142</v>
      </c>
      <c r="J497" s="5">
        <f t="shared" si="14"/>
        <v>46324</v>
      </c>
      <c r="K497" t="str">
        <f t="shared" ca="1" si="15"/>
        <v>Active</v>
      </c>
      <c r="L497" t="s">
        <v>12</v>
      </c>
    </row>
    <row r="498" spans="2:12" x14ac:dyDescent="0.35">
      <c r="B498" s="19" t="s">
        <v>546</v>
      </c>
      <c r="C498" s="20" t="s">
        <v>14</v>
      </c>
      <c r="D498" t="s">
        <v>16</v>
      </c>
      <c r="I498" s="5">
        <v>46142</v>
      </c>
      <c r="J498" s="5">
        <f t="shared" si="14"/>
        <v>46324</v>
      </c>
      <c r="K498" t="str">
        <f t="shared" ca="1" si="15"/>
        <v>Active</v>
      </c>
      <c r="L498" t="s">
        <v>12</v>
      </c>
    </row>
    <row r="499" spans="2:12" x14ac:dyDescent="0.35">
      <c r="B499" s="19" t="s">
        <v>547</v>
      </c>
      <c r="C499" s="20" t="s">
        <v>21</v>
      </c>
      <c r="D499" t="s">
        <v>112</v>
      </c>
      <c r="I499" s="5">
        <v>46142</v>
      </c>
      <c r="J499" s="5">
        <f t="shared" si="14"/>
        <v>46324</v>
      </c>
      <c r="K499" t="str">
        <f t="shared" ca="1" si="15"/>
        <v>Active</v>
      </c>
      <c r="L499" t="s">
        <v>12</v>
      </c>
    </row>
    <row r="500" spans="2:12" x14ac:dyDescent="0.35">
      <c r="B500" s="15" t="s">
        <v>133</v>
      </c>
      <c r="C500" s="20" t="s">
        <v>28</v>
      </c>
      <c r="D500" t="s">
        <v>16</v>
      </c>
      <c r="E500" t="s">
        <v>15</v>
      </c>
      <c r="I500" s="5">
        <v>46142</v>
      </c>
      <c r="J500" s="5">
        <f t="shared" si="14"/>
        <v>46324</v>
      </c>
      <c r="K500" t="str">
        <f t="shared" ca="1" si="15"/>
        <v>Active</v>
      </c>
      <c r="L500" t="s">
        <v>12</v>
      </c>
    </row>
    <row r="501" spans="2:12" x14ac:dyDescent="0.35">
      <c r="B501" s="15" t="s">
        <v>120</v>
      </c>
      <c r="C501" s="16" t="s">
        <v>39</v>
      </c>
      <c r="D501" t="s">
        <v>43</v>
      </c>
      <c r="E501" t="s">
        <v>97</v>
      </c>
      <c r="F501" t="s">
        <v>29</v>
      </c>
      <c r="I501" s="5">
        <v>46142</v>
      </c>
      <c r="J501" s="5">
        <f t="shared" si="14"/>
        <v>46324</v>
      </c>
      <c r="K501" t="str">
        <f t="shared" ca="1" si="15"/>
        <v>Active</v>
      </c>
      <c r="L501" t="s">
        <v>12</v>
      </c>
    </row>
    <row r="502" spans="2:12" x14ac:dyDescent="0.35">
      <c r="B502" s="15" t="s">
        <v>548</v>
      </c>
      <c r="C502" s="16" t="s">
        <v>42</v>
      </c>
      <c r="D502" t="s">
        <v>36</v>
      </c>
      <c r="I502" s="5">
        <v>46142</v>
      </c>
      <c r="J502" s="5">
        <f t="shared" si="14"/>
        <v>46324</v>
      </c>
      <c r="K502" t="str">
        <f t="shared" ca="1" si="15"/>
        <v>Active</v>
      </c>
      <c r="L502" t="s">
        <v>12</v>
      </c>
    </row>
    <row r="503" spans="2:12" x14ac:dyDescent="0.35">
      <c r="B503" s="15" t="s">
        <v>93</v>
      </c>
      <c r="C503" s="16" t="s">
        <v>14</v>
      </c>
      <c r="D503" t="s">
        <v>23</v>
      </c>
      <c r="I503" s="5">
        <v>46142</v>
      </c>
      <c r="J503" s="5">
        <f t="shared" si="14"/>
        <v>46324</v>
      </c>
      <c r="K503" t="str">
        <f t="shared" ca="1" si="15"/>
        <v>Active</v>
      </c>
      <c r="L503" t="s">
        <v>12</v>
      </c>
    </row>
    <row r="504" spans="2:12" x14ac:dyDescent="0.35">
      <c r="C504" s="25"/>
    </row>
    <row r="505" spans="2:12" x14ac:dyDescent="0.35">
      <c r="C505" s="25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Yu On LUI</dc:creator>
  <cp:lastModifiedBy>Anna Shan NAN</cp:lastModifiedBy>
  <dcterms:created xsi:type="dcterms:W3CDTF">2026-04-19T08:57:34Z</dcterms:created>
  <dcterms:modified xsi:type="dcterms:W3CDTF">2026-05-03T18:04:33Z</dcterms:modified>
</cp:coreProperties>
</file>