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bs1bank-my.sharepoint.com/personal/jaysonxichenglu_dbs_com/Documents/Microsoft Teams Chat Files/"/>
    </mc:Choice>
  </mc:AlternateContent>
  <xr:revisionPtr revIDLastSave="34" documentId="13_ncr:1_{7E47973B-485A-4FCB-945F-7BECCC013C68}" xr6:coauthVersionLast="47" xr6:coauthVersionMax="47" xr10:uidLastSave="{2A5661EF-240E-4529-AC73-2AA8CF2379D1}"/>
  <bookViews>
    <workbookView xWindow="-108" yWindow="-108" windowWidth="23256" windowHeight="13896" tabRatio="691" activeTab="9" xr2:uid="{31651797-ABAA-47F6-AE27-D4BAA295ABCD}"/>
  </bookViews>
  <sheets>
    <sheet name="1.Summary" sheetId="8" r:id="rId1"/>
    <sheet name="Detail1" sheetId="11" state="hidden" r:id="rId2"/>
    <sheet name="Sheet1" sheetId="12" state="hidden" r:id="rId3"/>
    <sheet name="Sheet2" sheetId="13" state="hidden" r:id="rId4"/>
    <sheet name="2.Sponsors_summary" sheetId="9" r:id="rId5"/>
    <sheet name="3.Deals_total" sheetId="3" r:id="rId6"/>
    <sheet name="4.Re-filings" sheetId="4" r:id="rId7"/>
    <sheet name="5.GBA" sheetId="5" r:id="rId8"/>
    <sheet name="6.GBA-detail" sheetId="6" r:id="rId9"/>
    <sheet name="7.CN_banks_involved" sheetId="7" r:id="rId10"/>
    <sheet name="8. Auditor" sheetId="10" r:id="rId11"/>
  </sheets>
  <definedNames>
    <definedName name="_xlnm._FilterDatabase" localSheetId="0" hidden="1">'1.Summary'!$A$1:$Q$56</definedName>
  </definedNames>
  <calcPr calcId="191028" calcMode="manual"/>
  <pivotCaches>
    <pivotCache cacheId="0" r:id="rId12"/>
    <pivotCache cacheId="1" r:id="rId13"/>
    <pivotCache cacheId="2" r:id="rId14"/>
    <pivotCache cacheId="3" r:id="rId15"/>
    <pivotCache cacheId="4"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7" l="1"/>
  <c r="B3" i="5"/>
  <c r="C4" i="4"/>
  <c r="A4" i="4"/>
  <c r="H11" i="7"/>
  <c r="E11" i="7"/>
  <c r="H10" i="7" l="1"/>
  <c r="O2" i="3" l="1"/>
  <c r="E10" i="7" l="1"/>
  <c r="H9" i="7" l="1"/>
  <c r="E9" i="7"/>
  <c r="H8" i="7" l="1"/>
  <c r="E8" i="7"/>
  <c r="E4" i="4" l="1"/>
  <c r="E7" i="7" l="1"/>
  <c r="H7" i="7"/>
  <c r="H4" i="7" l="1"/>
  <c r="E6" i="7"/>
  <c r="E5" i="7"/>
  <c r="E4" i="7"/>
  <c r="F5" i="7"/>
  <c r="H6" i="7"/>
  <c r="H5" i="7" l="1"/>
  <c r="H3" i="7"/>
  <c r="E3" i="7"/>
  <c r="D2" i="5" l="1"/>
  <c r="B3" i="4"/>
  <c r="O4" i="9"/>
  <c r="O33" i="9" l="1"/>
  <c r="O32" i="9"/>
  <c r="O31" i="9"/>
  <c r="O30" i="9"/>
  <c r="O29" i="9"/>
  <c r="O28" i="9"/>
  <c r="O27" i="9"/>
  <c r="O26" i="9"/>
  <c r="O25" i="9"/>
  <c r="O24" i="9"/>
  <c r="O23" i="9"/>
  <c r="O22" i="9"/>
  <c r="O21" i="9"/>
  <c r="O18" i="9"/>
  <c r="O17" i="9"/>
  <c r="O16" i="9"/>
  <c r="O15" i="9"/>
  <c r="O14" i="9"/>
  <c r="O13" i="9"/>
  <c r="O12" i="9"/>
  <c r="O11" i="9"/>
  <c r="O10" i="9"/>
  <c r="O9" i="9"/>
  <c r="O8" i="9"/>
  <c r="O7" i="9"/>
  <c r="O6" i="9"/>
  <c r="O5" i="9"/>
  <c r="O3" i="9"/>
  <c r="O34" i="9" l="1"/>
  <c r="O19" i="9"/>
  <c r="C3" i="5"/>
  <c r="D3"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tc={30625F22-3116-4CF2-9A45-1AA06009EE02}</author>
  </authors>
  <commentList>
    <comment ref="B1" authorId="0" shapeId="0" xr:uid="{30625F22-3116-4CF2-9A45-1AA06009EE02}">
      <text>
        <t>[Threaded comment]
Your version of Excel allows you to read this threaded comment; however, any edits to it will get removed if the file is opened in a newer version of Excel. Learn more: https://go.microsoft.com/fwlink/?linkid=870924
Comment:
    Jan 1 - Jan 4 to be updated</t>
      </text>
    </comment>
  </commentList>
</comments>
</file>

<file path=xl/sharedStrings.xml><?xml version="1.0" encoding="utf-8"?>
<sst xmlns="http://schemas.openxmlformats.org/spreadsheetml/2006/main" count="530" uniqueCount="282">
  <si>
    <t>#</t>
  </si>
  <si>
    <t>Name of Company</t>
  </si>
  <si>
    <t>Brief description of business</t>
  </si>
  <si>
    <t>Sector</t>
  </si>
  <si>
    <t>Industry</t>
  </si>
  <si>
    <t>Currency</t>
  </si>
  <si>
    <t>Revenue</t>
  </si>
  <si>
    <t>Net Profit/(Loss)</t>
  </si>
  <si>
    <t>Sponsor</t>
  </si>
  <si>
    <t>Overall coordinator</t>
  </si>
  <si>
    <t>Listing Application Date</t>
  </si>
  <si>
    <t>Controlling Shareholders</t>
  </si>
  <si>
    <t>Temasek/GIC-Linked</t>
  </si>
  <si>
    <t>PE/VC involved</t>
  </si>
  <si>
    <t>CN/HK/GBA</t>
  </si>
  <si>
    <t>Remarks</t>
  </si>
  <si>
    <t>Re-filing?</t>
  </si>
  <si>
    <t>(Latest FY’000)</t>
  </si>
  <si>
    <t>Industrial</t>
  </si>
  <si>
    <t>TMT</t>
  </si>
  <si>
    <t>GTJA</t>
  </si>
  <si>
    <t>China Securities</t>
  </si>
  <si>
    <t>Automotive</t>
  </si>
  <si>
    <t>Energy</t>
  </si>
  <si>
    <t>CICC</t>
  </si>
  <si>
    <t>Huatai</t>
  </si>
  <si>
    <t>Servicing</t>
  </si>
  <si>
    <t>Healthcare and Pharmaceutical</t>
  </si>
  <si>
    <t>Consumer Discretionary</t>
  </si>
  <si>
    <t>Consumer Staples</t>
  </si>
  <si>
    <t>Education</t>
  </si>
  <si>
    <t>Environment</t>
  </si>
  <si>
    <t>Financial Service</t>
  </si>
  <si>
    <t>Real Estate</t>
  </si>
  <si>
    <t>SPAC</t>
  </si>
  <si>
    <t>Grand Total</t>
  </si>
  <si>
    <t>Chinese Bank</t>
  </si>
  <si>
    <t>ABCI</t>
  </si>
  <si>
    <t>BOCI</t>
  </si>
  <si>
    <t>BOCOMI</t>
  </si>
  <si>
    <t>CCBI</t>
  </si>
  <si>
    <t>China Galaxy</t>
  </si>
  <si>
    <t>China Renaissance</t>
  </si>
  <si>
    <t>CITIC/CLSA</t>
  </si>
  <si>
    <t>CMBI</t>
  </si>
  <si>
    <t>CMS</t>
  </si>
  <si>
    <t>Haitong</t>
  </si>
  <si>
    <t>ICBCI</t>
  </si>
  <si>
    <t>Others</t>
  </si>
  <si>
    <t>Sub-total: Chinese Banks</t>
  </si>
  <si>
    <t>Non-Chinese Banks</t>
  </si>
  <si>
    <t>BNP</t>
  </si>
  <si>
    <t>BofA/Merill Lynch</t>
  </si>
  <si>
    <t>Citi</t>
  </si>
  <si>
    <t>DBS</t>
  </si>
  <si>
    <t>Deutsche Bank</t>
  </si>
  <si>
    <t>Goldman Sachs</t>
  </si>
  <si>
    <t>HSBC</t>
  </si>
  <si>
    <t>JP Morgan</t>
  </si>
  <si>
    <t>Morgan Stanley</t>
  </si>
  <si>
    <t>Nomura</t>
  </si>
  <si>
    <t>UBS</t>
  </si>
  <si>
    <t>Sub-total: Non Chinese Banks</t>
  </si>
  <si>
    <t>IPO sponsor deals total</t>
  </si>
  <si>
    <t>Re-filings</t>
  </si>
  <si>
    <t xml:space="preserve">No. of GBA Deals </t>
  </si>
  <si>
    <t>No. of Non-GBA Deals</t>
  </si>
  <si>
    <t>Total No. of  Deals</t>
  </si>
  <si>
    <t>No. of Applications</t>
  </si>
  <si>
    <t>% Split</t>
  </si>
  <si>
    <t>No. of Deals</t>
  </si>
  <si>
    <r>
      <t xml:space="preserve">Consumer </t>
    </r>
    <r>
      <rPr>
        <sz val="11"/>
        <color theme="1"/>
        <rFont val="Calibri"/>
        <family val="2"/>
      </rPr>
      <t>Discretionary</t>
    </r>
  </si>
  <si>
    <t>Total Number of listing application</t>
  </si>
  <si>
    <t>No. of listing applications</t>
  </si>
  <si>
    <t xml:space="preserve">Chinese banks </t>
  </si>
  <si>
    <t>No. of</t>
  </si>
  <si>
    <t>Chinese banks involved</t>
  </si>
  <si>
    <t>%</t>
  </si>
  <si>
    <t>non-Chinese banks involved</t>
  </si>
  <si>
    <t>Jan</t>
  </si>
  <si>
    <t>Auditor</t>
  </si>
  <si>
    <t>HK IPO Auditor</t>
  </si>
  <si>
    <t>EY</t>
  </si>
  <si>
    <t>KPMG</t>
  </si>
  <si>
    <t>PwC</t>
  </si>
  <si>
    <t>Deloitte</t>
  </si>
  <si>
    <t>BDO</t>
  </si>
  <si>
    <t>Grant Thornton</t>
  </si>
  <si>
    <t>UHY</t>
  </si>
  <si>
    <t>Pan-China</t>
  </si>
  <si>
    <t>ShineWing</t>
  </si>
  <si>
    <t>CCIF</t>
  </si>
  <si>
    <t>Crowe Horwath</t>
  </si>
  <si>
    <t>Evergreen</t>
  </si>
  <si>
    <t>Confucius International</t>
  </si>
  <si>
    <t>Forvis Mazars</t>
  </si>
  <si>
    <t>Rong Cheng</t>
  </si>
  <si>
    <t>HLB Hodgson Impley Cheng</t>
  </si>
  <si>
    <t>Row Labels</t>
  </si>
  <si>
    <t>(blank)</t>
  </si>
  <si>
    <t>Count of Auditor</t>
  </si>
  <si>
    <t>N</t>
  </si>
  <si>
    <t>Column Labels</t>
  </si>
  <si>
    <t>Count of Re-filing?</t>
  </si>
  <si>
    <t>Count of Sector</t>
  </si>
  <si>
    <t>RMB</t>
  </si>
  <si>
    <t>As of 31/01/2025</t>
  </si>
  <si>
    <t>As of 31/01/2026</t>
  </si>
  <si>
    <t>Feb</t>
  </si>
  <si>
    <t>ZHONGHUI ANDA</t>
  </si>
  <si>
    <t>As of 28/02/2026</t>
  </si>
  <si>
    <t>As of 28/02/2025</t>
  </si>
  <si>
    <t>RSM</t>
  </si>
  <si>
    <t>2026/1/5 - 2026/2/28</t>
  </si>
  <si>
    <t>Mar</t>
  </si>
  <si>
    <t>2025/01/01 – 2025/12/31</t>
  </si>
  <si>
    <t>Details for Count of Sponsor - Sponsor: CMBC, BOCI, Sector: Energy</t>
  </si>
  <si>
    <t>Count of #</t>
  </si>
  <si>
    <t>As of 29/03/2026</t>
  </si>
  <si>
    <t>As of 29/03/2025</t>
  </si>
  <si>
    <t>Apri</t>
  </si>
  <si>
    <t>Calculated Field</t>
  </si>
  <si>
    <t>Solve Order</t>
  </si>
  <si>
    <t>Field</t>
  </si>
  <si>
    <t>Formula</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</si>
  <si>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</si>
  <si>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</si>
  <si>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</si>
  <si>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</si>
  <si>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</si>
  <si>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</si>
  <si>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</si>
  <si>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Count of Sponsor</t>
  </si>
  <si>
    <t>Baker Tilly</t>
  </si>
  <si>
    <t>Jefferies</t>
  </si>
  <si>
    <t>As of 30/04/2026</t>
  </si>
  <si>
    <t>As of 30/04/2025</t>
  </si>
  <si>
    <t>May</t>
  </si>
  <si>
    <t>Sonsors</t>
  </si>
  <si>
    <t>18A</t>
  </si>
  <si>
    <t>Grant Thornton Hong Kong Limited</t>
  </si>
  <si>
    <t>Huatai, JP Morgan</t>
  </si>
  <si>
    <t>CLSA</t>
  </si>
  <si>
    <t>GF</t>
  </si>
  <si>
    <t>Confucius</t>
  </si>
  <si>
    <t>SHINEWING</t>
  </si>
  <si>
    <t>SWHYHK, Guolian Securities</t>
  </si>
  <si>
    <t>Zhejiang Shimai Pharmaceutical Co., Ltd.</t>
  </si>
  <si>
    <t>A clinical-stage biotech company focused on the discovery and development of T-cell engager (TCE) therapies and T-cell modulators (TCM) for the treatment of solid tumors and lymphomas.</t>
  </si>
  <si>
    <t>Huatai,CLSA,CCBI,FUTU</t>
  </si>
  <si>
    <t>CN </t>
  </si>
  <si>
    <t>BrightGene Bio-Medical Technology Co., Ltd.</t>
  </si>
  <si>
    <t>Pharmaceuticals </t>
  </si>
  <si>
    <t>Huatai,GF</t>
  </si>
  <si>
    <t>Yuan Jiandong, Zhong Weifang, Suzhou Borui Xinwen Management Consulting Partnership</t>
  </si>
  <si>
    <t>Guangdong Jinsheng New Energy Co., Ltd.</t>
  </si>
  <si>
    <t>A lithium-ion battery recycling and reutilization company specializing in the recovery of valuable materials like lithium, nickel, and cobalt to produce battery cathode and anode materials.</t>
  </si>
  <si>
    <t>Battery </t>
  </si>
  <si>
    <t>CICC, CMBI</t>
  </si>
  <si>
    <t>CICC, CMBI, GF Securities, BOCI, Fosun, CCBI</t>
  </si>
  <si>
    <t>Xiaoe Inc.</t>
  </si>
  <si>
    <t>A product-driven SaaS solution provider in private domain operations, empowering businesses to build, operate, and scale decentralized e-commerce infrastructure through e-commerce, digital marketing, and CRM modules.</t>
  </si>
  <si>
    <t>SAAS</t>
  </si>
  <si>
    <t xml:space="preserve">CICC </t>
  </si>
  <si>
    <t>CICC, Futu</t>
  </si>
  <si>
    <t>Mr. Bao Chunjian, Bagbao Holding Limited, Xiaoe Tech Holding Limited, Xiaoe Tech I (BVI) Limited, Xiaoe Tech II (BVI) Limited, Xiaoe Tech III (BVI) Limited, Xiaoe Technology Limited, Bagbao Limited, Bagbao I (BVI) Limited</t>
  </si>
  <si>
    <t>Suzhou Dongshan Precision Manufacturing Co., Ltd.</t>
  </si>
  <si>
    <t>Global intelligent manufacturing group producing PCBs, optical transceivers, and precision components for edge AI, data centers, and automotive sectors, serving top-tier technology brands and cloud service providers.</t>
  </si>
  <si>
    <t>Electronic Components</t>
  </si>
  <si>
    <t>UBS, Haitong, GF Securities, CLSA, HSBC</t>
  </si>
  <si>
    <t>Yuan Yonggang, Yuan Yongfeng, Yuan Fugen</t>
  </si>
  <si>
    <t>A+H 688166.SH</t>
  </si>
  <si>
    <t>Tage iDriver Technology Co., Ltd.</t>
  </si>
  <si>
    <t>A pioneer in mining autonomous driving transportation solutions, providing the "KuangGu" vehicle-ground-cloud system specializing in end-to-end autonomous driving and fleet dispatch for open-pit mines.</t>
  </si>
  <si>
    <t>Yu Guizhen, Zhou Huasheng, Ningbo Tage, Dalian Tage, BUE Foundation</t>
  </si>
  <si>
    <t>CHN Energy (China Energy Investment Corporation), Boton Technology, Suzhou GSL Venture Capital Management, Hefei SASAC, Qianhai Ark Asset Management, Yingke Equity Investment Fund Management, Anhui Yunsong Venture Capital, Beijing Hengkuan Pufeng International Venture Capital, Century Golden Resources Investment Group, Anhui Wantong Technology, Vinno Capital, Jincheng Shazhou Equity Investment, Shanghai SASAC, CMC (Shanghai) Equity Investment Management, Beijing Shangshi Investment Management, Wuhu SASAC, Lanyan Private Equity Venture Capital Management, Lucion Venture Investment Group, Tsingstone Asset Management, Wuxi SASAC, Beihang University, Nuohao Jinxin (Beijing) Investment Group, Anhui Provincial People's Government</t>
  </si>
  <si>
    <t>Deloitte </t>
  </si>
  <si>
    <t>Shanghai KeLiang Information Technology Co., Ltd.</t>
  </si>
  <si>
    <t>Provides digital energy infrastructure solutions, specializing in modeling, simulation, and verification technologies for new power systems and advanced equipment electrical systems throughout their asset lifecycles.</t>
  </si>
  <si>
    <t>Sinolink </t>
  </si>
  <si>
    <t>Shanghai Guan An Information Technology Co., Ltd.</t>
  </si>
  <si>
    <t>A specialized provider of intelligent information security solutions in China, focusing on data security and cybersecurity platforms using big data analytics and artificial intelligence technologies.</t>
  </si>
  <si>
    <t>ICBCI, Zhongtai</t>
  </si>
  <si>
    <t>LINGYI iTECH (GUANGDONG) COMPANY</t>
  </si>
  <si>
    <t>An intelligent manufacturing platform for AI-powered devices, producing high-precision functional components, modules, and assembled systems for smart electronics, robotics, enterprise servers, automotive, and advanced air mobility sectors.</t>
  </si>
  <si>
    <t>Precision Intelligent Manufacturing</t>
  </si>
  <si>
    <t>Zeng Fangqin, Lingsheng Investment (Jiangsu) Co., Ltd.</t>
  </si>
  <si>
    <t>A+H 002600.SZ</t>
  </si>
  <si>
    <t>Rongcheng </t>
  </si>
  <si>
    <t>Lingong Heavy Machinery Co., Ltd.</t>
  </si>
  <si>
    <t>A global manufacturer of engineering machinery specializing in mining equipment, aerial work platforms, and material handling solutions with a focus on electrification and digitalization.</t>
  </si>
  <si>
    <t>Industrials</t>
  </si>
  <si>
    <t>Engineering Machinery</t>
  </si>
  <si>
    <t>CICC, Industrial Securities</t>
  </si>
  <si>
    <t>GTJA, Citi,CLSA, JP Morgan</t>
  </si>
  <si>
    <t>Nanjing Silicon Intelligence Technology Group Co., Ltd.</t>
  </si>
  <si>
    <t>China's largest digital human agent provider, offering AI workforce solutions including real-time voice, video generation, and live streaming agents to automate content production and customer interactions.</t>
  </si>
  <si>
    <t>Digital Human Agents</t>
  </si>
  <si>
    <t>CMBI, DBS</t>
  </si>
  <si>
    <t>CMBI, DBS, Futu Securities</t>
  </si>
  <si>
    <t>Mr. Sima Huapeng, Nanjing Silicon Life, Jiaxing Silicon Language</t>
  </si>
  <si>
    <t>Tencent, CMB, China Reform Holdings, State Council SASAC, Guangzhou SASAC, Jiaxing High-tech Industrial Development Zone, Oceanpine Capital, Goodhope, Qihoo 360, Sequoia China, Pengpai Capital, SPDB</t>
  </si>
  <si>
    <t>Bethel Automotive Safety Systems Co., Ltd.</t>
  </si>
  <si>
    <t>A leading automotive intelligent chassis system brand supplier in China specializing in R&amp;D and manufacturing of braking, steering, and suspension systems for OEMs.</t>
  </si>
  <si>
    <t>Intelligent Chassis Systems</t>
  </si>
  <si>
    <t>Mr. Yuan Yongbin, Bethel Investment Management, Shanghai Henglu, Ms. Pan Hejia</t>
  </si>
  <si>
    <t>A+H 603596.SH</t>
  </si>
  <si>
    <t>Liuliumei Co., Ltd.</t>
  </si>
  <si>
    <t>A leading fruit snack company in China focusing on plum-based products, including dried plum snacks, prune-based products, and natural ingredient plum jelly with a dominant market share.</t>
  </si>
  <si>
    <t> Consumer Staples</t>
  </si>
  <si>
    <t>Food &amp; Beverage (Snack Food)</t>
  </si>
  <si>
    <t>CITIC, Guoyuan</t>
  </si>
  <si>
    <t>CLSA, Guoyuan</t>
  </si>
  <si>
    <t>Mr. Yang Fan, Ms. Li Huimin, Jurun Investment, Kaixuan Star, Kailai Star, Liuliu Star</t>
  </si>
  <si>
    <t>Y, last filed at 30/10/2025</t>
  </si>
  <si>
    <t>Y, last filed at 03/09/2025</t>
  </si>
  <si>
    <t>Y, last filed at 22/08/2025</t>
  </si>
  <si>
    <t>Y, last filed at 18/11/2025</t>
  </si>
  <si>
    <t>Y, last filed at 20/11/2025</t>
  </si>
  <si>
    <t>Y, last filed at 31/10/2025</t>
  </si>
  <si>
    <t>Y, last filed at 12/11/2025</t>
  </si>
  <si>
    <t>Therapeutic Antibody</t>
  </si>
  <si>
    <t>Xiao Zuoxiang
Hangzhou Dimai Equity Investment Partnership Enterprise
(Limited Partnership)
Haomai (Hangzhou) Enterprise Management Consulting
Co., Ltd.
Hangzhou Shimai Management Consulting Partnership
Enterprise (Limited Partnership)</t>
  </si>
  <si>
    <t>Betta Pharmaceuticals Co., Ltd. (300558.SZ)
Hangzhou Tigermed Consulting Co., Ltd. (3347.HK / 300347.SZ)
Wens Foodstuff Group Co., Ltd. (300498.SZ) 
Zheshang Securities Co., Ltd. (601878.SH)
MabPlex International Co., Ltd.
Saizhi Investment Co., Ltd.
Hangzhou Beijia Investment Management Co., Ltd.
Homsun Private Equity Funds Management Co., Ltd.
Ningbo Gaofa Automotive Control System Co., Ltd. (603788.SH)
Xinda International Trading Co., Ltd.
Xiamen Gaotejia Ruilu Venture Capital Partnership (LP)
Hangzhou Hi-Tech Financial Investment Holdings Group Co., Ltd.  
Hangzhou Chenghe Venture Capital CO., Ltd.
Taiyu Investment
Pingtan Fuying Investment Partnership Enterprise (LP)
Zhejiang Yongxi Yongyi Investment Management Co., Ltd.
Hangzhou Shanyao Equity Investment Partership Enterprise (LP)
Anji Maisheng Enterprise Management Partnership (LP)
Ningbo Yuhe Science and Technology Innovation Investment Co., Ltd.</t>
  </si>
  <si>
    <t>Global pharmaceutical company specializing in high-barrier active pharmaceutical ingredients (API), intermediates, and innovative drugs for metabolic and respiratory diseases, with a commercial network spanning over 40 countries and regions.</t>
  </si>
  <si>
    <t>N/A</t>
  </si>
  <si>
    <t>Mr. Li Sen 
Mr. Li Xin 
Mr. Li Yao 
Mr. Li Yan 
Mr. Li Wang 
Jiangxi Dongliang Invesment Holdings Co., Ltd.
Zhaoqing Shengda Energy Technology Parternship LP
Zhaoqing Senlong Energy Techonlogy Partnership LP</t>
  </si>
  <si>
    <t>CICC Capital
China Electronics Corporation (CEC)
Lited Group
Fosun International Limited (656.HK)
China State-owned Enterprises Structural Adjustment Fund
SASAC of Chuzhou
SASAC of Gaoyao District, Zhaoqing City
Guangdong National Innovation Venture Capital Management
CoStone Asset Management
SASAC of Shandong
Hunan TV &amp; Broadcast Intermediary Co., Ltd. (000917.SZ)
Shenzhen Guozhong Changrong Asset Management (Ministry of Finance (PRC))
Guangdong Yueke Financial Group (SASAC of Guangdong)
China Cinda Asset Management (1359.HK)
Robert Bosch GmbH
Anhui Investment Group Holding (SASAC of Anhui Province)
SASAC of Huainan
Southern Publishing Media (601900.SH)
Shaanxi Automobile Holding Group
Guangdong Ruoque Private Equity Fund
Zibo Henglu Hongwang Industrial Investment
Guangzhou Automobile Group Co., Ltd. (2238.HK / 601238.SH)
Guangdong Yuecai Investment Holdings Co., Ltd. (People's Government of Guangdong Province)
Changjiang Securities (000783.SZ)
Guangzhou Panyu Fund Management (SASAC of Guangzhou)
Xinhua Winshare Publishing and Media (811.HK / 601811.SH)
Shuimu Chunjin Capital
Xi'an Ruijing Private Equity Fund Management
Shenzhen Fuchuan Private Equity Fund Management
Bosera Fund (China Merchant Securities 6099.HK / 600999.SH)
Ninebot Limited (689009.SH)</t>
  </si>
  <si>
    <t>Tencent (700.HK), Gaocheng Capital, IDG Capital, Qiming Venture Partners, TAL Education Group (TAL.US), Yuanxing Capital, Granite Asia, LKK Design Group, Hillhouse Investment, CICC</t>
  </si>
  <si>
    <t>A+H 002384.SZ</t>
  </si>
  <si>
    <t>UBS, Haitong, GF Securities, CITIC</t>
  </si>
  <si>
    <t xml:space="preserve">Autonomous Driving </t>
  </si>
  <si>
    <t>Digital Energy Solutoins</t>
  </si>
  <si>
    <t>Sang Suming
Shanghai Keyi Equity Invrstment Management Partnership (LP)
Shanghai Kebing Enterprise Management Consulting Center (LP)
Shanghai Keshan Enterprise Management Consulting Center (LP)
Shanghai Kerong Enterprise Management Consulting Center (LP)</t>
  </si>
  <si>
    <t>Shanghai Puding Enterprise Management
Shanghai Xinkun Investment Management
Wangsu Science &amp; Technology (300017.SH)
Beijing Chenhui Innovation Investment Management
SDIC (SASAC)
Shanghai Hongxin Private Equity Funds Management
Qingdao Huangdao District Finance Bureau (SASAC)
Shanghai Holystar Electrical Technology (688330.SH)
Shanghai Shengshi Jiayi Enterprise Management</t>
  </si>
  <si>
    <t>Information Security</t>
  </si>
  <si>
    <t>Hu Shaoyong
Zhang Zhaolong
Shanghai Zhixian Enterprise Management Partnership (Limited Partnership)</t>
  </si>
  <si>
    <t>New Alliance Capital
National  Manufacturing Transformation and Upgrade Fund Co., Ltd.
Haitong Securities 2611.HK / 601211.SH)
SDIC Innovation Investment Management (SASAC of State Council)
China Mobile Investment Management
CITIC Financial Asset Management (2799.HK)
Tianjin Haitai Capital Investment Management
Xiamen Hengyi Guoxing Investment Management
Shanghai Dunhong Asset Management
Shanghai Yuanrong Investment
Shanghai Hetong Enterprise Management
Shanghai Junsheng Xiechuang Private Equity
Beijing Qi’an Venture Capital
Ningbo Gaoling Equity Investment
Shanghai Lirong Investment Management</t>
  </si>
  <si>
    <t>Y, last filed at 6/11/2025</t>
  </si>
  <si>
    <t>Wang Zhizhong
Linyi Lingong Machinery Group Co., Ltd.
Linyuan No. 1 (Linyi) Enterprise Management Partnership (LP)
Linyuan No. 2(Linyi) Enterprise Management Partnership (LP)
Linyuan No. 3 (Linyi) Enterprise Management Partnership (LP)
Linyuan No. 4 (Linyi) Enterprise Management Partnership (LP)</t>
  </si>
  <si>
    <t>Qianhai Ark Asset Management
Shandong Port Group (Qingdao SASAC)
D&amp;T Capital Ltd
SDIC China Merchants Investment Management
Jinan High-tech Industry Development Zone SASAC
Zhejiang SASAC
Qingdao Jinyue Jinghui Investment
CICC
Jinan SASAC
Shandong Ptovincial Department of Finance 
China Construction Bank (939.HK / 601939.SH)
Luxin Venture Capital Group (600783.SH)
Shanghai Jingyi Enterprise Management 
Jifu Venture Capital
Industrial Securities (601377.SH)</t>
  </si>
  <si>
    <t>CTG Hongkong and Macao Culture and Tourism Holding Limited</t>
  </si>
  <si>
    <t>N/A, listing by way of introduction</t>
  </si>
  <si>
    <t>Tourism</t>
  </si>
  <si>
    <t>Listing by introduction</t>
  </si>
  <si>
    <t>Y, last filed at 28/10/2025 &amp; 16/4/2025</t>
  </si>
  <si>
    <t>Shenzhen Junrong
Nuoxiang Jinhong
Nuoxiang Dongchen
Wuhu Huaan Zhanxin Equity Investment Fund Partnership(LP) (Huaan Securities (600909.SH), Anhui Provincial SASAC, Wuhu Municipal SASAC)
Wuhu Fanchang District Finance Bureau</t>
  </si>
  <si>
    <t>Sinocelltech Group Limited</t>
  </si>
  <si>
    <t>Puxiang Healthcare Holding Limited</t>
  </si>
  <si>
    <t>Guangdong Rong Tai Pharmaceutical Co., Ltd.</t>
  </si>
  <si>
    <t>EnjoyGo Technology Limited</t>
  </si>
  <si>
    <t>An innovative biologics company focused on R&amp;D, manufacturing, and commercialization of therapeutic antibodies, recombinant proteins, and vaccines with five commercialized products including rhFVIII for hemophilia A.</t>
  </si>
  <si>
    <t>CITIC</t>
  </si>
  <si>
    <t>Dr. Xie Liangzhi, Ms. Li Hanyuan, Lhasa Ailike Investment Consulting Co., Ltd., Lhasa Lianghaoyuan Enterprise Management Co., Ltd.</t>
  </si>
  <si>
    <t>A+H 688520.SH</t>
  </si>
  <si>
    <t>Provider of integrated healthcare and eldercare services in North China, offering clinical diagnosis, treatment, rehabilitation, nursing, and palliative care for middle-aged and elderly people in community settings.</t>
  </si>
  <si>
    <t>Shenwan Hongyuan, ABCI</t>
  </si>
  <si>
    <t>Wang Weibin, Xu Huayong, Yangyuan BVI, One Percent BVI, Huayiyongsheng BVI</t>
  </si>
  <si>
    <t>Major provider of digital marketing and supply chain services for the out-of-hospital pharmaceutical market in China, offering omni-channel sales services to pharmaceutical companies and downstream terminals.</t>
  </si>
  <si>
    <t>Digital Pharmaceutical Supply Chain Services</t>
  </si>
  <si>
    <t>CLSA, CMBC</t>
  </si>
  <si>
    <t>A multi-scenario smart mobility platform in China offering ride-hailing, vehicle leasing, used vehicle sales, and Robotaxi services, primarily operating in the Yangtze River Delta and Shanghai.</t>
  </si>
  <si>
    <t>Ride-hailing</t>
  </si>
  <si>
    <t>CICC, GTJA</t>
  </si>
  <si>
    <t>SAIC, Changzhou SAIC</t>
  </si>
  <si>
    <t>Integrated travel services provider in the Greater Bay Area, operating cross-boundary passenger maritime and road transportation, hotel operations, and travel-document administration services.</t>
  </si>
  <si>
    <t>HKD</t>
  </si>
  <si>
    <t>Y, last filed at 26/09/2025</t>
  </si>
  <si>
    <t>Y, last filed at 28/10/2025</t>
  </si>
  <si>
    <t>2026/01/01 – 2026/05/24</t>
  </si>
  <si>
    <t>2025/01/01 – 2025/5/24</t>
  </si>
  <si>
    <t>As of 24/05/2025</t>
  </si>
  <si>
    <t>As of 24/05/2026</t>
  </si>
  <si>
    <t>China Tourism Group Corporation Limited
China Travel Service (Holdings) Hong Kong Liimted
CTS Asset Management (I) Limited
Hong Kong New Travel Investments Ltd.</t>
  </si>
  <si>
    <t>Pharmaceuticals</t>
  </si>
  <si>
    <t>Healthcare Services</t>
  </si>
  <si>
    <t>CICC
Yunsheng Huahsi (Fuling District SASAC)
Singapore Paincare Holdings Limited (SGX: FRQ)</t>
  </si>
  <si>
    <t>Y, last filed at 30/06/2025</t>
  </si>
  <si>
    <t>Chen Changqin
Guangzhou Changfeng Yide Enterprise Management Partnership (Limited Partnership)</t>
  </si>
  <si>
    <t>A&amp;B Brothers Limited
Shanghai Shengqi Enterprise Management Partnership (Limited Partnership)
Tianjin Kangchen Ruixin Pharmaceutical Group Co., Ltd.
Shenzhen Capital Group Co., Ltd.
Guangzhou Zhengda Venture Capital Partnership (Limited Partnership)
Ningbo Meishan Free Trade Port Zone Zijin Investment Management Partnership (Limited Partnership)
Lishui Tongda Venture Capital Partnership (Limited Partnership)
Shenzhen Oriental Fortune Capital Co., Ltd. 
Hangzhou Huipu Direct Equity Investment Partnership (Limited Partnership)
Shenzhen Qianhai Kekong Gangshen Venture Capital Investment Co., Ltd.
Horgos Dadao Venture Capital Co., Ltd. 
Hangzhou Hida Mingde Venture Capital Partnership (Limited Partnership)
Qinghai Ningda Venture Capital Co., Ltd. (Qinghai SASAC)
Ezhou Changrong Development No. 1 Special Investment Fund Partnership (Limited Partnership) (Ezhou SASAC)
Wu’e Tongcheng Development Science and Technology Innovation Industry Investment Fund Partnership (Limited Partnership) (Hubei SASAC)
Ningbo Jiayi Enterprise Management Co., Ltd.</t>
  </si>
  <si>
    <t>Alibaba Group (9988.HK / BABA.US)
CATL (3750.HK / 300750.SZ)
Momenta Global Limited
Guotai Haitong Securities Co., Ltd.
SASAC of of Jiading District, Shanghai Municipality
SASAC of Xuhui District, Shanghai Municipality</t>
  </si>
  <si>
    <t>GBA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</si>
</sst>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font>
      <sz val="11"/>
      <color theme="1"/>
      <name val="Calibri"/>
      <family val="2"/>
      <scheme val="minor"/>
    </font>
    <font>
      <sz val="11"/>
      <color theme="1"/>
      <name val="Arial"/>
      <family val="2"/>
      <charset val="134"/>
    </font>
    <font>
      <sz val="10"/>
      <color theme="1"/>
      <name val="Times New Roman"/>
      <family val="1"/>
    </font>
    <font>
      <sz val="11"/>
      <color theme="1"/>
      <name val="Calibri"/>
      <family val="2"/>
    </font>
    <font>
      <b/>
      <sz val="11"/>
      <color theme="1"/>
      <name val="Calibri"/>
      <family val="2"/>
    </font>
    <font>
      <b/>
      <sz val="11"/>
      <color rgb="FFFFFFFF"/>
      <name val="Calibri"/>
      <family val="2"/>
    </font>
    <font>
      <b/>
      <sz val="11"/>
      <color rgb="FF000000"/>
      <name val="Calibri"/>
      <family val="2"/>
    </font>
    <font>
      <sz val="11"/>
      <color rgb="FF000000"/>
      <name val="Calibri"/>
      <family val="2"/>
    </font>
    <font>
      <sz val="8"/>
      <name val="Calibri"/>
      <family val="2"/>
      <scheme val="minor"/>
    </font>
    <font>
      <sz val="11"/>
      <color indexed="8"/>
      <name val="Calibri"/>
      <family val="2"/>
      <scheme val="minor"/>
    </font>
    <font>
      <sz val="11"/>
      <color theme="1"/>
      <name val="Calibri"/>
      <family val="2"/>
      <charset val="134"/>
      <scheme val="minor"/>
    </font>
    <font>
      <sz val="11"/>
      <name val="Calibri"/>
      <family val="2"/>
    </font>
    <font>
      <sz val="11"/>
      <name val="Calibri"/>
      <family val="2"/>
      <scheme val="minor"/>
    </font>
    <font>
      <sz val="11"/>
      <color rgb="FF000000"/>
      <name val="Aptos"/>
      <family val="2"/>
      <charset val="1"/>
    </font>
    <font>
      <sz val="11"/>
      <color theme="1"/>
      <name val="Calibri"/>
      <family val="2"/>
      <scheme val="minor"/>
    </font>
    <font>
      <b/>
      <sz val="14"/>
      <color rgb="FFFFFFFF"/>
      <name val="Calibri"/>
      <family val="2"/>
    </font>
    <font>
      <b/>
      <sz val="12"/>
      <color rgb="FF000000"/>
      <name val="Calibri"/>
      <family val="2"/>
    </font>
    <font>
      <sz val="11"/>
      <color rgb="FF0070C0"/>
      <name val="Calibri"/>
      <family val="2"/>
      <scheme val="minor"/>
    </font>
    <font>
      <sz val="11"/>
      <color rgb="FFFF0000"/>
      <name val="Calibri"/>
      <family val="2"/>
      <scheme val="minor"/>
    </font>
    <font>
      <b/>
      <sz val="11"/>
      <color theme="0"/>
      <name val="Calibri"/>
      <family val="2"/>
    </font>
    <font>
      <b/>
      <sz val="11"/>
      <color theme="1"/>
      <name val="Calibri"/>
      <family val="2"/>
      <scheme val="minor"/>
    </font>
    <font>
      <b/>
      <sz val="12"/>
      <color theme="1"/>
      <name val="Calibri"/>
      <family val="2"/>
    </font>
    <font>
      <b/>
      <i/>
      <sz val="11"/>
      <color theme="1"/>
      <name val="Calibri"/>
      <family val="2"/>
      <scheme val="minor"/>
    </font>
  </fonts>
  <fills count="10">
    <fill>
      <patternFill patternType="none"/>
    </fill>
    <fill>
      <patternFill patternType="gray125"/>
    </fill>
    <fill>
      <patternFill patternType="solid">
        <fgColor rgb="FFC00000"/>
        <bgColor indexed="64"/>
      </patternFill>
    </fill>
    <fill>
      <patternFill patternType="solid">
        <fgColor rgb="FF000000"/>
        <bgColor indexed="64"/>
      </patternFill>
    </fill>
    <fill>
      <patternFill patternType="solid">
        <fgColor rgb="FFFCE4D6"/>
        <bgColor indexed="64"/>
      </patternFill>
    </fill>
    <fill>
      <patternFill patternType="solid">
        <fgColor rgb="FFF2F2F2"/>
        <bgColor indexed="64"/>
      </patternFill>
    </fill>
    <fill>
      <patternFill patternType="solid">
        <fgColor rgb="FFFFF2CC"/>
        <bgColor indexed="64"/>
      </patternFill>
    </fill>
    <fill>
      <patternFill patternType="solid">
        <fgColor theme="5" tint="0.59999389629810485"/>
        <bgColor indexed="64"/>
      </patternFill>
    </fill>
    <fill>
      <patternFill patternType="solid">
        <fgColor theme="0"/>
        <bgColor indexed="64"/>
      </patternFill>
    </fill>
    <fill>
      <patternFill patternType="solid">
        <fgColor rgb="FFFFFFFF"/>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right/>
      <top/>
      <bottom style="thin">
        <color indexed="8"/>
      </bottom>
      <diagonal/>
    </border>
  </borders>
  <cellStyleXfs count="5">
    <xf numFmtId="0" fontId="0" fillId="0" borderId="0"/>
    <xf numFmtId="0" fontId="1" fillId="0" borderId="0"/>
    <xf numFmtId="0" fontId="9" fillId="0" borderId="0"/>
    <xf numFmtId="0" fontId="10" fillId="0" borderId="0">
      <alignment vertical="center"/>
    </xf>
    <xf numFmtId="9" fontId="14" fillId="0" borderId="0" applyFont="0" applyFill="0" applyBorder="0" applyAlignment="0" applyProtection="0"/>
  </cellStyleXfs>
  <cellXfs count="127">
    <xf numFmtId="0" fontId="0" fillId="0" borderId="0" xfId="0"/>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6" fillId="0" borderId="1" xfId="0" applyFont="1" applyBorder="1" applyAlignment="1">
      <alignment vertical="center"/>
    </xf>
    <xf numFmtId="0" fontId="5" fillId="2" borderId="1" xfId="0" applyFont="1" applyFill="1" applyBorder="1" applyAlignment="1">
      <alignment vertical="center"/>
    </xf>
    <xf numFmtId="0" fontId="5" fillId="2" borderId="2" xfId="0" applyFont="1" applyFill="1" applyBorder="1" applyAlignment="1">
      <alignment horizontal="center" vertical="center"/>
    </xf>
    <xf numFmtId="0" fontId="7" fillId="0" borderId="3" xfId="0" applyFont="1" applyBorder="1" applyAlignment="1">
      <alignment horizontal="justify" vertical="center"/>
    </xf>
    <xf numFmtId="0" fontId="7" fillId="0" borderId="4" xfId="0" applyFont="1" applyBorder="1" applyAlignment="1">
      <alignment horizontal="center" vertical="center"/>
    </xf>
    <xf numFmtId="0" fontId="5" fillId="3" borderId="1" xfId="0" applyFont="1" applyFill="1" applyBorder="1" applyAlignment="1">
      <alignment horizontal="center" vertical="center" wrapText="1"/>
    </xf>
    <xf numFmtId="0" fontId="2" fillId="0" borderId="1" xfId="0" applyFont="1" applyBorder="1"/>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6" fillId="6"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7" fillId="5" borderId="1" xfId="0" applyFont="1" applyFill="1" applyBorder="1" applyAlignment="1">
      <alignment horizontal="center" vertical="center"/>
    </xf>
    <xf numFmtId="0" fontId="4" fillId="0" borderId="5" xfId="3" applyFont="1" applyBorder="1">
      <alignment vertical="center"/>
    </xf>
    <xf numFmtId="0" fontId="3" fillId="0" borderId="5" xfId="3" applyFont="1" applyBorder="1" applyAlignment="1">
      <alignment horizontal="center" vertical="center"/>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5" fillId="3" borderId="5" xfId="0" applyFont="1" applyFill="1" applyBorder="1" applyAlignment="1">
      <alignment horizontal="center" vertical="center" wrapText="1"/>
    </xf>
    <xf numFmtId="0" fontId="3" fillId="0" borderId="5" xfId="3" applyFont="1" applyBorder="1">
      <alignment vertical="center"/>
    </xf>
    <xf numFmtId="0" fontId="5" fillId="2" borderId="5" xfId="0" applyFont="1" applyFill="1" applyBorder="1" applyAlignment="1">
      <alignment horizontal="center" vertical="center" wrapText="1"/>
    </xf>
    <xf numFmtId="164" fontId="3" fillId="0" borderId="0" xfId="3" applyNumberFormat="1" applyFont="1">
      <alignment vertical="center"/>
    </xf>
    <xf numFmtId="0" fontId="7" fillId="5" borderId="6" xfId="0" applyFont="1" applyFill="1" applyBorder="1" applyAlignment="1">
      <alignment horizontal="center" vertical="center"/>
    </xf>
    <xf numFmtId="0" fontId="3" fillId="0" borderId="7" xfId="0" applyFont="1" applyBorder="1" applyAlignment="1">
      <alignment horizontal="center" vertical="center"/>
    </xf>
    <xf numFmtId="164" fontId="3" fillId="0" borderId="7" xfId="0" applyNumberFormat="1" applyFont="1" applyBorder="1" applyAlignment="1">
      <alignment horizontal="center" vertical="center"/>
    </xf>
    <xf numFmtId="0" fontId="0" fillId="0" borderId="0" xfId="0" applyAlignment="1">
      <alignment horizontal="left"/>
    </xf>
    <xf numFmtId="0" fontId="6" fillId="0" borderId="0" xfId="0" applyFont="1" applyAlignment="1">
      <alignment vertical="center"/>
    </xf>
    <xf numFmtId="0" fontId="7" fillId="0" borderId="0" xfId="0" applyFont="1" applyAlignment="1">
      <alignment horizontal="center" vertical="center" wrapText="1"/>
    </xf>
    <xf numFmtId="0" fontId="7" fillId="0" borderId="0" xfId="0" applyFont="1" applyAlignment="1">
      <alignment horizontal="center" vertical="center"/>
    </xf>
    <xf numFmtId="0" fontId="3" fillId="0" borderId="4" xfId="0" applyFont="1" applyBorder="1" applyAlignment="1">
      <alignment horizontal="center" vertical="center"/>
    </xf>
    <xf numFmtId="10" fontId="3" fillId="0" borderId="4" xfId="4" applyNumberFormat="1" applyFont="1" applyFill="1" applyBorder="1" applyAlignment="1">
      <alignment horizontal="center" vertical="center"/>
    </xf>
    <xf numFmtId="0" fontId="15" fillId="2" borderId="1" xfId="0" applyFont="1" applyFill="1" applyBorder="1" applyAlignment="1">
      <alignment vertical="center"/>
    </xf>
    <xf numFmtId="0" fontId="15" fillId="2" borderId="2" xfId="0" applyFont="1" applyFill="1" applyBorder="1" applyAlignment="1">
      <alignment horizontal="center" vertical="center"/>
    </xf>
    <xf numFmtId="0" fontId="16" fillId="0" borderId="3" xfId="0" applyFont="1" applyBorder="1" applyAlignment="1">
      <alignment horizontal="justify" vertical="center"/>
    </xf>
    <xf numFmtId="0" fontId="0" fillId="0" borderId="0" xfId="0" pivotButton="1"/>
    <xf numFmtId="164" fontId="3" fillId="0" borderId="5" xfId="3" applyNumberFormat="1" applyFont="1" applyBorder="1">
      <alignment vertical="center"/>
    </xf>
    <xf numFmtId="10" fontId="7" fillId="0" borderId="4" xfId="0" applyNumberFormat="1" applyFont="1" applyBorder="1" applyAlignment="1">
      <alignment horizontal="center" vertical="center"/>
    </xf>
    <xf numFmtId="0" fontId="3" fillId="0" borderId="5" xfId="3" applyFont="1" applyBorder="1" applyAlignment="1">
      <alignment horizontal="center" vertical="center" wrapText="1"/>
    </xf>
    <xf numFmtId="9" fontId="5" fillId="2" borderId="5" xfId="4" applyFont="1" applyFill="1" applyBorder="1" applyAlignment="1">
      <alignment horizontal="center" vertical="center" wrapText="1"/>
    </xf>
    <xf numFmtId="9" fontId="0" fillId="0" borderId="5" xfId="4" applyFont="1" applyBorder="1" applyAlignment="1">
      <alignment horizontal="center" vertical="center" wrapText="1"/>
    </xf>
    <xf numFmtId="9" fontId="12" fillId="8" borderId="5" xfId="4" applyFont="1" applyFill="1" applyBorder="1" applyAlignment="1">
      <alignment horizontal="center" vertical="center" wrapText="1"/>
    </xf>
    <xf numFmtId="9" fontId="0" fillId="0" borderId="5" xfId="4" applyFont="1" applyBorder="1" applyAlignment="1">
      <alignment vertical="center" wrapText="1"/>
    </xf>
    <xf numFmtId="9" fontId="0" fillId="0" borderId="5" xfId="4" applyFont="1" applyBorder="1" applyAlignment="1">
      <alignment horizontal="left" vertical="center" wrapText="1"/>
    </xf>
    <xf numFmtId="0" fontId="12" fillId="0" borderId="5" xfId="4" applyNumberFormat="1" applyFont="1" applyBorder="1" applyAlignment="1">
      <alignment horizontal="center" vertical="center" wrapText="1"/>
    </xf>
    <xf numFmtId="0" fontId="0" fillId="0" borderId="5" xfId="4" applyNumberFormat="1" applyFont="1" applyBorder="1" applyAlignment="1">
      <alignment horizontal="center" vertical="center" wrapText="1"/>
    </xf>
    <xf numFmtId="0" fontId="11" fillId="8" borderId="5" xfId="4" applyNumberFormat="1" applyFont="1" applyFill="1" applyBorder="1" applyAlignment="1">
      <alignment horizontal="center" vertical="center" wrapText="1"/>
    </xf>
    <xf numFmtId="0" fontId="0" fillId="0" borderId="5" xfId="4" applyNumberFormat="1" applyFont="1" applyBorder="1" applyAlignment="1">
      <alignment vertical="center" wrapText="1"/>
    </xf>
    <xf numFmtId="0" fontId="0" fillId="0" borderId="5" xfId="4" applyNumberFormat="1" applyFont="1" applyBorder="1" applyAlignment="1">
      <alignment horizontal="left" vertical="center" wrapText="1"/>
    </xf>
    <xf numFmtId="0" fontId="11" fillId="0" borderId="5" xfId="4" applyNumberFormat="1" applyFont="1" applyBorder="1" applyAlignment="1">
      <alignment horizontal="center" vertical="center" wrapText="1"/>
    </xf>
    <xf numFmtId="0" fontId="12" fillId="0" borderId="5" xfId="4" applyNumberFormat="1" applyFont="1" applyBorder="1" applyAlignment="1">
      <alignment horizontal="left" vertical="center" wrapText="1"/>
    </xf>
    <xf numFmtId="38" fontId="11" fillId="8" borderId="5" xfId="0" applyNumberFormat="1" applyFont="1" applyFill="1" applyBorder="1" applyAlignment="1">
      <alignment horizontal="center" vertical="center" wrapText="1"/>
    </xf>
    <xf numFmtId="0" fontId="7" fillId="9" borderId="4" xfId="0" applyFont="1" applyFill="1" applyBorder="1" applyAlignment="1">
      <alignment horizontal="center" vertical="center" wrapText="1"/>
    </xf>
    <xf numFmtId="0" fontId="16" fillId="0" borderId="14" xfId="0" applyFont="1" applyBorder="1" applyAlignment="1">
      <alignment horizontal="justify" vertical="center"/>
    </xf>
    <xf numFmtId="0" fontId="18" fillId="0" borderId="0" xfId="0" applyFont="1"/>
    <xf numFmtId="0" fontId="14" fillId="0" borderId="5" xfId="4" applyNumberFormat="1" applyFont="1" applyBorder="1" applyAlignment="1">
      <alignment horizontal="center" vertical="center" wrapText="1"/>
    </xf>
    <xf numFmtId="9" fontId="14" fillId="8" borderId="5" xfId="4" applyFont="1" applyFill="1" applyBorder="1" applyAlignment="1">
      <alignment horizontal="center" vertical="center" wrapText="1"/>
    </xf>
    <xf numFmtId="14" fontId="14" fillId="8" borderId="5" xfId="4" applyNumberFormat="1" applyFont="1" applyFill="1" applyBorder="1" applyAlignment="1">
      <alignment horizontal="center" vertical="center" wrapText="1"/>
    </xf>
    <xf numFmtId="0" fontId="3" fillId="8" borderId="5" xfId="4" applyNumberFormat="1" applyFont="1" applyFill="1" applyBorder="1" applyAlignment="1">
      <alignment horizontal="center" vertical="center" wrapText="1"/>
    </xf>
    <xf numFmtId="0" fontId="10" fillId="0" borderId="5" xfId="3" applyBorder="1">
      <alignment vertical="center"/>
    </xf>
    <xf numFmtId="9" fontId="10" fillId="0" borderId="5" xfId="3" applyNumberFormat="1" applyBorder="1">
      <alignment vertical="center"/>
    </xf>
    <xf numFmtId="0" fontId="3" fillId="5" borderId="1" xfId="0" applyFont="1" applyFill="1" applyBorder="1" applyAlignment="1">
      <alignment horizontal="center" vertical="center"/>
    </xf>
    <xf numFmtId="0" fontId="21" fillId="0" borderId="4" xfId="0" applyFont="1" applyBorder="1" applyAlignment="1">
      <alignment horizontal="justify" vertical="center"/>
    </xf>
    <xf numFmtId="0" fontId="3" fillId="0" borderId="3" xfId="0" applyFont="1" applyBorder="1" applyAlignment="1">
      <alignment horizontal="center" vertical="center"/>
    </xf>
    <xf numFmtId="0" fontId="5" fillId="2" borderId="14"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20" fillId="0" borderId="0" xfId="0" applyFont="1"/>
    <xf numFmtId="0" fontId="0" fillId="0" borderId="5" xfId="0" applyBorder="1" applyAlignment="1">
      <alignment horizontal="center" vertical="center" wrapText="1"/>
    </xf>
    <xf numFmtId="0" fontId="0" fillId="0" borderId="5" xfId="0" applyBorder="1" applyAlignment="1">
      <alignment horizontal="left" vertical="center" wrapText="1"/>
    </xf>
    <xf numFmtId="0" fontId="14" fillId="0" borderId="5" xfId="4" applyNumberFormat="1" applyFont="1" applyBorder="1" applyAlignment="1">
      <alignment horizontal="left" vertical="center" wrapText="1"/>
    </xf>
    <xf numFmtId="3" fontId="11" fillId="8" borderId="5" xfId="4" applyNumberFormat="1" applyFont="1" applyFill="1" applyBorder="1" applyAlignment="1">
      <alignment horizontal="center" vertical="center" wrapText="1"/>
    </xf>
    <xf numFmtId="9" fontId="14" fillId="0" borderId="5" xfId="4" applyFont="1" applyBorder="1" applyAlignment="1">
      <alignment horizontal="center" vertical="center" wrapText="1"/>
    </xf>
    <xf numFmtId="0" fontId="22" fillId="0" borderId="0" xfId="0" applyFont="1"/>
    <xf numFmtId="0" fontId="20" fillId="0" borderId="16" xfId="0" applyFont="1" applyBorder="1"/>
    <xf numFmtId="0" fontId="14" fillId="0" borderId="5" xfId="4" applyNumberFormat="1" applyFont="1" applyFill="1" applyBorder="1" applyAlignment="1">
      <alignment horizontal="left" vertical="center" wrapText="1"/>
    </xf>
    <xf numFmtId="0" fontId="7" fillId="0" borderId="1" xfId="0" applyFont="1" applyBorder="1" applyAlignment="1">
      <alignment horizontal="center" vertical="center"/>
    </xf>
    <xf numFmtId="0" fontId="4" fillId="0" borderId="5" xfId="3" applyFont="1" applyBorder="1" applyAlignment="1">
      <alignment horizontal="center" vertical="center"/>
    </xf>
    <xf numFmtId="0" fontId="20" fillId="0" borderId="5" xfId="0" applyFont="1" applyBorder="1" applyAlignment="1">
      <alignment horizontal="center"/>
    </xf>
    <xf numFmtId="0" fontId="3" fillId="0" borderId="15" xfId="0" applyFont="1" applyBorder="1" applyAlignment="1">
      <alignment horizontal="center" vertical="center"/>
    </xf>
    <xf numFmtId="0" fontId="16" fillId="0" borderId="1" xfId="0" applyFont="1" applyBorder="1" applyAlignment="1">
      <alignment horizontal="justify" vertical="center"/>
    </xf>
    <xf numFmtId="0" fontId="3" fillId="0" borderId="14" xfId="0" applyFont="1" applyBorder="1" applyAlignment="1">
      <alignment horizontal="center" vertical="center"/>
    </xf>
    <xf numFmtId="0" fontId="11" fillId="0" borderId="1" xfId="0" applyFont="1" applyBorder="1" applyAlignment="1">
      <alignment horizontal="center" vertical="center"/>
    </xf>
    <xf numFmtId="164" fontId="11" fillId="0" borderId="1" xfId="0" applyNumberFormat="1" applyFont="1" applyBorder="1" applyAlignment="1">
      <alignment horizontal="center" vertical="center"/>
    </xf>
    <xf numFmtId="0" fontId="13" fillId="0" borderId="5" xfId="4" applyNumberFormat="1" applyFont="1" applyBorder="1" applyAlignment="1">
      <alignment horizontal="left" vertical="center" wrapText="1"/>
    </xf>
    <xf numFmtId="0" fontId="14" fillId="0" borderId="5" xfId="4" applyNumberFormat="1" applyFont="1" applyFill="1" applyBorder="1" applyAlignment="1">
      <alignment horizontal="center" vertical="center" wrapText="1"/>
    </xf>
    <xf numFmtId="0" fontId="14" fillId="0" borderId="0" xfId="0" applyFont="1" applyAlignment="1">
      <alignment vertical="center" wrapText="1"/>
    </xf>
    <xf numFmtId="0" fontId="3" fillId="0" borderId="5" xfId="4" applyNumberFormat="1" applyFont="1" applyFill="1" applyBorder="1" applyAlignment="1">
      <alignment horizontal="center" vertical="center" wrapText="1"/>
    </xf>
    <xf numFmtId="38" fontId="3" fillId="0" borderId="5" xfId="0" applyNumberFormat="1" applyFont="1" applyBorder="1" applyAlignment="1">
      <alignment horizontal="center" vertical="center" wrapText="1"/>
    </xf>
    <xf numFmtId="14" fontId="14" fillId="0" borderId="5" xfId="4" applyNumberFormat="1" applyFont="1" applyFill="1" applyBorder="1" applyAlignment="1">
      <alignment horizontal="center" vertical="center" wrapText="1"/>
    </xf>
    <xf numFmtId="9" fontId="14" fillId="0" borderId="5" xfId="4" applyFont="1" applyFill="1" applyBorder="1" applyAlignment="1">
      <alignment horizontal="left" vertical="center" wrapText="1"/>
    </xf>
    <xf numFmtId="9" fontId="12" fillId="0" borderId="5" xfId="4" applyFont="1" applyFill="1" applyBorder="1" applyAlignment="1">
      <alignment horizontal="center" vertical="center" wrapText="1"/>
    </xf>
    <xf numFmtId="9" fontId="17" fillId="0" borderId="5" xfId="4" applyFont="1" applyFill="1" applyBorder="1" applyAlignment="1">
      <alignment horizontal="center" vertical="center" wrapText="1"/>
    </xf>
    <xf numFmtId="9" fontId="14" fillId="0" borderId="5" xfId="4" applyFont="1" applyFill="1" applyBorder="1" applyAlignment="1">
      <alignment horizontal="center" vertical="center" wrapText="1"/>
    </xf>
    <xf numFmtId="38" fontId="11" fillId="0" borderId="5" xfId="0" applyNumberFormat="1" applyFont="1" applyBorder="1" applyAlignment="1">
      <alignment horizontal="center" vertical="center" wrapText="1"/>
    </xf>
    <xf numFmtId="0" fontId="0" fillId="0" borderId="5" xfId="0" applyBorder="1" applyAlignment="1">
      <alignment vertical="center" wrapText="1"/>
    </xf>
    <xf numFmtId="0" fontId="0" fillId="0" borderId="5" xfId="4" applyNumberFormat="1" applyFont="1" applyFill="1" applyBorder="1" applyAlignment="1">
      <alignment horizontal="center" vertical="center" wrapText="1"/>
    </xf>
    <xf numFmtId="9" fontId="0" fillId="0" borderId="5" xfId="4" applyFont="1" applyFill="1" applyBorder="1" applyAlignment="1">
      <alignment horizontal="center" vertical="center" wrapText="1"/>
    </xf>
    <xf numFmtId="0" fontId="0" fillId="0" borderId="5" xfId="4" applyNumberFormat="1" applyFont="1" applyFill="1" applyBorder="1" applyAlignment="1">
      <alignment horizontal="left" vertical="center" wrapText="1"/>
    </xf>
    <xf numFmtId="0" fontId="11" fillId="0" borderId="5" xfId="4" applyNumberFormat="1" applyFont="1" applyFill="1" applyBorder="1" applyAlignment="1">
      <alignment horizontal="center" vertical="center" wrapText="1"/>
    </xf>
    <xf numFmtId="0" fontId="0" fillId="0" borderId="5" xfId="4" applyNumberFormat="1" applyFont="1" applyFill="1" applyBorder="1" applyAlignment="1">
      <alignment vertical="center" wrapText="1"/>
    </xf>
    <xf numFmtId="0" fontId="0" fillId="0" borderId="0" xfId="4" applyNumberFormat="1" applyFont="1" applyFill="1" applyAlignment="1">
      <alignment horizontal="center" vertical="center" wrapText="1"/>
    </xf>
    <xf numFmtId="3" fontId="0" fillId="0" borderId="0" xfId="0" applyNumberFormat="1" applyAlignment="1">
      <alignment horizontal="center" vertical="center"/>
    </xf>
    <xf numFmtId="0" fontId="0" fillId="0" borderId="5" xfId="0" applyBorder="1" applyAlignment="1">
      <alignment vertical="center"/>
    </xf>
    <xf numFmtId="0" fontId="0" fillId="0" borderId="13" xfId="4" applyNumberFormat="1" applyFont="1" applyFill="1" applyBorder="1" applyAlignment="1">
      <alignment vertical="center" wrapText="1"/>
    </xf>
    <xf numFmtId="0" fontId="0" fillId="0" borderId="9" xfId="4" applyNumberFormat="1" applyFont="1" applyFill="1" applyBorder="1" applyAlignment="1">
      <alignment horizontal="center" vertical="center" wrapText="1"/>
    </xf>
    <xf numFmtId="9" fontId="0" fillId="0" borderId="5" xfId="4" applyFont="1" applyFill="1" applyBorder="1" applyAlignment="1">
      <alignment vertical="center" wrapText="1"/>
    </xf>
    <xf numFmtId="9" fontId="12" fillId="0" borderId="5" xfId="4" applyFont="1" applyFill="1" applyBorder="1" applyAlignment="1">
      <alignment vertical="center" wrapText="1"/>
    </xf>
    <xf numFmtId="9" fontId="5" fillId="2" borderId="5" xfId="4" applyFont="1" applyFill="1" applyBorder="1" applyAlignment="1">
      <alignment horizontal="center" vertical="center" wrapText="1"/>
    </xf>
    <xf numFmtId="9" fontId="19" fillId="2" borderId="5" xfId="4" applyFont="1" applyFill="1" applyBorder="1" applyAlignment="1">
      <alignment horizontal="center" vertical="center" wrapText="1"/>
    </xf>
    <xf numFmtId="9" fontId="5" fillId="2" borderId="5" xfId="4" applyFont="1" applyFill="1" applyBorder="1" applyAlignment="1">
      <alignment vertical="center" wrapText="1"/>
    </xf>
    <xf numFmtId="9" fontId="5" fillId="2" borderId="10" xfId="4" applyFont="1" applyFill="1" applyBorder="1" applyAlignment="1">
      <alignment horizontal="center" vertical="center" wrapText="1"/>
    </xf>
    <xf numFmtId="9" fontId="5" fillId="2" borderId="11" xfId="4" applyFont="1" applyFill="1" applyBorder="1" applyAlignment="1">
      <alignment horizontal="center" vertical="center" wrapText="1"/>
    </xf>
    <xf numFmtId="9" fontId="5" fillId="2" borderId="12" xfId="4" applyFont="1" applyFill="1" applyBorder="1" applyAlignment="1">
      <alignment horizontal="center" vertical="center" wrapText="1"/>
    </xf>
    <xf numFmtId="0" fontId="4" fillId="7" borderId="5" xfId="3" applyFont="1" applyFill="1" applyBorder="1" applyAlignment="1">
      <alignment horizontal="left" vertical="center"/>
    </xf>
    <xf numFmtId="0" fontId="4" fillId="0" borderId="5" xfId="3" applyFont="1" applyBorder="1" applyAlignment="1">
      <alignment horizontal="left" vertical="center"/>
    </xf>
    <xf numFmtId="0" fontId="5" fillId="2" borderId="1" xfId="0" applyFont="1" applyFill="1" applyBorder="1" applyAlignment="1">
      <alignment horizontal="center" vertical="center" wrapText="1"/>
    </xf>
    <xf numFmtId="0" fontId="7" fillId="5" borderId="7" xfId="0" applyFont="1" applyFill="1" applyBorder="1" applyAlignment="1">
      <alignment horizontal="center" vertical="center"/>
    </xf>
    <xf numFmtId="0" fontId="7" fillId="5" borderId="3"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7" fillId="0" borderId="1" xfId="0" applyFont="1" applyBorder="1" applyAlignment="1">
      <alignment horizontal="center" vertical="center"/>
    </xf>
    <xf numFmtId="0" fontId="7"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3" xfId="0" applyFont="1" applyFill="1" applyBorder="1" applyAlignment="1">
      <alignment horizontal="center" vertical="center"/>
    </xf>
    <xf numFmtId="0" fontId="7" fillId="5" borderId="8" xfId="0" applyFont="1" applyFill="1" applyBorder="1" applyAlignment="1">
      <alignment horizontal="center" vertical="center"/>
    </xf>
  </cellXfs>
  <cellStyles count="5">
    <cellStyle name="Normal" xfId="0" builtinId="0"/>
    <cellStyle name="Normal 2" xfId="1" xr:uid="{014BAF9B-5F0E-4F0D-82C2-372D0F108588}"/>
    <cellStyle name="Normal 3" xfId="2" xr:uid="{1AF1FACB-AD25-4F5A-8221-8507A950F4C3}"/>
    <cellStyle name="Normal 4" xfId="3" xr:uid="{4378F925-CE2F-49EA-8C60-AB5DF7A3521D}"/>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Jingni, Jingni XIE" id="{DA9C3FEF-E789-4F45-84BE-C8829CDFF5B5}" userId="S::jingnijingnixie@dbs.com::2b1734ac-ecc8-49d7-8722-f230f8791dc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Shan NAN" refreshedDate="46159.851866319441" createdVersion="8" refreshedVersion="8" minRefreshableVersion="3" recordCount="8" xr:uid="{853FC404-8013-473C-ADE4-580639948FAD}">
  <cacheSource type="worksheet">
    <worksheetSource ref="A1:R9" sheet="1.Summary"/>
  </cacheSource>
  <cacheFields count="18">
    <cacheField name="#" numFmtId="0">
      <sharedItems containsString="0" containsBlank="1" containsNumber="1" containsInteger="1" minValue="1" maxValue="6"/>
    </cacheField>
    <cacheField name="Name of Company" numFmtId="0">
      <sharedItems containsBlank="1"/>
    </cacheField>
    <cacheField name="Brief description of business" numFmtId="0">
      <sharedItems containsBlank="1" longText="1"/>
    </cacheField>
    <cacheField name="Sector" numFmtId="0">
      <sharedItems containsBlank="1" count="9">
        <m/>
        <s v="Healthcare and Pharmaceutical"/>
        <s v="Industrial"/>
        <s v="Energy"/>
        <s v="TMT"/>
        <s v="Consumer Staples" u="1"/>
        <s v="Automotive" u="1"/>
        <s v="Healthcare" u="1"/>
        <s v="Materials" u="1"/>
      </sharedItems>
    </cacheField>
    <cacheField name="Industry" numFmtId="0">
      <sharedItems containsBlank="1"/>
    </cacheField>
    <cacheField name="Currency" numFmtId="0">
      <sharedItems containsBlank="1"/>
    </cacheField>
    <cacheField name="Revenue" numFmtId="0">
      <sharedItems containsBlank="1" containsMixedTypes="1" containsNumber="1" containsInteger="1" minValue="12982" maxValue="33282159"/>
    </cacheField>
    <cacheField name="Net Profit/(Loss)" numFmtId="0">
      <sharedItems containsBlank="1" containsMixedTypes="1" containsNumber="1" containsInteger="1" minValue="-135084" maxValue="8451471"/>
    </cacheField>
    <cacheField name="Sponsor" numFmtId="0">
      <sharedItems containsBlank="1" count="26">
        <m/>
        <s v="Huatai, JP Morgan"/>
        <s v="CICC"/>
        <s v="CLSA"/>
        <s v="SWHYHK, Guolian Securities"/>
        <s v="GF"/>
        <s v="Huatai"/>
        <s v="CICC, Haitong" u="1"/>
        <s v="China Industrial Securities" u="1"/>
        <s v="CICC, CMS" u="1"/>
        <s v="China Securities" u="1"/>
        <s v="CCB, CMS" u="1"/>
        <s v="GTJA" u="1"/>
        <s v="CICC, BofA" u="1"/>
        <s v="Morgan Stanley, CICC" u="1"/>
        <s v="China Securities, CLSA" u="1"/>
        <s v="Yue Xiu" u="1"/>
        <s v="Huatai，BNP" u="1"/>
        <s v="CMBC, SPDB" u="1"/>
        <s v="MS, CICC, DB" u="1"/>
        <s v="CITIC, JPM" u="1"/>
        <s v="CMBC, BOCI" u="1"/>
        <s v="DB, CICC, GTJA" u="1"/>
        <s v="HT, China Securites," u="1"/>
        <s v="CITIC" u="1"/>
        <s v="UBS, CITIC " u="1"/>
      </sharedItems>
    </cacheField>
    <cacheField name="Overall coordinator" numFmtId="0">
      <sharedItems containsBlank="1"/>
    </cacheField>
    <cacheField name="Listing Application Date" numFmtId="0">
      <sharedItems containsNonDate="0" containsDate="1" containsString="0" containsBlank="1" minDate="2026-05-11T00:00:00" maxDate="2026-05-13T00:00:00"/>
    </cacheField>
    <cacheField name="Controlling Shareholders" numFmtId="0">
      <sharedItems containsBlank="1"/>
    </cacheField>
    <cacheField name="Temasek/GIC-Linked" numFmtId="0">
      <sharedItems containsBlank="1"/>
    </cacheField>
    <cacheField name="PE/VC involved" numFmtId="0">
      <sharedItems containsBlank="1" longText="1"/>
    </cacheField>
    <cacheField name="CN/HK/GBA" numFmtId="0">
      <sharedItems containsBlank="1"/>
    </cacheField>
    <cacheField name="Remarks" numFmtId="0">
      <sharedItems containsBlank="1"/>
    </cacheField>
    <cacheField name="Re-filing?" numFmtId="9">
      <sharedItems containsBlank="1"/>
    </cacheField>
    <cacheField name="Audito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son Xicheng LU" refreshedDate="46167.02475034722" createdVersion="8" refreshedVersion="8" minRefreshableVersion="3" recordCount="28" xr:uid="{D6A33F2B-1330-4806-9AC2-01C02D1A93B6}">
  <cacheSource type="worksheet">
    <worksheetSource ref="A1:R29" sheet="1.Summary"/>
  </cacheSource>
  <cacheFields count="18">
    <cacheField name="#" numFmtId="0">
      <sharedItems containsString="0" containsBlank="1" containsNumber="1" containsInteger="1" minValue="1" maxValue="18"/>
    </cacheField>
    <cacheField name="Name of Company" numFmtId="0">
      <sharedItems containsBlank="1"/>
    </cacheField>
    <cacheField name="Brief description of business" numFmtId="0">
      <sharedItems containsBlank="1"/>
    </cacheField>
    <cacheField name="Sector" numFmtId="0">
      <sharedItems containsBlank="1" count="13">
        <m/>
        <s v="Healthcare and Pharmaceutical"/>
        <s v="Energy"/>
        <s v="TMT"/>
        <s v="Automotive"/>
        <s v="Industrials"/>
        <s v="Servicing"/>
        <s v=" Consumer Staples"/>
        <s v="Industrial" u="1"/>
        <s v="Consumer Discretionary" u="1"/>
        <s v="Healthcare" u="1"/>
        <s v="Consumer Staples" u="1"/>
        <s v="Automative" u="1"/>
      </sharedItems>
    </cacheField>
    <cacheField name="Industry" numFmtId="0">
      <sharedItems containsBlank="1"/>
    </cacheField>
    <cacheField name="Currency" numFmtId="0">
      <sharedItems containsBlank="1"/>
    </cacheField>
    <cacheField name="Revenue" numFmtId="0">
      <sharedItems containsBlank="1" containsMixedTypes="1" containsNumber="1" containsInteger="1" minValue="0" maxValue="51428944"/>
    </cacheField>
    <cacheField name="Net Profit/(Loss)" numFmtId="0">
      <sharedItems containsBlank="1" containsMixedTypes="1" containsNumber="1" containsInteger="1" minValue="-566202" maxValue="2326825"/>
    </cacheField>
    <cacheField name="Sponsor" numFmtId="0">
      <sharedItems containsBlank="1" count="52">
        <m/>
        <s v="Huatai"/>
        <s v="CICC, CMBI"/>
        <s v="CICC "/>
        <s v="UBS, Haitong, GF Securities, CITIC"/>
        <s v="Sinolink "/>
        <s v="ICBCI, Zhongtai"/>
        <s v="GTJA"/>
        <s v="CICC, Industrial Securities"/>
        <s v="China Galaxy"/>
        <s v="CMBI, DBS"/>
        <s v="CICC"/>
        <s v="CITIC, Guoyuan"/>
        <s v="CITIC"/>
        <s v="Shenwan Hongyuan, ABCI"/>
        <s v="CICC, GTJA"/>
        <s v="Huatai, JP Morgan" u="1"/>
        <s v="CLSA" u="1"/>
        <s v="SWHYHK, Guolian Securities" u="1"/>
        <s v="GF" u="1"/>
        <s v="Huatai, Citi, Orient" u="1"/>
        <s v="Sinolink" u="1"/>
        <s v="First Shanghai" u="1"/>
        <s v="CICC, SPDBI" u="1"/>
        <s v="China Securities" u="1"/>
        <s v="CLSA, Jefferies" u="1"/>
        <s v="Lego Corporate Finance" u="1"/>
        <s v="South China Securities" u="1"/>
        <s v="Jefferies, BofA, Huatai" u="1"/>
        <s v="CITIC, CICC" u="1"/>
        <s v="CICC, CMS" u="1"/>
        <s v="South China Capital Limited" u="1"/>
        <s v="CICC, CMBC" u="1"/>
        <s v="Citi" u="1"/>
        <s v="Huatai " u="1"/>
        <s v="CICC, CMB" u="1"/>
        <s v="CMS" u="1"/>
        <s v="CICC, CITIC" u="1"/>
        <s v="China Securities, GF" u="1"/>
        <s v="JPM, CLSA, China Securities" u="1"/>
        <s v="MS, CICC, GTJA, BofA" u="1"/>
        <s v="Haitong, CLSA" u="1"/>
        <s v="Haitong, CCB" u="1"/>
        <s v="CMBI, Sinolink" u="1"/>
        <s v="BoA, CMS, JP Morgan" u="1"/>
        <s v="Haitong" u="1"/>
        <s v="Huatai, CLSA, CMBI" u="1"/>
        <s v="Haitong, BOCI" u="1"/>
        <s v="Jefferies, BofA, CICC" u="1"/>
        <s v="GF, ABCI" u="1"/>
        <s v="CICC, UBS" u="1"/>
        <s v="GS, BofA, JP Morgan" u="1"/>
      </sharedItems>
    </cacheField>
    <cacheField name="Overall coordinator" numFmtId="0">
      <sharedItems containsBlank="1"/>
    </cacheField>
    <cacheField name="Listing Application Date" numFmtId="0">
      <sharedItems containsNonDate="0" containsDate="1" containsString="0" containsBlank="1" minDate="2026-05-18T00:00:00" maxDate="2026-05-23T00:00:00"/>
    </cacheField>
    <cacheField name="Controlling Shareholders" numFmtId="0">
      <sharedItems containsBlank="1" longText="1"/>
    </cacheField>
    <cacheField name="Temasek/GIC-Linked" numFmtId="0">
      <sharedItems containsBlank="1"/>
    </cacheField>
    <cacheField name="PE/VC involved" numFmtId="0">
      <sharedItems containsBlank="1" longText="1"/>
    </cacheField>
    <cacheField name="CN/HK/GBA" numFmtId="0">
      <sharedItems containsBlank="1"/>
    </cacheField>
    <cacheField name="Remarks" numFmtId="0">
      <sharedItems containsBlank="1"/>
    </cacheField>
    <cacheField name="Re-filing?" numFmtId="0">
      <sharedItems containsBlank="1"/>
    </cacheField>
    <cacheField name="Audito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son Xicheng LU" refreshedDate="46167.031578009257" createdVersion="8" refreshedVersion="8" minRefreshableVersion="3" recordCount="52" xr:uid="{7A7263D5-69C7-44E7-8DA3-FA9961902F51}">
  <cacheSource type="worksheet">
    <worksheetSource ref="D1:D1048576" sheet="1.Summary"/>
  </cacheSource>
  <cacheFields count="1">
    <cacheField name="Sector" numFmtId="0">
      <sharedItems containsBlank="1" count="28">
        <m/>
        <s v="Healthcare and Pharmaceutical"/>
        <s v="Energy"/>
        <s v="TMT"/>
        <s v="Automotive"/>
        <s v="Industrials"/>
        <s v="Servicing"/>
        <s v=" Consumer Staples"/>
        <s v="Industrial" u="1"/>
        <s v="Consumer Discretionary" u="1"/>
        <s v="Healthcare" u="1"/>
        <s v="Consumer Staples" u="1"/>
        <s v="Automative" u="1"/>
        <s v="Energy " u="1"/>
        <s v="Environment" u="1"/>
        <s v="Financial Service" u="1"/>
        <s v="Automotive " u="1"/>
        <s v="Automotive " u="1"/>
        <s v="Industrial " u="1"/>
        <s v="Materials" u="1"/>
        <s v="TMT " u="1"/>
        <s v="Consumer Goods" u="1"/>
        <s v="Industrials " u="1"/>
        <s v="Financial Services" u="1"/>
        <s v="Healthcare " u="1"/>
        <s v="Commodity" u="1"/>
        <s v="Consumer - Discretionary" u="1"/>
        <s v="Real Estate"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son Xicheng LU" refreshedDate="46167.038217476853" createdVersion="8" refreshedVersion="8" minRefreshableVersion="3" recordCount="48" xr:uid="{E331A6B7-5A53-47E9-B73C-195F07AC620F}">
  <cacheSource type="worksheet">
    <worksheetSource ref="R1:R1048576" sheet="1.Summary"/>
  </cacheSource>
  <cacheFields count="1">
    <cacheField name="Auditor" numFmtId="0">
      <sharedItems containsBlank="1" count="26">
        <m/>
        <s v="EY"/>
        <s v="Confucius"/>
        <s v="Deloitte "/>
        <s v="Rongcheng "/>
        <s v="KPMG"/>
        <s v="SHINEWING"/>
        <s v="PwC"/>
        <s v="Deloitte" u="1"/>
        <s v="Grant Thornton" u="1"/>
        <s v="Grant Thornton Hong Kong Limited" u="1"/>
        <s v="Confucius International" u="1"/>
        <s v="BDO" u="1"/>
        <s v="Baker Tilly" u="1"/>
        <s v="Rongcheng" u="1"/>
        <s v="Rong Cheng" u="1"/>
        <s v="Forvis Mazars" u="1"/>
        <s v="Confucius International CPA Limited" u="1"/>
        <s v="RSM" u="1"/>
        <s v="BDO Limited" u="1"/>
        <s v="Confucius " u="1"/>
        <s v="ZHONGHUI ANDA CPA Limited." u="1"/>
        <s v="SHINEWING " u="1"/>
        <s v="RSM Hong Kong" u="1"/>
        <s v="BDO " u="1"/>
        <s v="HLB Hodgson Impey Cheng" u="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BS" refreshedDate="46167.094670833336" createdVersion="8" refreshedVersion="8" minRefreshableVersion="3" recordCount="48" xr:uid="{C9523307-4FB1-4E35-A1A3-9E4B6A20E412}">
  <cacheSource type="worksheet">
    <worksheetSource ref="Q1:Q1048576" sheet="1.Summary"/>
  </cacheSource>
  <cacheFields count="1">
    <cacheField name="Re-filing?" numFmtId="0">
      <sharedItems containsBlank="1" count="104">
        <m/>
        <s v="Y, last filed at 12/11/2025"/>
        <s v="Y, last filed at 30/10/2025"/>
        <s v="Y, last filed at 03/09/2025"/>
        <s v="Y, last filed at 22/08/2025"/>
        <s v="Y, last filed at 18/11/2025"/>
        <s v="N"/>
        <s v="Y, last filed at 20/11/2025"/>
        <s v="Y, last filed at 6/11/2025"/>
        <s v="Y, last filed at 31/10/2025"/>
        <s v="Y, last filed at 28/10/2025 &amp; 16/4/2025"/>
        <s v="Y, last filed at 30/06/2025"/>
        <s v="Y, last filed at 26/09/2025"/>
        <s v="Y, last filed at 28/10/2025"/>
        <s v="Y, last filed on 10/11/2025" u="1"/>
        <s v="Y, last filed on 28/10/2025" u="1"/>
        <s v="Y, last filed on 31/10/2025" u="1"/>
        <s v="Y, last filed on 30/10/2025" u="1"/>
        <s v="Y, last filed on 11/11/2025, 30/04/2025" u="1"/>
        <s v="Y, last filed on 25/08/2025, 27/01/2025" u="1"/>
        <s v="Y, last filed on 10/11/2025, 09/05/2025" u="1"/>
        <s v="Y, last filled at 31/10/2025" u="1"/>
        <s v="Y, last filled at 30/10/2025" u="1"/>
        <s v="Y, last filled at 11/04/2025" u="1"/>
        <s v="Y, last filled at 06/11/2025" u="1"/>
        <s v="Y, last filled at 07/11/2025" u="1"/>
        <s v="Y, last filed on 19/09/2025" u="1"/>
        <s v="Y, last filed on 22/09/2025" u="1"/>
        <s v="Y, last filed on 29/09/2025" u="1"/>
        <s v="Y, last filed on 09/06/2025" u="1"/>
        <s v="Y, last filed on 25/08/2025" u="1"/>
        <s v="Y, last filed on 08/10/2025" u="1"/>
        <s v="Y, last filed on 8/10/2025" u="1"/>
        <s v="Y, last filed on 28/08/2025" u="1"/>
        <s v="Y, last filed on 27/10/2025" u="1"/>
        <s v="Y, last filed on 30/09/2025" u="1"/>
        <s v="Y, last filed on 03/07/2025" u="1"/>
        <s v="Y, last filed on 26/09/2025" u="1"/>
        <s v="Y, last filed on 09/02/2024" u="1"/>
        <s v="Y, last filed on 28/09/2025" u="1"/>
        <s v="Y, last filed on 17/10/2025" u="1"/>
        <s v="Y, last filed on _x000a_05/11/2025" u="1"/>
        <s v="Y, last filed on 16/09/2025" u="1"/>
        <s v="Y, last filed on 25/09/2025" u="1"/>
        <s v="Y, last filed on 16/10/2025" u="1"/>
        <s v="N/A" u="1"/>
        <s v="Y. Last filed on 31/08/2025" u="1"/>
        <s v="This Application Proof was filed as confidential filing on June 25, 2025." u="1"/>
        <s v="Y. Last filed 25/09/2025" u="1"/>
        <s v="Y, last filed on 23/09/2025" u="1"/>
        <s v="Y, last filed on 26/06/2025" u="1"/>
        <s v="Y, last filed on 30/12/2024" u="1"/>
        <s v="Y, last filed on 12/09/2025" u="1"/>
        <s v="Y, last filed on 24/12/2025" u="1"/>
        <s v="Y, last filed on 24/09/2025" u="1"/>
        <s v="Y, last filed on 18/08/2025" u="1"/>
        <s v="Y, last filed on 06/01/2025, 29/08/2025" u="1"/>
        <s v="Y, last filed on 30/06/2025" u="1"/>
        <s v="Y, last filed on 27/06/2025" u="1"/>
        <s v="Y, last filed on 29/06/2025" u="1"/>
        <s v="Y, last filed on 29/05/2025" u="1"/>
        <s v="Y, last filed PHIP on 27/06/2025" u="1"/>
        <s v="Y, last filed on 29/08/2025" u="1"/>
        <s v="Y, last filed on 06/08/2025" u="1"/>
        <s v="Y, last filed on 15/09/2025" u="1"/>
        <s v="Y, last filed on 20/08/2025" u="1"/>
        <s v="Y, last filed on 15/9/2025" u="1"/>
        <s v="Y, last filed on 08/09/2025, 21/02/2025" u="1"/>
        <s v="Y, last filed on 14/08/2025" u="1"/>
        <s v="Y, last filed on 29/07/2025" u="1"/>
        <s v="Y, last filed on 11/09/2025" u="1"/>
        <s v="Y, last filed on 27/08/2025" u="1"/>
        <s v="Y, last filed on 16/06/2025" u="1"/>
        <s v="Y, last filed on 31/08/2025" u="1"/>
        <s v="Y, last filed on 08/09/2025" u="1"/>
        <s v="Y, last filed on 26/08/2025" u="1"/>
        <s v="Y, last filed on 5/09/2025" u="1"/>
        <s v="Y, last filed on 20/8/2025" u="1"/>
        <s v="Y, last filed on 22/8/2025" u="1"/>
        <s v="Y, last filed on 21/8/2025" u="1"/>
        <s v="Y, last filed on 13/8/2025" u="1"/>
        <s v="Y, last filed on 18/8/2025" u="1"/>
        <s v="Y, last filed on 26/8/2025" u="1"/>
        <s v=" Yes (Previously filed for a US listing with the SEC on December 2, 2024, and a secondary listing with SGX on December 12, 2024, before shifting focus to the current HKEX primary listing)" u="1"/>
        <s v="Y, last filed on 30/7/2025" u="1"/>
        <s v="Y, last filed on 25/1/2026" u="1"/>
        <s v="Y_x000a_on 30/3/2023" u="1"/>
        <s v="Y_x000a_on 30/06/2025" u="1"/>
        <s v="Y on 30/07/2025" u="1"/>
        <s v="Y on 07/07/2025" u="1"/>
        <s v="Y on 30/05/2025" u="1"/>
        <s v="Y on 27/06/2025" u="1"/>
        <s v="Y, last filed on 9/1/2026" u="1"/>
        <s v="Y, last filed on 30/6/2025" u="1"/>
        <s v="Y, last filed on 25/6/2025" u="1"/>
        <s v="Y, last filed o 27/6/2025" u="1"/>
        <s v="Y, last filed on 07/07/2025 and 03/01/2025" u="1"/>
        <s v="Y, last filed on 20/06/2025" u="1"/>
        <s v="Y, last filed on 17/06/2025" u="1"/>
        <s v="Y, last filed on 13/6/2025" u="1"/>
        <s v="Y, last filed on 18/06/2025" u="1"/>
        <s v="Y, last filed on 23/06/2025" u="1"/>
        <s v="Y, last filed on 19/06/2025" u="1"/>
        <s v="Y, last filed on 11/06/2025"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m/>
    <m/>
    <m/>
    <x v="0"/>
    <m/>
    <m/>
    <m/>
    <m/>
    <x v="0"/>
    <m/>
    <m/>
    <m/>
    <m/>
    <m/>
    <m/>
    <m/>
    <m/>
    <m/>
  </r>
  <r>
    <m/>
    <m/>
    <m/>
    <x v="0"/>
    <m/>
    <m/>
    <s v="(Latest FY’000)"/>
    <s v="(Latest FY’000)"/>
    <x v="0"/>
    <m/>
    <m/>
    <m/>
    <m/>
    <m/>
    <m/>
    <m/>
    <m/>
    <m/>
  </r>
  <r>
    <n v="1"/>
    <s v="Shenzhen Mindray Bio-Medical Electronics Co., Ltd."/>
    <s v="An innovation-driven, global leading provider of medical devices and an early-mover in intelli-digital healthcare that has developed a comprehensive product portfolio covering multiple critical product lines across the medical device industry"/>
    <x v="1"/>
    <s v="Medical device"/>
    <s v="RMB"/>
    <n v="33282159"/>
    <n v="8451471"/>
    <x v="1"/>
    <s v="Huatai, JP Morgan"/>
    <d v="2026-05-11T00:00:00"/>
    <s v="1. Mr. Li Xiting (李西廷)_x000a_2. Mr. Xu Hang (徐航)_x000a_3. Smartco Development Limited_x000a_4. Magnifice (HK) Limited_x000a_5. Quiet Well Limited_x000a_6. Magnifice Limited"/>
    <s v="N"/>
    <s v="N/A"/>
    <s v="Global"/>
    <s v="A+H (300760.SZ)"/>
    <s v="Y, last filed on 10/11/2025"/>
    <s v="EY"/>
  </r>
  <r>
    <n v="2"/>
    <s v="SHENZHEN EVERWIN PRECISION TECHNOLOGY CO., LTD."/>
    <s v="A globally leading precision intelligent manufacturing enterprise with operations across multiple frontier sectors, providing end-to-end mass production solutions from ultra-high-precision components and functional modules to system-level assemblies"/>
    <x v="2"/>
    <s v="Precision manufacturing"/>
    <s v="RMB"/>
    <n v="18818694"/>
    <n v="669525"/>
    <x v="2"/>
    <s v="CICC"/>
    <d v="2026-05-11T00:00:00"/>
    <s v="1. Mr. Chen Qixing (陳奇星)_x000a_2. Ningbo Everwin Yuefu Investment Co., Ltd."/>
    <s v="N"/>
    <s v="N/A"/>
    <s v="Global"/>
    <s v="A+H (300115.SZ)"/>
    <s v="N"/>
    <s v="Confucius"/>
  </r>
  <r>
    <n v="3"/>
    <s v="HJ Science Co., Ltd."/>
    <s v="A clinical-stage biotech company dedicated to researching and developing therapies for autoimmune, metaolic and oncology diseases, having developed three small-molecule NMPA Category 1 innovative drugs (HJ787, HJ178 and HJ891)"/>
    <x v="1"/>
    <s v="Atopic Dermatitis (AD) drug"/>
    <s v="RMB"/>
    <n v="12982"/>
    <n v="-135084"/>
    <x v="3"/>
    <s v="CLSA"/>
    <d v="2026-05-11T00:00:00"/>
    <s v="1. Dr. Ji Jianxin (姬建新)_x000a_2. Chengdu Wenshao Enterprise Management Center (Limited Partnership)_x000a_3. Suzhou Jishitang Enterprise Management Center (Limited Partnership)"/>
    <s v="N"/>
    <s v="1. SDIC Venture Capital Management Co., Ltd._x000a_2. Junlian Capital Management Co., Ltd._x000a_3. Yuanju Capital Management Co., Ltd._x000a_4. Ningbo Huaige Health Investment Management Partnership (Limited Partnership)_x000a_5. Shenzhen Zhenji Capital Private Equity Investment Management Co., Ltd._x000a_6. Shanghai Junshi Biosciences Co., Ltd._x000a_7. Chengdu Peikun Shenghua Private Equity Investment Fund Management Partnership Enterprise (Limited Partnership)_x000a_8. Chengdu Shenghua Chuanghe Investment Management Partnership Enterprise (Limited Partnership)_x000a_9. Sichuan Innovation and Development Investment Management Co., Ltd._x000a_10. Xiamen Jianxin Investment Co., Ltd._x000a_11. Chengdu Jizhuan Venture Capital Co., Ltd._x000a_12. Huada (Chongqing) Private Equity Investment Fund Management Co., Ltd._x000a_13. Hefei Xingtai Asset Management Co., Ltd._x000a_14. Huaxing Kangping Private Fund Management (Fuzhou) Co., Ltd._x000a_15. Fujian Province Innovation and Entrepreneurship Investment Management Co., Ltd._x000a_16. Hefei Baohe Innovation Investment Private Equity Fund Management Co., Ltd._x000a_17. Hainan Boyuan Qiji Investment Partnership Enterprise (Limited Partnership)"/>
    <s v="CN"/>
    <s v="18A"/>
    <s v="N"/>
    <s v="Deloitte"/>
  </r>
  <r>
    <n v="4"/>
    <s v="Guolian Green Technology (Wuxi) Co., Ltd."/>
    <s v="A full-cycle intelligent energy management company that offers solutions integrating advanced energy-saving products and proprietary software systems to cover the entire value chain of assessment, design, construction, operation and maintenance across public and commercial buildings, industrial facilities and data centers"/>
    <x v="3"/>
    <s v="Intelligent energy management solutions"/>
    <s v="RMB"/>
    <n v="639205"/>
    <n v="50460"/>
    <x v="4"/>
    <s v="SWHYHK, Guolian Securities"/>
    <d v="2026-05-11T00:00:00"/>
    <s v="1. Wuxi Huaguang Environment &amp; Energy Group Co., Ltd._x000a_2. Wuxi Guolian Finance Investment Group Co., Ltd._x000a_3. Wuxi Guolian Development (Group) Co., Ltd."/>
    <s v="N"/>
    <s v="1. Wuxi Gaofa Investment Development Group Co., Ltd."/>
    <s v="CN"/>
    <s v="N"/>
    <s v="N"/>
    <s v="KPMG"/>
  </r>
  <r>
    <n v="5"/>
    <s v="Hubei DSphos Co., Ltd."/>
    <s v="A leading enterprise in China with an integrated business model based on full-life-cycle cascading utilization of phosphate resources, maximizing resource value by reducing environmental footprint"/>
    <x v="2"/>
    <s v="Phosphate chemical"/>
    <s v="RMB"/>
    <n v="1858618"/>
    <n v="191836"/>
    <x v="5"/>
    <s v="GF"/>
    <d v="2026-05-12T00:00:00"/>
    <s v="1. Mr. Huang Changbing (黃昌炳)_x000a_2. Mr. Huang Bin (黃斌) "/>
    <s v="N"/>
    <s v="N/A"/>
    <s v="Global"/>
    <s v="N"/>
    <s v="N"/>
    <s v="EY"/>
  </r>
  <r>
    <n v="6"/>
    <s v="BIWIN STORAGE TECHNOLOGY CO., LTD."/>
    <s v="A leading independent provider of semiconductor memory solution for applications in the AI era, with expertise across the full technology stack — from controller chip design, memory solution design to advanced packaging and testing"/>
    <x v="4"/>
    <s v="Memory products"/>
    <s v="RMB"/>
    <n v="11302480"/>
    <n v="839648"/>
    <x v="6"/>
    <s v="Huatai, BOCI"/>
    <d v="2026-05-12T00:00:00"/>
    <s v="1. Mr. Sun Chengsi (孫成思)"/>
    <s v="N"/>
    <s v="N/A"/>
    <s v="Global"/>
    <s v="A+H (688525.SH STAR Market)"/>
    <s v="Y, last filed on 28/10/2025"/>
    <s v="Confuciu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m/>
    <m/>
    <m/>
    <x v="0"/>
    <m/>
    <m/>
    <m/>
    <m/>
    <x v="0"/>
    <m/>
    <m/>
    <m/>
    <m/>
    <m/>
    <m/>
    <m/>
    <m/>
    <m/>
  </r>
  <r>
    <m/>
    <m/>
    <m/>
    <x v="0"/>
    <m/>
    <m/>
    <s v="(Latest FY’000)"/>
    <s v="(Latest FY’000)"/>
    <x v="0"/>
    <m/>
    <m/>
    <m/>
    <m/>
    <m/>
    <m/>
    <m/>
    <m/>
    <m/>
  </r>
  <r>
    <n v="1"/>
    <s v="Zhejiang Shimai Pharmaceutical Co., Ltd."/>
    <s v="A clinical-stage biotech company focused on the discovery and development of T-cell engager (TCE) therapies and T-cell modulators (TCM) for the treatment of solid tumors and lymphomas."/>
    <x v="1"/>
    <s v="Therapeutic Antibody"/>
    <s v="RMB"/>
    <n v="0"/>
    <n v="-80960"/>
    <x v="1"/>
    <s v="Huatai,CLSA,CCBI,FUTU"/>
    <d v="2026-05-18T00:00:00"/>
    <s v="Xiao Zuoxiang_x000a_Hangzhou Dimai Equity Investment Partnership Enterprise_x000a_(Limited Partnership)_x000a_Haomai (Hangzhou) Enterprise Management Consulting_x000a_Co., Ltd._x000a_Hangzhou Shimai Management Consulting Partnership_x000a_Enterprise (Limited Partnership)"/>
    <s v="N"/>
    <s v="Betta Pharmaceuticals Co., Ltd. (300558.SZ)_x000a_Hangzhou Tigermed Consulting Co., Ltd. (3347.HK / 300347.SZ)_x000a_Wens Foodstuff Group Co., Ltd. (300498.SZ) _x000a_Zheshang Securities Co., Ltd. (601878.SH)_x000a_MabPlex International Co., Ltd._x000a_Saizhi Investment Co., Ltd._x000a_Hangzhou Beijia Investment Management Co., Ltd._x000a_Homsun Private Equity Funds Management Co., Ltd._x000a_Ningbo Gaofa Automotive Control System Co., Ltd. (603788.SH)_x000a_Xinda International Trading Co., Ltd._x000a_Xiamen Gaotejia Ruilu Venture Capital Partnership (LP)_x000a_Hangzhou Hi-Tech Financial Investment Holdings Group Co., Ltd.  _x000a_Hangzhou Chenghe Venture Capital CO., Ltd._x000a_Taiyu Investment_x000a_Pingtan Fuying Investment Partnership Enterprise (LP)_x000a_Zhejiang Yongxi Yongyi Investment Management Co., Ltd._x000a_Hangzhou Shanyao Equity Investment Partership Enterprise (LP)_x000a_Anji Maisheng Enterprise Management Partnership (LP)_x000a_Ningbo Yuhe Science and Technology Innovation Investment Co., Ltd."/>
    <s v="CN "/>
    <s v="18A"/>
    <s v="Y, last filed at 12/11/2025"/>
    <s v="EY"/>
  </r>
  <r>
    <n v="2"/>
    <s v="BrightGene Bio-Medical Technology Co., Ltd."/>
    <s v="Global pharmaceutical company specializing in high-barrier active pharmaceutical ingredients (API), intermediates, and innovative drugs for metabolic and respiratory diseases, with a commercial network spanning over 40 countries and regions."/>
    <x v="1"/>
    <s v="Pharmaceuticals "/>
    <s v="RMB"/>
    <n v="1198205"/>
    <n v="36954"/>
    <x v="1"/>
    <s v="Huatai,GF"/>
    <d v="2026-05-18T00:00:00"/>
    <s v="Yuan Jiandong, Zhong Weifang, Suzhou Borui Xinwen Management Consulting Partnership"/>
    <s v="N"/>
    <s v="N/A"/>
    <s v="CN "/>
    <s v="A+H 688166.SH"/>
    <s v="Y, last filed at 30/10/2025"/>
    <s v="EY"/>
  </r>
  <r>
    <n v="3"/>
    <s v="Guangdong Jinsheng New Energy Co., Ltd."/>
    <s v="A lithium-ion battery recycling and reutilization company specializing in the recovery of valuable materials like lithium, nickel, and cobalt to produce battery cathode and anode materials."/>
    <x v="2"/>
    <s v="Battery "/>
    <s v="RMB"/>
    <n v="2202014"/>
    <n v="-166476"/>
    <x v="2"/>
    <s v="CICC, CMBI, GF Securities, BOCI, Fosun, CCBI"/>
    <d v="2026-05-18T00:00:00"/>
    <s v="Mr. Li Sen _x000a_Mr. Li Xin _x000a_Mr. Li Yao _x000a_Mr. Li Yan _x000a_Mr. Li Wang _x000a_Jiangxi Dongliang Invesment Holdings Co., Ltd._x000a_Zhaoqing Shengda Energy Technology Parternship LP_x000a_Zhaoqing Senlong Energy Techonlogy Partnership LP"/>
    <s v="N"/>
    <s v="CICC Capital_x000a_China Electronics Corporation (CEC)_x000a_Lited Group_x000a_Fosun International Limited (656.HK)_x000a_China State-owned Enterprises Structural Adjustment Fund_x000a_SASAC of Chuzhou_x000a_SASAC of Gaoyao District, Zhaoqing City_x000a_Guangdong National Innovation Venture Capital Management_x000a_CoStone Asset Management_x000a_SASAC of Shandong_x000a_Hunan TV &amp; Broadcast Intermediary Co., Ltd. (000917.SZ)_x000a_Shenzhen Guozhong Changrong Asset Management (Ministry of Finance (PRC))_x000a_Guangdong Yueke Financial Group (SASAC of Guangdong)_x000a_China Cinda Asset Management (1359.HK)_x000a_Robert Bosch GmbH_x000a_Anhui Investment Group Holding (SASAC of Anhui Province)_x000a_SASAC of Huainan_x000a_Southern Publishing Media (601900.SH)_x000a_Shaanxi Automobile Holding Group_x000a_Guangdong Ruoque Private Equity Fund_x000a_Zibo Henglu Hongwang Industrial Investment_x000a_Guangzhou Automobile Group Co., Ltd. (2238.HK / 601238.SH)_x000a_Guangdong Yuecai Investment Holdings Co., Ltd. (People's Government of Guangdong Province)_x000a_Changjiang Securities (000783.SZ)_x000a_Guangzhou Panyu Fund Management (SASAC of Guangzhou)_x000a_Xinhua Winshare Publishing and Media (811.HK / 601811.SH)_x000a_Shuimu Chunjin Capital_x000a_Xi'an Ruijing Private Equity Fund Management_x000a_Shenzhen Fuchuan Private Equity Fund Management_x000a_Bosera Fund (China Merchant Securities 6099.HK / 600999.SH)_x000a_Ninebot Limited (689009.SH)"/>
    <s v="CN "/>
    <s v="N"/>
    <s v="Y, last filed at 03/09/2025"/>
    <s v="EY"/>
  </r>
  <r>
    <n v="4"/>
    <s v="Xiaoe Inc."/>
    <s v="A product-driven SaaS solution provider in private domain operations, empowering businesses to build, operate, and scale decentralized e-commerce infrastructure through e-commerce, digital marketing, and CRM modules."/>
    <x v="3"/>
    <s v="SAAS"/>
    <s v="RMB"/>
    <n v="607918"/>
    <n v="-63948"/>
    <x v="3"/>
    <s v="CICC, Futu"/>
    <d v="2026-05-19T00:00:00"/>
    <s v="Mr. Bao Chunjian, Bagbao Holding Limited, Xiaoe Tech Holding Limited, Xiaoe Tech I (BVI) Limited, Xiaoe Tech II (BVI) Limited, Xiaoe Tech III (BVI) Limited, Xiaoe Technology Limited, Bagbao Limited, Bagbao I (BVI) Limited"/>
    <s v="N"/>
    <s v="Tencent (700.HK), Gaocheng Capital, IDG Capital, Qiming Venture Partners, TAL Education Group (TAL.US), Yuanxing Capital, Granite Asia, LKK Design Group, Hillhouse Investment, CICC"/>
    <s v="CN "/>
    <s v="N"/>
    <s v="Y, last filed at 22/08/2025"/>
    <s v="EY"/>
  </r>
  <r>
    <n v="5"/>
    <s v="Suzhou Dongshan Precision Manufacturing Co., Ltd."/>
    <s v="Global intelligent manufacturing group producing PCBs, optical transceivers, and precision components for edge AI, data centers, and automotive sectors, serving top-tier technology brands and cloud service providers."/>
    <x v="3"/>
    <s v="Electronic Components"/>
    <s v="RMB"/>
    <n v="40124859"/>
    <n v="1392967"/>
    <x v="4"/>
    <s v="UBS, Haitong, GF Securities, CLSA, HSBC"/>
    <d v="2026-05-19T00:00:00"/>
    <s v="Yuan Yonggang, Yuan Yongfeng, Yuan Fugen"/>
    <s v="N"/>
    <s v="N/A"/>
    <s v="CN "/>
    <s v="A+H 002384.SZ"/>
    <s v="Y, last filed at 18/11/2025"/>
    <s v="Confucius"/>
  </r>
  <r>
    <n v="6"/>
    <s v="Tage iDriver Technology Co., Ltd."/>
    <s v="A pioneer in mining autonomous driving transportation solutions, providing the &quot;KuangGu&quot; vehicle-ground-cloud system specializing in end-to-end autonomous driving and fleet dispatch for open-pit mines."/>
    <x v="4"/>
    <s v="Autonomous Driving "/>
    <s v="RMB"/>
    <n v="526875"/>
    <n v="-163659"/>
    <x v="1"/>
    <s v="Huatai"/>
    <d v="2026-05-20T00:00:00"/>
    <s v="Yu Guizhen, Zhou Huasheng, Ningbo Tage, Dalian Tage, BUE Foundation"/>
    <s v="N"/>
    <s v="CHN Energy (China Energy Investment Corporation), Boton Technology, Suzhou GSL Venture Capital Management, Hefei SASAC, Qianhai Ark Asset Management, Yingke Equity Investment Fund Management, Anhui Yunsong Venture Capital, Beijing Hengkuan Pufeng International Venture Capital, Century Golden Resources Investment Group, Anhui Wantong Technology, Vinno Capital, Jincheng Shazhou Equity Investment, Shanghai SASAC, CMC (Shanghai) Equity Investment Management, Beijing Shangshi Investment Management, Wuhu SASAC, Lanyan Private Equity Venture Capital Management, Lucion Venture Investment Group, Tsingstone Asset Management, Wuxi SASAC, Beihang University, Nuohao Jinxin (Beijing) Investment Group, Anhui Provincial People's Government"/>
    <s v="CN "/>
    <s v="N"/>
    <s v="N"/>
    <s v="Deloitte "/>
  </r>
  <r>
    <n v="7"/>
    <s v="Shanghai KeLiang Information Technology Co., Ltd."/>
    <s v="Provides digital energy infrastructure solutions, specializing in modeling, simulation, and verification technologies for new power systems and advanced equipment electrical systems throughout their asset lifecycles."/>
    <x v="2"/>
    <s v="Digital Energy Solutoins"/>
    <s v="RMB"/>
    <n v="599552"/>
    <n v="93031"/>
    <x v="5"/>
    <s v="Sinolink "/>
    <d v="2026-05-20T00:00:00"/>
    <s v="Sang Suming_x000a_Shanghai Keyi Equity Invrstment Management Partnership (LP)_x000a_Shanghai Kebing Enterprise Management Consulting Center (LP)_x000a_Shanghai Keshan Enterprise Management Consulting Center (LP)_x000a_Shanghai Kerong Enterprise Management Consulting Center (LP)"/>
    <s v="N"/>
    <s v="Shanghai Puding Enterprise Management_x000a_Shanghai Xinkun Investment Management_x000a_Wangsu Science &amp; Technology (300017.SH)_x000a_Beijing Chenhui Innovation Investment Management_x000a_SDIC (SASAC)_x000a_Shanghai Hongxin Private Equity Funds Management_x000a_Qingdao Huangdao District Finance Bureau (SASAC)_x000a_Shanghai Holystar Electrical Technology (688330.SH)_x000a_Shanghai Shengshi Jiayi Enterprise Management"/>
    <s v="CN "/>
    <s v="N"/>
    <s v="N"/>
    <s v="EY"/>
  </r>
  <r>
    <n v="8"/>
    <s v="Shanghai Guan An Information Technology Co., Ltd."/>
    <s v="A specialized provider of intelligent information security solutions in China, focusing on data security and cybersecurity platforms using big data analytics and artificial intelligence technologies."/>
    <x v="3"/>
    <s v="Information Security"/>
    <s v="RMB"/>
    <n v="707655"/>
    <n v="20153"/>
    <x v="6"/>
    <s v="ICBCI, Zhongtai"/>
    <d v="2026-05-20T00:00:00"/>
    <s v="Hu Shaoyong_x000a_Zhang Zhaolong_x000a_Shanghai Zhixian Enterprise Management Partnership (Limited Partnership)"/>
    <s v="N"/>
    <s v="New Alliance Capital_x000a_National  Manufacturing Transformation and Upgrade Fund Co., Ltd._x000a_Haitong Securities 2611.HK / 601211.SH)_x000a_SDIC Innovation Investment Management (SASAC of State Council)_x000a_China Mobile Investment Management_x000a_CITIC Financial Asset Management (2799.HK)_x000a_Tianjin Haitai Capital Investment Management_x000a_Xiamen Hengyi Guoxing Investment Management_x000a_Shanghai Dunhong Asset Management_x000a_Shanghai Yuanrong Investment_x000a_Shanghai Hetong Enterprise Management_x000a_Shanghai Junsheng Xiechuang Private Equity_x000a_Beijing Qi’an Venture Capital_x000a_Ningbo Gaoling Equity Investment_x000a_Shanghai Lirong Investment Management"/>
    <s v="CN "/>
    <s v="N"/>
    <s v="N"/>
    <s v="EY"/>
  </r>
  <r>
    <n v="9"/>
    <s v="LINGYI iTECH (GUANGDONG) COMPANY"/>
    <s v="An intelligent manufacturing platform for AI-powered devices, producing high-precision functional components, modules, and assembled systems for smart electronics, robotics, enterprise servers, automotive, and advanced air mobility sectors."/>
    <x v="3"/>
    <s v="Precision Intelligent Manufacturing"/>
    <s v="RMB"/>
    <n v="51428944"/>
    <n v="2326825"/>
    <x v="7"/>
    <s v="GTJA, Citi,CLSA, JP Morgan"/>
    <d v="2026-05-20T00:00:00"/>
    <s v="Zeng Fangqin, Lingsheng Investment (Jiangsu) Co., Ltd."/>
    <s v="N"/>
    <s v="N/A"/>
    <s v="CN "/>
    <s v="A+H 002600.SZ"/>
    <s v="Y, last filed at 20/11/2025"/>
    <s v="Rongcheng "/>
  </r>
  <r>
    <n v="10"/>
    <s v="Lingong Heavy Machinery Co., Ltd."/>
    <s v="A global manufacturer of engineering machinery specializing in mining equipment, aerial work platforms, and material handling solutions with a focus on electrification and digitalization."/>
    <x v="5"/>
    <s v="Engineering Machinery"/>
    <s v="RMB"/>
    <n v="10148085"/>
    <n v="1040358"/>
    <x v="8"/>
    <s v="CICC, Industrial Securities"/>
    <d v="2026-05-20T00:00:00"/>
    <s v="Wang Zhizhong_x000a_Linyi Lingong Machinery Group Co., Ltd._x000a_Linyuan No. 1 (Linyi) Enterprise Management Partnership (LP)_x000a_Linyuan No. 2(Linyi) Enterprise Management Partnership (LP)_x000a_Linyuan No. 3 (Linyi) Enterprise Management Partnership (LP)_x000a_Linyuan No. 4 (Linyi) Enterprise Management Partnership (LP)"/>
    <s v="N"/>
    <s v="Qianhai Ark Asset Management_x000a_Shandong Port Group (Qingdao SASAC)_x000a_D&amp;T Capital Ltd_x000a_SDIC China Merchants Investment Management_x000a_Jinan High-tech Industry Development Zone SASAC_x000a_Zhejiang SASAC_x000a_Qingdao Jinyue Jinghui Investment_x000a_CICC_x000a_Jinan SASAC_x000a_Shandong Ptovincial Department of Finance _x000a_China Construction Bank (939.HK / 601939.SH)_x000a_Luxin Venture Capital Group (600783.SH)_x000a_Shanghai Jingyi Enterprise Management _x000a_Jifu Venture Capital_x000a_Industrial Securities (601377.SH)"/>
    <s v="CN "/>
    <s v="N"/>
    <s v="Y, last filed at 6/11/2025"/>
    <s v="Deloitte "/>
  </r>
  <r>
    <n v="11"/>
    <s v="CTG Hongkong and Macao Culture and Tourism Holding Limited"/>
    <s v="Integrated travel services provider in the Greater Bay Area, operating cross-boundary passenger maritime and road transportation, hotel operations, and travel-document administration services."/>
    <x v="6"/>
    <s v="Tourism"/>
    <s v="HKD"/>
    <n v="2197836"/>
    <n v="117482"/>
    <x v="9"/>
    <s v="N/A, listing by way of introduction"/>
    <d v="2026-05-20T00:00:00"/>
    <s v="CTG, SASAC"/>
    <s v="N"/>
    <s v="None"/>
    <s v="CN"/>
    <s v="Listing by introduction"/>
    <s v="N"/>
    <s v="EY"/>
  </r>
  <r>
    <n v="12"/>
    <s v="Nanjing Silicon Intelligence Technology Group Co., Ltd."/>
    <s v="China's largest digital human agent provider, offering AI workforce solutions including real-time voice, video generation, and live streaming agents to automate content production and customer interactions."/>
    <x v="3"/>
    <s v="Digital Human Agents"/>
    <s v="RMB"/>
    <n v="788818"/>
    <n v="-25915"/>
    <x v="10"/>
    <s v="CMBI, DBS, Futu Securities"/>
    <d v="2026-05-21T00:00:00"/>
    <s v="Mr. Sima Huapeng, Nanjing Silicon Life, Jiaxing Silicon Language"/>
    <s v="N"/>
    <s v="Tencent, CMB, China Reform Holdings, State Council SASAC, Guangzhou SASAC, Jiaxing High-tech Industrial Development Zone, Oceanpine Capital, Goodhope, Qihoo 360, Sequoia China, Pengpai Capital, SPDB"/>
    <s v="CN "/>
    <s v="N"/>
    <s v="Y, last filed at 31/10/2025"/>
    <s v="KPMG"/>
  </r>
  <r>
    <n v="13"/>
    <s v="Bethel Automotive Safety Systems Co., Ltd."/>
    <s v="A leading automotive intelligent chassis system brand supplier in China specializing in R&amp;D and manufacturing of braking, steering, and suspension systems for OEMs."/>
    <x v="4"/>
    <s v="Intelligent Chassis Systems"/>
    <s v="RMB"/>
    <n v="11711707"/>
    <n v="1320677"/>
    <x v="11"/>
    <s v="CICC"/>
    <d v="2026-05-21T00:00:00"/>
    <s v="Mr. Yuan Yongbin, Bethel Investment Management, Shanghai Henglu, Ms. Pan Hejia"/>
    <s v="N"/>
    <s v="N/A"/>
    <s v="CN "/>
    <s v="A+H 603596.SH"/>
    <s v="N"/>
    <s v="Rongcheng "/>
  </r>
  <r>
    <n v="14"/>
    <s v="Liuliumei Co., Ltd."/>
    <s v="A leading fruit snack company in China focusing on plum-based products, including dried plum snacks, prune-based products, and natural ingredient plum jelly with a dominant market share."/>
    <x v="7"/>
    <s v="Food &amp; Beverage (Snack Food)"/>
    <s v="RMB"/>
    <n v="1710731"/>
    <n v="182088"/>
    <x v="12"/>
    <s v="CLSA, Guoyuan"/>
    <d v="2026-05-21T00:00:00"/>
    <s v="Mr. Yang Fan, Ms. Li Huimin, Jurun Investment, Kaixuan Star, Kailai Star, Liuliu Star"/>
    <s v="N"/>
    <s v="Shenzhen Junrong_x000a_Nuoxiang Jinhong_x000a_Nuoxiang Dongchen_x000a_Wuhu Huaan Zhanxin Equity Investment Fund Partnership(LP) (Huaan Securities (600909.SH), Anhui Provincial SASAC, Wuhu Municipal SASAC)_x000a_Wuhu Fanchang District Finance Bureau"/>
    <s v="CN "/>
    <s v="N"/>
    <s v="Y, last filed at 28/10/2025 &amp; 16/4/2025"/>
    <s v="EY"/>
  </r>
  <r>
    <n v="15"/>
    <s v="Sinocelltech Group Limited"/>
    <s v="An innovative biologics company focused on R&amp;D, manufacturing, and commercialization of therapeutic antibodies, recombinant proteins, and vaccines with five commercialized products including rhFVIII for hemophilia A."/>
    <x v="1"/>
    <s v="Biopharmaceuticals"/>
    <s v="RMB"/>
    <n v="1560153"/>
    <n v="-566202"/>
    <x v="13"/>
    <s v="CITIC"/>
    <d v="2026-05-22T00:00:00"/>
    <s v="Dr. Xie Liangzhi, Ms. Li Hanyuan, Lhasa Ailike Investment Consulting Co., Ltd., Lhasa Lianghaoyuan Enterprise Management Co., Ltd."/>
    <s v="N"/>
    <s v="Chinese Academy of Medical Sciences (via Beijing Union Medical &amp; Pharmaceutical General), Giant Rock Holdings Limited, Mandis Co., Ltd."/>
    <s v="CN "/>
    <s v="A+H 688520.SH"/>
    <s v="N"/>
    <s v="SHINEWING"/>
  </r>
  <r>
    <n v="16"/>
    <s v="Puxiang Healthcare Holding Limited"/>
    <s v="Provider of integrated healthcare and eldercare services in North China, offering clinical diagnosis, treatment, rehabilitation, nursing, and palliative care for middle-aged and elderly people in community settings."/>
    <x v="1"/>
    <s v="Services"/>
    <s v="RMB"/>
    <n v="471423"/>
    <n v="33390"/>
    <x v="14"/>
    <s v="Shenwan Hongyuan, ABCI"/>
    <d v="2026-05-22T00:00:00"/>
    <s v="Wang Weibin, Xu Huayong, Yangyuan BVI, One Percent BVI, Huayiyongsheng BVI"/>
    <s v="N"/>
    <s v="CICC, Yunsheng Huahsi (Fuling District SASAC), Singapore Paincare Holdings"/>
    <s v="CN "/>
    <s v="N"/>
    <s v="N"/>
    <s v="KPMG"/>
  </r>
  <r>
    <n v="17"/>
    <s v="Guangdong Rong Tai Pharmaceutical Co., Ltd."/>
    <s v="Major provider of digital marketing and supply chain services for the out-of-hospital pharmaceutical market in China, offering omni-channel sales services to pharmaceutical companies and downstream terminals."/>
    <x v="1"/>
    <s v="Digital Pharmaceutical Supply Chain Services"/>
    <s v="RMB"/>
    <n v="3388124"/>
    <n v="36591"/>
    <x v="13"/>
    <s v="CLSA, CMBC"/>
    <d v="2026-05-22T00:00:00"/>
    <s v="Chen Changqing, Guangzhou Changfeng"/>
    <s v="N"/>
    <s v="CMS, Beijing Apollo, Shenzhen Gaosheng, Tianjin Langhui, Shenzhen Capital Group (SASAC), Tianjin Haida, Hangzhou Haidabicheng, Ningbo Meishan Zijin, Shenzhen Oriental Fortune Capital (OFC), Zhongsheng Huipu, Shenzhen Qianhai Industrial Development Group (SASAC), Tianjin SASAC, Qinghai SASAC, Ezhou SASAC, Hubei SASAC, Foshan Xiaoguo"/>
    <s v="CN "/>
    <s v="N"/>
    <s v="Y, last filed at 26/09/2025"/>
    <s v="EY"/>
  </r>
  <r>
    <n v="18"/>
    <s v="EnjoyGo Technology Limited"/>
    <s v="A multi-scenario smart mobility platform in China offering ride-hailing, vehicle leasing, used vehicle sales, and Robotaxi services, primarily operating in the Yangtze River Delta and Shanghai."/>
    <x v="3"/>
    <s v="Ride-hailing"/>
    <s v="RMB"/>
    <n v="6774271"/>
    <n v="-245922"/>
    <x v="15"/>
    <s v="CICC, GTJA"/>
    <d v="2026-05-22T00:00:00"/>
    <s v="SAIC, Changzhou SAIC"/>
    <s v="N"/>
    <s v="Alibaba Group, CATL, Momenta, GTJA, Jiading SASAC, Xuhui SASAC"/>
    <s v="CN "/>
    <s v="N"/>
    <s v="Y, last filed at 28/10/2025"/>
    <s v="PwC"/>
  </r>
  <r>
    <m/>
    <m/>
    <m/>
    <x v="0"/>
    <m/>
    <m/>
    <m/>
    <m/>
    <x v="0"/>
    <m/>
    <m/>
    <m/>
    <m/>
    <m/>
    <m/>
    <m/>
    <m/>
    <m/>
  </r>
  <r>
    <m/>
    <m/>
    <m/>
    <x v="0"/>
    <m/>
    <m/>
    <m/>
    <m/>
    <x v="0"/>
    <m/>
    <m/>
    <m/>
    <m/>
    <m/>
    <m/>
    <m/>
    <m/>
    <m/>
  </r>
  <r>
    <m/>
    <m/>
    <m/>
    <x v="0"/>
    <m/>
    <m/>
    <m/>
    <m/>
    <x v="0"/>
    <m/>
    <m/>
    <m/>
    <m/>
    <m/>
    <m/>
    <m/>
    <m/>
    <m/>
  </r>
  <r>
    <m/>
    <m/>
    <m/>
    <x v="0"/>
    <m/>
    <m/>
    <m/>
    <m/>
    <x v="0"/>
    <m/>
    <m/>
    <m/>
    <m/>
    <m/>
    <m/>
    <m/>
    <m/>
    <m/>
  </r>
  <r>
    <m/>
    <m/>
    <m/>
    <x v="0"/>
    <m/>
    <m/>
    <m/>
    <m/>
    <x v="0"/>
    <m/>
    <m/>
    <m/>
    <m/>
    <m/>
    <m/>
    <m/>
    <m/>
    <m/>
  </r>
  <r>
    <m/>
    <m/>
    <m/>
    <x v="0"/>
    <m/>
    <m/>
    <m/>
    <m/>
    <x v="0"/>
    <m/>
    <m/>
    <m/>
    <m/>
    <m/>
    <m/>
    <m/>
    <m/>
    <m/>
  </r>
  <r>
    <m/>
    <m/>
    <m/>
    <x v="0"/>
    <m/>
    <m/>
    <m/>
    <m/>
    <x v="0"/>
    <m/>
    <m/>
    <m/>
    <m/>
    <m/>
    <m/>
    <m/>
    <m/>
    <m/>
  </r>
  <r>
    <m/>
    <m/>
    <m/>
    <x v="0"/>
    <m/>
    <m/>
    <m/>
    <m/>
    <x v="0"/>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r>
  <r>
    <x v="0"/>
  </r>
  <r>
    <x v="1"/>
  </r>
  <r>
    <x v="1"/>
  </r>
  <r>
    <x v="2"/>
  </r>
  <r>
    <x v="3"/>
  </r>
  <r>
    <x v="3"/>
  </r>
  <r>
    <x v="4"/>
  </r>
  <r>
    <x v="2"/>
  </r>
  <r>
    <x v="3"/>
  </r>
  <r>
    <x v="3"/>
  </r>
  <r>
    <x v="5"/>
  </r>
  <r>
    <x v="6"/>
  </r>
  <r>
    <x v="3"/>
  </r>
  <r>
    <x v="4"/>
  </r>
  <r>
    <x v="7"/>
  </r>
  <r>
    <x v="1"/>
  </r>
  <r>
    <x v="1"/>
  </r>
  <r>
    <x v="1"/>
  </r>
  <r>
    <x v="3"/>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r>
  <r>
    <x v="0"/>
  </r>
  <r>
    <x v="1"/>
  </r>
  <r>
    <x v="1"/>
  </r>
  <r>
    <x v="1"/>
  </r>
  <r>
    <x v="1"/>
  </r>
  <r>
    <x v="2"/>
  </r>
  <r>
    <x v="3"/>
  </r>
  <r>
    <x v="1"/>
  </r>
  <r>
    <x v="1"/>
  </r>
  <r>
    <x v="4"/>
  </r>
  <r>
    <x v="3"/>
  </r>
  <r>
    <x v="1"/>
  </r>
  <r>
    <x v="5"/>
  </r>
  <r>
    <x v="4"/>
  </r>
  <r>
    <x v="1"/>
  </r>
  <r>
    <x v="6"/>
  </r>
  <r>
    <x v="5"/>
  </r>
  <r>
    <x v="1"/>
  </r>
  <r>
    <x v="7"/>
  </r>
  <r>
    <x v="0"/>
  </r>
  <r>
    <x v="0"/>
  </r>
  <r>
    <x v="0"/>
  </r>
  <r>
    <x v="0"/>
  </r>
  <r>
    <x v="0"/>
  </r>
  <r>
    <x v="0"/>
  </r>
  <r>
    <x v="0"/>
  </r>
  <r>
    <x v="0"/>
  </r>
  <r>
    <x v="0"/>
  </r>
  <r>
    <x v="0"/>
  </r>
  <r>
    <x v="0"/>
  </r>
  <r>
    <x v="0"/>
  </r>
  <r>
    <x v="0"/>
  </r>
  <r>
    <x v="0"/>
  </r>
  <r>
    <x v="0"/>
  </r>
  <r>
    <x v="0"/>
  </r>
  <r>
    <x v="0"/>
  </r>
  <r>
    <x v="0"/>
  </r>
  <r>
    <x v="0"/>
  </r>
  <r>
    <x v="0"/>
  </r>
  <r>
    <x v="0"/>
  </r>
  <r>
    <x v="0"/>
  </r>
  <r>
    <x v="0"/>
  </r>
  <r>
    <x v="0"/>
  </r>
  <r>
    <x v="0"/>
  </r>
  <r>
    <x v="0"/>
  </r>
  <r>
    <x v="0"/>
  </r>
  <r>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r>
  <r>
    <x v="0"/>
  </r>
  <r>
    <x v="1"/>
  </r>
  <r>
    <x v="2"/>
  </r>
  <r>
    <x v="3"/>
  </r>
  <r>
    <x v="4"/>
  </r>
  <r>
    <x v="5"/>
  </r>
  <r>
    <x v="6"/>
  </r>
  <r>
    <x v="6"/>
  </r>
  <r>
    <x v="6"/>
  </r>
  <r>
    <x v="7"/>
  </r>
  <r>
    <x v="8"/>
  </r>
  <r>
    <x v="6"/>
  </r>
  <r>
    <x v="9"/>
  </r>
  <r>
    <x v="6"/>
  </r>
  <r>
    <x v="10"/>
  </r>
  <r>
    <x v="6"/>
  </r>
  <r>
    <x v="11"/>
  </r>
  <r>
    <x v="12"/>
  </r>
  <r>
    <x v="13"/>
  </r>
  <r>
    <x v="0"/>
  </r>
  <r>
    <x v="0"/>
  </r>
  <r>
    <x v="0"/>
  </r>
  <r>
    <x v="0"/>
  </r>
  <r>
    <x v="0"/>
  </r>
  <r>
    <x v="0"/>
  </r>
  <r>
    <x v="0"/>
  </r>
  <r>
    <x v="0"/>
  </r>
  <r>
    <x v="0"/>
  </r>
  <r>
    <x v="0"/>
  </r>
  <r>
    <x v="0"/>
  </r>
  <r>
    <x v="0"/>
  </r>
  <r>
    <x v="0"/>
  </r>
  <r>
    <x v="0"/>
  </r>
  <r>
    <x v="0"/>
  </r>
  <r>
    <x v="0"/>
  </r>
  <r>
    <x v="0"/>
  </r>
  <r>
    <x v="0"/>
  </r>
  <r>
    <x v="0"/>
  </r>
  <r>
    <x v="0"/>
  </r>
  <r>
    <x v="0"/>
  </r>
  <r>
    <x v="0"/>
  </r>
  <r>
    <x v="0"/>
  </r>
  <r>
    <x v="0"/>
  </r>
  <r>
    <x v="0"/>
  </r>
  <r>
    <x v="0"/>
  </r>
  <r>
    <x v="0"/>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3FC8C5-5368-428B-AD2A-D50436A243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2" firstHeaderRow="1" firstDataRow="2" firstDataCol="1"/>
  <pivotFields count="18">
    <pivotField dataField="1" showAll="0"/>
    <pivotField showAll="0"/>
    <pivotField showAll="0"/>
    <pivotField axis="axisCol" showAll="0">
      <items count="10">
        <item m="1" x="6"/>
        <item x="3"/>
        <item m="1" x="7"/>
        <item m="1" x="8"/>
        <item x="4"/>
        <item x="0"/>
        <item x="2"/>
        <item x="1"/>
        <item m="1" x="5"/>
        <item t="default"/>
      </items>
    </pivotField>
    <pivotField showAll="0"/>
    <pivotField showAll="0"/>
    <pivotField showAll="0"/>
    <pivotField showAll="0"/>
    <pivotField axis="axisRow" showAll="0">
      <items count="27">
        <item x="2"/>
        <item m="1" x="24"/>
        <item m="1" x="20"/>
        <item m="1" x="21"/>
        <item m="1" x="18"/>
        <item m="1" x="22"/>
        <item m="1" x="23"/>
        <item m="1" x="17"/>
        <item m="1" x="19"/>
        <item m="1" x="25"/>
        <item x="0"/>
        <item m="1" x="12"/>
        <item m="1" x="13"/>
        <item m="1" x="14"/>
        <item m="1" x="15"/>
        <item m="1" x="16"/>
        <item m="1" x="7"/>
        <item m="1" x="8"/>
        <item m="1" x="9"/>
        <item m="1" x="10"/>
        <item m="1" x="11"/>
        <item x="1"/>
        <item x="3"/>
        <item x="5"/>
        <item x="6"/>
        <item x="4"/>
        <item t="default"/>
      </items>
    </pivotField>
    <pivotField showAll="0"/>
    <pivotField showAll="0"/>
    <pivotField showAll="0"/>
    <pivotField showAll="0"/>
    <pivotField showAll="0"/>
    <pivotField showAll="0"/>
    <pivotField showAll="0"/>
    <pivotField showAll="0"/>
    <pivotField showAll="0"/>
  </pivotFields>
  <rowFields count="1">
    <field x="8"/>
  </rowFields>
  <rowItems count="8">
    <i>
      <x/>
    </i>
    <i>
      <x v="10"/>
    </i>
    <i>
      <x v="21"/>
    </i>
    <i>
      <x v="22"/>
    </i>
    <i>
      <x v="23"/>
    </i>
    <i>
      <x v="24"/>
    </i>
    <i>
      <x v="25"/>
    </i>
    <i t="grand">
      <x/>
    </i>
  </rowItems>
  <colFields count="1">
    <field x="3"/>
  </colFields>
  <colItems count="6">
    <i>
      <x v="1"/>
    </i>
    <i>
      <x v="4"/>
    </i>
    <i>
      <x v="5"/>
    </i>
    <i>
      <x v="6"/>
    </i>
    <i>
      <x v="7"/>
    </i>
    <i t="grand">
      <x/>
    </i>
  </colItems>
  <dataFields count="1">
    <dataField name="Count of #"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317820-B1BC-4A5E-9A48-233B587074A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5:AA23" firstHeaderRow="1" firstDataRow="2" firstDataCol="1"/>
  <pivotFields count="18">
    <pivotField showAll="0"/>
    <pivotField showAll="0"/>
    <pivotField showAll="0"/>
    <pivotField axis="axisCol" showAll="0">
      <items count="14">
        <item m="1" x="11"/>
        <item x="3"/>
        <item x="0"/>
        <item x="1"/>
        <item m="1" x="8"/>
        <item m="1" x="9"/>
        <item x="4"/>
        <item x="6"/>
        <item m="1" x="10"/>
        <item x="2"/>
        <item m="1" x="12"/>
        <item x="5"/>
        <item x="7"/>
        <item t="default"/>
      </items>
    </pivotField>
    <pivotField showAll="0"/>
    <pivotField showAll="0"/>
    <pivotField showAll="0"/>
    <pivotField showAll="0"/>
    <pivotField axis="axisRow" dataField="1" showAll="0">
      <items count="53">
        <item x="11"/>
        <item m="1" x="36"/>
        <item m="1" x="45"/>
        <item x="0"/>
        <item m="1" x="17"/>
        <item x="7"/>
        <item m="1" x="49"/>
        <item x="1"/>
        <item m="1" x="38"/>
        <item m="1" x="39"/>
        <item m="1" x="40"/>
        <item m="1" x="41"/>
        <item m="1" x="42"/>
        <item m="1" x="43"/>
        <item m="1" x="44"/>
        <item m="1" x="46"/>
        <item m="1" x="47"/>
        <item m="1" x="48"/>
        <item m="1" x="50"/>
        <item m="1" x="51"/>
        <item m="1" x="28"/>
        <item m="1" x="29"/>
        <item m="1" x="30"/>
        <item m="1" x="31"/>
        <item m="1" x="32"/>
        <item m="1" x="24"/>
        <item m="1" x="33"/>
        <item m="1" x="34"/>
        <item m="1" x="35"/>
        <item m="1" x="37"/>
        <item m="1" x="16"/>
        <item m="1" x="19"/>
        <item m="1" x="20"/>
        <item m="1" x="21"/>
        <item m="1" x="22"/>
        <item m="1" x="23"/>
        <item m="1" x="25"/>
        <item m="1" x="26"/>
        <item m="1" x="27"/>
        <item m="1" x="18"/>
        <item x="2"/>
        <item x="3"/>
        <item x="4"/>
        <item x="5"/>
        <item x="6"/>
        <item x="8"/>
        <item x="9"/>
        <item x="10"/>
        <item x="12"/>
        <item x="13"/>
        <item x="14"/>
        <item x="15"/>
        <item t="default"/>
      </items>
    </pivotField>
    <pivotField showAll="0"/>
    <pivotField showAll="0"/>
    <pivotField showAll="0"/>
    <pivotField showAll="0"/>
    <pivotField showAll="0"/>
    <pivotField showAll="0"/>
    <pivotField showAll="0"/>
    <pivotField showAll="0"/>
    <pivotField showAll="0"/>
  </pivotFields>
  <rowFields count="1">
    <field x="8"/>
  </rowFields>
  <rowItems count="17">
    <i>
      <x/>
    </i>
    <i>
      <x v="3"/>
    </i>
    <i>
      <x v="5"/>
    </i>
    <i>
      <x v="7"/>
    </i>
    <i>
      <x v="40"/>
    </i>
    <i>
      <x v="41"/>
    </i>
    <i>
      <x v="42"/>
    </i>
    <i>
      <x v="43"/>
    </i>
    <i>
      <x v="44"/>
    </i>
    <i>
      <x v="45"/>
    </i>
    <i>
      <x v="46"/>
    </i>
    <i>
      <x v="47"/>
    </i>
    <i>
      <x v="48"/>
    </i>
    <i>
      <x v="49"/>
    </i>
    <i>
      <x v="50"/>
    </i>
    <i>
      <x v="51"/>
    </i>
    <i t="grand">
      <x/>
    </i>
  </rowItems>
  <colFields count="1">
    <field x="3"/>
  </colFields>
  <colItems count="9">
    <i>
      <x v="1"/>
    </i>
    <i>
      <x v="2"/>
    </i>
    <i>
      <x v="3"/>
    </i>
    <i>
      <x v="6"/>
    </i>
    <i>
      <x v="7"/>
    </i>
    <i>
      <x v="9"/>
    </i>
    <i>
      <x v="11"/>
    </i>
    <i>
      <x v="12"/>
    </i>
    <i t="grand">
      <x/>
    </i>
  </colItems>
  <dataFields count="1">
    <dataField name="Count of Sponso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2C127B-6C5A-4D82-85BE-30DADB3430C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2:R11" firstHeaderRow="1" firstDataRow="1" firstDataCol="1"/>
  <pivotFields count="1">
    <pivotField axis="axisRow" dataField="1" showAll="0">
      <items count="29">
        <item m="1" x="9"/>
        <item m="1" x="11"/>
        <item x="2"/>
        <item x="1"/>
        <item m="1" x="8"/>
        <item x="3"/>
        <item x="0"/>
        <item m="1" x="17"/>
        <item m="1" x="27"/>
        <item m="1" x="26"/>
        <item m="1" x="25"/>
        <item m="1" x="10"/>
        <item m="1" x="23"/>
        <item x="5"/>
        <item m="1" x="24"/>
        <item m="1" x="14"/>
        <item x="4"/>
        <item m="1" x="21"/>
        <item m="1" x="22"/>
        <item m="1" x="20"/>
        <item x="6"/>
        <item m="1" x="19"/>
        <item m="1" x="18"/>
        <item m="1" x="13"/>
        <item m="1" x="16"/>
        <item m="1" x="15"/>
        <item m="1" x="12"/>
        <item x="7"/>
        <item t="default"/>
      </items>
    </pivotField>
  </pivotFields>
  <rowFields count="1">
    <field x="0"/>
  </rowFields>
  <rowItems count="9">
    <i>
      <x v="2"/>
    </i>
    <i>
      <x v="3"/>
    </i>
    <i>
      <x v="5"/>
    </i>
    <i>
      <x v="6"/>
    </i>
    <i>
      <x v="13"/>
    </i>
    <i>
      <x v="16"/>
    </i>
    <i>
      <x v="20"/>
    </i>
    <i>
      <x v="27"/>
    </i>
    <i t="grand">
      <x/>
    </i>
  </rowItems>
  <colItems count="1">
    <i/>
  </colItems>
  <dataFields count="1">
    <dataField name="Count of Sector"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52ECDD-BD35-4E92-A7EA-38A454F79CF0}"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I16" firstHeaderRow="1" firstDataRow="1" firstDataCol="1"/>
  <pivotFields count="1">
    <pivotField axis="axisRow" dataField="1" showAll="0">
      <items count="105">
        <item x="6"/>
        <item m="1" x="103"/>
        <item m="1" x="72"/>
        <item m="1" x="98"/>
        <item m="1" x="100"/>
        <item m="1" x="102"/>
        <item x="0"/>
        <item m="1" x="97"/>
        <item m="1" x="99"/>
        <item m="1" x="101"/>
        <item m="1" x="59"/>
        <item m="1" x="57"/>
        <item m="1" x="96"/>
        <item m="1" x="50"/>
        <item m="1" x="92"/>
        <item m="1" x="93"/>
        <item m="1" x="94"/>
        <item m="1" x="95"/>
        <item m="1" x="86"/>
        <item m="1" x="87"/>
        <item m="1" x="88"/>
        <item m="1" x="89"/>
        <item m="1" x="90"/>
        <item m="1" x="91"/>
        <item m="1" x="84"/>
        <item m="1" x="85"/>
        <item m="1" x="83"/>
        <item m="1" x="77"/>
        <item m="1" x="78"/>
        <item m="1" x="79"/>
        <item m="1" x="81"/>
        <item m="1" x="82"/>
        <item m="1" x="80"/>
        <item m="1" x="75"/>
        <item m="1" x="30"/>
        <item m="1" x="76"/>
        <item m="1" x="74"/>
        <item m="1" x="68"/>
        <item m="1" x="69"/>
        <item m="1" x="70"/>
        <item m="1" x="58"/>
        <item m="1" x="71"/>
        <item m="1" x="67"/>
        <item m="1" x="73"/>
        <item m="1" x="62"/>
        <item m="1" x="63"/>
        <item m="1" x="64"/>
        <item m="1" x="65"/>
        <item m="1" x="66"/>
        <item m="1" x="53"/>
        <item m="1" x="42"/>
        <item m="1" x="26"/>
        <item m="1" x="54"/>
        <item m="1" x="55"/>
        <item m="1" x="56"/>
        <item m="1" x="43"/>
        <item m="1" x="37"/>
        <item m="1" x="27"/>
        <item m="1" x="60"/>
        <item m="1" x="61"/>
        <item m="1" x="49"/>
        <item m="1" x="28"/>
        <item m="1" x="39"/>
        <item m="1" x="51"/>
        <item m="1" x="35"/>
        <item m="1" x="52"/>
        <item m="1" x="45"/>
        <item m="1" x="46"/>
        <item m="1" x="47"/>
        <item m="1" x="48"/>
        <item m="1" x="44"/>
        <item m="1" x="36"/>
        <item m="1" x="38"/>
        <item m="1" x="16"/>
        <item m="1" x="40"/>
        <item m="1" x="41"/>
        <item m="1" x="29"/>
        <item m="1" x="31"/>
        <item m="1" x="15"/>
        <item m="1" x="32"/>
        <item m="1" x="33"/>
        <item m="1" x="17"/>
        <item m="1" x="34"/>
        <item m="1" x="21"/>
        <item m="1" x="22"/>
        <item m="1" x="23"/>
        <item m="1" x="24"/>
        <item m="1" x="25"/>
        <item m="1" x="14"/>
        <item m="1" x="18"/>
        <item m="1" x="19"/>
        <item m="1" x="20"/>
        <item x="1"/>
        <item x="2"/>
        <item x="3"/>
        <item x="4"/>
        <item x="5"/>
        <item x="7"/>
        <item x="8"/>
        <item x="9"/>
        <item x="10"/>
        <item x="12"/>
        <item x="13"/>
        <item x="11"/>
        <item t="default"/>
      </items>
    </pivotField>
  </pivotFields>
  <rowFields count="1">
    <field x="0"/>
  </rowFields>
  <rowItems count="15">
    <i>
      <x/>
    </i>
    <i>
      <x v="6"/>
    </i>
    <i>
      <x v="92"/>
    </i>
    <i>
      <x v="93"/>
    </i>
    <i>
      <x v="94"/>
    </i>
    <i>
      <x v="95"/>
    </i>
    <i>
      <x v="96"/>
    </i>
    <i>
      <x v="97"/>
    </i>
    <i>
      <x v="98"/>
    </i>
    <i>
      <x v="99"/>
    </i>
    <i>
      <x v="100"/>
    </i>
    <i>
      <x v="101"/>
    </i>
    <i>
      <x v="102"/>
    </i>
    <i>
      <x v="103"/>
    </i>
    <i t="grand">
      <x/>
    </i>
  </rowItems>
  <colItems count="1">
    <i/>
  </colItems>
  <dataFields count="1">
    <dataField name="Count of Re-filing?"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3254DC-C320-4E8D-BE50-23FE449A1505}"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2" firstHeaderRow="1" firstDataRow="1" firstDataCol="1"/>
  <pivotFields count="1">
    <pivotField axis="axisRow" dataField="1" showAll="0">
      <items count="27">
        <item m="1" x="11"/>
        <item m="1" x="8"/>
        <item x="1"/>
        <item x="5"/>
        <item x="7"/>
        <item m="1" x="15"/>
        <item x="6"/>
        <item x="0"/>
        <item m="1" x="25"/>
        <item m="1" x="9"/>
        <item m="1" x="12"/>
        <item m="1" x="17"/>
        <item m="1" x="14"/>
        <item m="1" x="20"/>
        <item m="1" x="21"/>
        <item m="1" x="22"/>
        <item m="1" x="23"/>
        <item m="1" x="24"/>
        <item m="1" x="16"/>
        <item m="1" x="18"/>
        <item m="1" x="19"/>
        <item x="3"/>
        <item m="1" x="13"/>
        <item m="1" x="10"/>
        <item x="2"/>
        <item x="4"/>
        <item t="default"/>
      </items>
    </pivotField>
  </pivotFields>
  <rowFields count="1">
    <field x="0"/>
  </rowFields>
  <rowItems count="9">
    <i>
      <x v="2"/>
    </i>
    <i>
      <x v="3"/>
    </i>
    <i>
      <x v="4"/>
    </i>
    <i>
      <x v="6"/>
    </i>
    <i>
      <x v="7"/>
    </i>
    <i>
      <x v="21"/>
    </i>
    <i>
      <x v="24"/>
    </i>
    <i>
      <x v="25"/>
    </i>
    <i t="grand">
      <x/>
    </i>
  </rowItems>
  <colItems count="1">
    <i/>
  </colItems>
  <dataFields count="1">
    <dataField name="Count of Audito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60D836-B4FE-42AB-9CE9-28FD4A322931}" name="Table1" displayName="Table1" ref="A3:R4" totalsRowShown="0">
  <autoFilter ref="A3:R4" xr:uid="{CA60D836-B4FE-42AB-9CE9-28FD4A322931}"/>
  <tableColumns count="18">
    <tableColumn id="1" xr3:uid="{05946594-6817-424C-B81B-7ABDBCAD692C}" name="#"/>
    <tableColumn id="2" xr3:uid="{11F501A0-1052-4255-8867-6A82390E513A}" name="Name of Company"/>
    <tableColumn id="3" xr3:uid="{A30E132E-9B74-4C17-B595-098030518117}" name="Brief description of business"/>
    <tableColumn id="4" xr3:uid="{E02EC860-D92E-4F4B-A09D-527C1216B65E}" name="Sector"/>
    <tableColumn id="5" xr3:uid="{FE2DB349-C4C5-4606-B169-EE150361BABC}" name="Industry"/>
    <tableColumn id="6" xr3:uid="{624815A3-BF09-4545-8CD0-16A6B461993C}" name="Currency"/>
    <tableColumn id="7" xr3:uid="{58F0A217-CC62-4D33-B71B-339757EA99D0}" name="Revenue"/>
    <tableColumn id="8" xr3:uid="{27869FB3-7F05-4A2B-A643-8D53063015CB}" name="Net Profit/(Loss)"/>
    <tableColumn id="9" xr3:uid="{D5B4A485-D08C-4B47-A674-58ED5B8B9D7C}" name="Sponsor"/>
    <tableColumn id="10" xr3:uid="{31E51004-221B-41A8-9F03-E135CE0642DC}" name="Overall coordinator"/>
    <tableColumn id="11" xr3:uid="{B9A283D4-431C-439D-9746-9D0031C37B86}" name="Listing Application Date"/>
    <tableColumn id="12" xr3:uid="{A064F78B-0EAE-4611-8DE3-19173516C302}" name="Controlling Shareholders"/>
    <tableColumn id="13" xr3:uid="{D28D1C6C-6D6B-4B44-A707-1C8744B624B5}" name="Temasek/GIC-Linked"/>
    <tableColumn id="14" xr3:uid="{25B895BC-6650-41E7-A8C5-DEB3A0A79DD5}" name="PE/VC involved"/>
    <tableColumn id="15" xr3:uid="{EFD6E588-5200-4317-8DDD-7681F7BED4D7}" name="CN/HK/GBA"/>
    <tableColumn id="16" xr3:uid="{2B032763-8C75-45F5-A3C2-B996DFABCE4A}" name="Remarks"/>
    <tableColumn id="17" xr3:uid="{DB259C39-2325-4A42-A14E-9F7D2E2166AE}" name="Re-filing?"/>
    <tableColumn id="18" xr3:uid="{F671A946-FC5B-4C1D-93F9-96674A7DAA84}" name="Audito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6-01-18T03:46:56.67" personId="{DA9C3FEF-E789-4F45-84BE-C8829CDFF5B5}" id="{30625F22-3116-4CF2-9A45-1AA06009EE02}">
    <text>Jan 1 - Jan 4 to be updated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ivotTable" Target="../pivotTables/pivotTable5.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DE227-B7D7-48A7-9E4B-21B2DF4365C4}">
  <sheetPr>
    <tabColor theme="7"/>
  </sheetPr>
  <dimension ref="A1:R52"/>
  <sheetViews>
    <sheetView showGridLines="0" zoomScale="70" zoomScaleNormal="70" workbookViewId="0">
      <pane xSplit="2" ySplit="3" topLeftCell="L4" activePane="bottomRight" state="frozen"/>
      <selection pane="topRight" activeCell="D3" sqref="D3"/>
      <selection pane="bottomLeft" activeCell="D3" sqref="D3"/>
      <selection pane="bottomRight" activeCell="A4" sqref="A4"/>
    </sheetView>
  </sheetViews>
  <sheetFormatPr defaultColWidth="8.77734375" defaultRowHeight="14.4"/>
  <cols>
    <col min="1" max="1" width="12.21875" style="41" customWidth="1"/>
    <col min="2" max="2" width="49.5546875" style="43" bestFit="1" customWidth="1"/>
    <col min="3" max="3" width="56" style="41" customWidth="1"/>
    <col min="4" max="4" width="18.44140625" style="41" customWidth="1"/>
    <col min="5" max="5" width="17.44140625" style="41" customWidth="1"/>
    <col min="6" max="6" width="11.44140625" style="41" customWidth="1"/>
    <col min="7" max="7" width="18.21875" style="41" customWidth="1"/>
    <col min="8" max="8" width="19.21875" style="41" customWidth="1"/>
    <col min="9" max="9" width="16.77734375" style="41" customWidth="1"/>
    <col min="10" max="10" width="22.77734375" style="41" bestFit="1" customWidth="1"/>
    <col min="11" max="11" width="27.77734375" style="41" bestFit="1" customWidth="1"/>
    <col min="12" max="12" width="70" style="44" customWidth="1"/>
    <col min="13" max="13" width="15.77734375" style="41" customWidth="1"/>
    <col min="14" max="14" width="98.21875" style="44" customWidth="1"/>
    <col min="15" max="15" width="14.21875" style="41" customWidth="1"/>
    <col min="16" max="16" width="17.5546875" style="41" customWidth="1"/>
    <col min="17" max="17" width="14.5546875" style="41" customWidth="1"/>
    <col min="18" max="18" width="18.21875" style="41" customWidth="1"/>
    <col min="19" max="16384" width="8.77734375" style="41"/>
  </cols>
  <sheetData>
    <row r="1" spans="1:18">
      <c r="A1" s="108" t="s">
        <v>0</v>
      </c>
      <c r="B1" s="110" t="s">
        <v>1</v>
      </c>
      <c r="C1" s="108" t="s">
        <v>2</v>
      </c>
      <c r="D1" s="111" t="s">
        <v>3</v>
      </c>
      <c r="E1" s="108" t="s">
        <v>4</v>
      </c>
      <c r="F1" s="108" t="s">
        <v>5</v>
      </c>
      <c r="G1" s="108" t="s">
        <v>6</v>
      </c>
      <c r="H1" s="108" t="s">
        <v>7</v>
      </c>
      <c r="I1" s="111" t="s">
        <v>8</v>
      </c>
      <c r="J1" s="108" t="s">
        <v>9</v>
      </c>
      <c r="K1" s="108" t="s">
        <v>10</v>
      </c>
      <c r="L1" s="108" t="s">
        <v>11</v>
      </c>
      <c r="M1" s="108" t="s">
        <v>12</v>
      </c>
      <c r="N1" s="108" t="s">
        <v>13</v>
      </c>
      <c r="O1" s="108" t="s">
        <v>14</v>
      </c>
      <c r="P1" s="109" t="s">
        <v>15</v>
      </c>
      <c r="Q1" s="108" t="s">
        <v>16</v>
      </c>
      <c r="R1" s="108" t="s">
        <v>80</v>
      </c>
    </row>
    <row r="2" spans="1:18">
      <c r="A2" s="108"/>
      <c r="B2" s="110"/>
      <c r="C2" s="108"/>
      <c r="D2" s="112"/>
      <c r="E2" s="108"/>
      <c r="F2" s="108"/>
      <c r="G2" s="108"/>
      <c r="H2" s="108"/>
      <c r="I2" s="112"/>
      <c r="J2" s="108"/>
      <c r="K2" s="108"/>
      <c r="L2" s="108"/>
      <c r="M2" s="108"/>
      <c r="N2" s="108"/>
      <c r="O2" s="108"/>
      <c r="P2" s="109"/>
      <c r="Q2" s="108"/>
      <c r="R2" s="108"/>
    </row>
    <row r="3" spans="1:18">
      <c r="A3" s="108"/>
      <c r="B3" s="110"/>
      <c r="C3" s="108"/>
      <c r="D3" s="113"/>
      <c r="E3" s="108"/>
      <c r="F3" s="108"/>
      <c r="G3" s="40" t="s">
        <v>17</v>
      </c>
      <c r="H3" s="40" t="s">
        <v>17</v>
      </c>
      <c r="I3" s="113"/>
      <c r="J3" s="108"/>
      <c r="K3" s="108"/>
      <c r="L3" s="108"/>
      <c r="M3" s="108"/>
      <c r="N3" s="108"/>
      <c r="O3" s="108"/>
      <c r="P3" s="109"/>
      <c r="Q3" s="108"/>
      <c r="R3" s="108"/>
    </row>
    <row r="4" spans="1:18" s="92" customFormat="1" ht="294" customHeight="1">
      <c r="A4" s="85">
        <v>1</v>
      </c>
      <c r="B4" s="86" t="s">
        <v>147</v>
      </c>
      <c r="C4" s="85" t="s">
        <v>148</v>
      </c>
      <c r="D4" s="87" t="s">
        <v>27</v>
      </c>
      <c r="E4" s="87" t="s">
        <v>221</v>
      </c>
      <c r="F4" s="87" t="s">
        <v>105</v>
      </c>
      <c r="G4" s="88">
        <v>0</v>
      </c>
      <c r="H4" s="88">
        <v>-80960</v>
      </c>
      <c r="I4" s="87" t="s">
        <v>25</v>
      </c>
      <c r="J4" s="87" t="s">
        <v>149</v>
      </c>
      <c r="K4" s="89">
        <v>46160</v>
      </c>
      <c r="L4" s="75" t="s">
        <v>222</v>
      </c>
      <c r="M4" s="87" t="s">
        <v>101</v>
      </c>
      <c r="N4" s="90" t="s">
        <v>223</v>
      </c>
      <c r="O4" s="87" t="s">
        <v>150</v>
      </c>
      <c r="P4" s="87" t="s">
        <v>139</v>
      </c>
      <c r="Q4" s="91" t="s">
        <v>220</v>
      </c>
      <c r="R4" s="85" t="s">
        <v>82</v>
      </c>
    </row>
    <row r="5" spans="1:18" s="93" customFormat="1" ht="57.6">
      <c r="A5" s="85">
        <v>2</v>
      </c>
      <c r="B5" s="75" t="s">
        <v>151</v>
      </c>
      <c r="C5" s="93" t="s">
        <v>224</v>
      </c>
      <c r="D5" s="87" t="s">
        <v>27</v>
      </c>
      <c r="E5" s="87" t="s">
        <v>152</v>
      </c>
      <c r="F5" s="87" t="s">
        <v>105</v>
      </c>
      <c r="G5" s="88">
        <v>1198205</v>
      </c>
      <c r="H5" s="88">
        <v>36954</v>
      </c>
      <c r="I5" s="87" t="s">
        <v>25</v>
      </c>
      <c r="J5" s="87" t="s">
        <v>153</v>
      </c>
      <c r="K5" s="89">
        <v>46160</v>
      </c>
      <c r="L5" s="75" t="s">
        <v>154</v>
      </c>
      <c r="M5" s="87" t="s">
        <v>101</v>
      </c>
      <c r="N5" s="90" t="s">
        <v>225</v>
      </c>
      <c r="O5" s="87" t="s">
        <v>150</v>
      </c>
      <c r="P5" s="87" t="s">
        <v>171</v>
      </c>
      <c r="Q5" s="91" t="s">
        <v>214</v>
      </c>
      <c r="R5" s="85" t="s">
        <v>82</v>
      </c>
    </row>
    <row r="6" spans="1:18" s="93" customFormat="1" ht="409.6" customHeight="1">
      <c r="A6" s="85">
        <v>3</v>
      </c>
      <c r="B6" s="75" t="s">
        <v>155</v>
      </c>
      <c r="C6" s="93" t="s">
        <v>156</v>
      </c>
      <c r="D6" s="87" t="s">
        <v>23</v>
      </c>
      <c r="E6" s="87" t="s">
        <v>157</v>
      </c>
      <c r="F6" s="87" t="s">
        <v>105</v>
      </c>
      <c r="G6" s="88">
        <v>2202014</v>
      </c>
      <c r="H6" s="94">
        <v>-166476</v>
      </c>
      <c r="I6" s="87" t="s">
        <v>158</v>
      </c>
      <c r="J6" s="87" t="s">
        <v>159</v>
      </c>
      <c r="K6" s="89">
        <v>46160</v>
      </c>
      <c r="L6" s="75" t="s">
        <v>226</v>
      </c>
      <c r="M6" s="87" t="s">
        <v>101</v>
      </c>
      <c r="N6" s="75" t="s">
        <v>227</v>
      </c>
      <c r="O6" s="87" t="s">
        <v>150</v>
      </c>
      <c r="P6" s="87" t="s">
        <v>101</v>
      </c>
      <c r="Q6" s="91" t="s">
        <v>215</v>
      </c>
      <c r="R6" s="85" t="s">
        <v>82</v>
      </c>
    </row>
    <row r="7" spans="1:18" s="93" customFormat="1" ht="57.6">
      <c r="A7" s="85">
        <v>4</v>
      </c>
      <c r="B7" s="75" t="s">
        <v>160</v>
      </c>
      <c r="C7" s="93" t="s">
        <v>161</v>
      </c>
      <c r="D7" s="87" t="s">
        <v>19</v>
      </c>
      <c r="E7" s="87" t="s">
        <v>162</v>
      </c>
      <c r="F7" s="87" t="s">
        <v>105</v>
      </c>
      <c r="G7" s="88">
        <v>607918</v>
      </c>
      <c r="H7" s="94">
        <v>-63948</v>
      </c>
      <c r="I7" s="87" t="s">
        <v>163</v>
      </c>
      <c r="J7" s="87" t="s">
        <v>164</v>
      </c>
      <c r="K7" s="89">
        <v>46161</v>
      </c>
      <c r="L7" s="75" t="s">
        <v>165</v>
      </c>
      <c r="M7" s="87" t="s">
        <v>101</v>
      </c>
      <c r="N7" s="75" t="s">
        <v>228</v>
      </c>
      <c r="O7" s="87" t="s">
        <v>150</v>
      </c>
      <c r="P7" s="87" t="s">
        <v>101</v>
      </c>
      <c r="Q7" s="91" t="s">
        <v>216</v>
      </c>
      <c r="R7" s="85" t="s">
        <v>82</v>
      </c>
    </row>
    <row r="8" spans="1:18" s="97" customFormat="1" ht="57.6">
      <c r="A8" s="85">
        <v>5</v>
      </c>
      <c r="B8" s="95" t="s">
        <v>166</v>
      </c>
      <c r="C8" s="96" t="s">
        <v>167</v>
      </c>
      <c r="D8" s="97" t="s">
        <v>19</v>
      </c>
      <c r="E8" s="97" t="s">
        <v>168</v>
      </c>
      <c r="F8" s="87" t="s">
        <v>105</v>
      </c>
      <c r="G8" s="94">
        <v>40124859</v>
      </c>
      <c r="H8" s="94">
        <v>1392967</v>
      </c>
      <c r="I8" s="87" t="s">
        <v>230</v>
      </c>
      <c r="J8" s="87" t="s">
        <v>169</v>
      </c>
      <c r="K8" s="89">
        <v>46161</v>
      </c>
      <c r="L8" s="98" t="s">
        <v>170</v>
      </c>
      <c r="M8" s="87" t="s">
        <v>101</v>
      </c>
      <c r="N8" s="75" t="s">
        <v>225</v>
      </c>
      <c r="O8" s="87" t="s">
        <v>150</v>
      </c>
      <c r="P8" s="87" t="s">
        <v>229</v>
      </c>
      <c r="Q8" s="91" t="s">
        <v>217</v>
      </c>
      <c r="R8" s="85" t="s">
        <v>144</v>
      </c>
    </row>
    <row r="9" spans="1:18" s="97" customFormat="1" ht="100.8">
      <c r="A9" s="85">
        <v>6</v>
      </c>
      <c r="B9" s="69" t="s">
        <v>172</v>
      </c>
      <c r="C9" s="96" t="s">
        <v>173</v>
      </c>
      <c r="D9" s="99" t="s">
        <v>22</v>
      </c>
      <c r="E9" s="97" t="s">
        <v>231</v>
      </c>
      <c r="F9" s="87" t="s">
        <v>105</v>
      </c>
      <c r="G9" s="94">
        <v>526875</v>
      </c>
      <c r="H9" s="94">
        <v>-163659</v>
      </c>
      <c r="I9" s="96" t="s">
        <v>25</v>
      </c>
      <c r="J9" s="96" t="s">
        <v>25</v>
      </c>
      <c r="K9" s="89">
        <v>46162</v>
      </c>
      <c r="L9" s="75" t="s">
        <v>174</v>
      </c>
      <c r="M9" s="87" t="s">
        <v>101</v>
      </c>
      <c r="N9" s="75" t="s">
        <v>175</v>
      </c>
      <c r="O9" s="87" t="s">
        <v>150</v>
      </c>
      <c r="P9" s="87" t="s">
        <v>101</v>
      </c>
      <c r="Q9" s="91" t="s">
        <v>101</v>
      </c>
      <c r="R9" s="85" t="s">
        <v>176</v>
      </c>
    </row>
    <row r="10" spans="1:18" s="97" customFormat="1" ht="188.4" customHeight="1">
      <c r="A10" s="85">
        <v>7</v>
      </c>
      <c r="B10" s="69" t="s">
        <v>177</v>
      </c>
      <c r="C10" s="96" t="s">
        <v>178</v>
      </c>
      <c r="D10" s="97" t="s">
        <v>23</v>
      </c>
      <c r="E10" s="97" t="s">
        <v>232</v>
      </c>
      <c r="F10" s="87" t="s">
        <v>105</v>
      </c>
      <c r="G10" s="94">
        <v>599552</v>
      </c>
      <c r="H10" s="94">
        <v>93031</v>
      </c>
      <c r="I10" s="97" t="s">
        <v>179</v>
      </c>
      <c r="J10" s="97" t="s">
        <v>179</v>
      </c>
      <c r="K10" s="89">
        <v>46162</v>
      </c>
      <c r="L10" s="75" t="s">
        <v>233</v>
      </c>
      <c r="M10" s="87" t="s">
        <v>101</v>
      </c>
      <c r="N10" s="75" t="s">
        <v>234</v>
      </c>
      <c r="O10" s="87" t="s">
        <v>150</v>
      </c>
      <c r="P10" s="87" t="s">
        <v>101</v>
      </c>
      <c r="Q10" s="91" t="s">
        <v>101</v>
      </c>
      <c r="R10" s="85" t="s">
        <v>82</v>
      </c>
    </row>
    <row r="11" spans="1:18" s="97" customFormat="1" ht="216">
      <c r="A11" s="85">
        <v>8</v>
      </c>
      <c r="B11" s="100" t="s">
        <v>180</v>
      </c>
      <c r="C11" s="96" t="s">
        <v>181</v>
      </c>
      <c r="D11" s="96" t="s">
        <v>19</v>
      </c>
      <c r="E11" s="96" t="s">
        <v>235</v>
      </c>
      <c r="F11" s="87" t="s">
        <v>105</v>
      </c>
      <c r="G11" s="94">
        <v>707655</v>
      </c>
      <c r="H11" s="94">
        <v>20153</v>
      </c>
      <c r="I11" s="96" t="s">
        <v>182</v>
      </c>
      <c r="J11" s="96" t="s">
        <v>182</v>
      </c>
      <c r="K11" s="89">
        <v>46162</v>
      </c>
      <c r="L11" s="75" t="s">
        <v>236</v>
      </c>
      <c r="M11" s="87" t="s">
        <v>101</v>
      </c>
      <c r="N11" s="75" t="s">
        <v>237</v>
      </c>
      <c r="O11" s="87" t="s">
        <v>150</v>
      </c>
      <c r="P11" s="87" t="s">
        <v>101</v>
      </c>
      <c r="Q11" s="91" t="s">
        <v>101</v>
      </c>
      <c r="R11" s="101" t="s">
        <v>82</v>
      </c>
    </row>
    <row r="12" spans="1:18" s="97" customFormat="1" ht="57.6">
      <c r="A12" s="85">
        <v>9</v>
      </c>
      <c r="B12" s="100" t="s">
        <v>183</v>
      </c>
      <c r="C12" s="96" t="s">
        <v>184</v>
      </c>
      <c r="D12" s="96" t="s">
        <v>19</v>
      </c>
      <c r="E12" s="96" t="s">
        <v>185</v>
      </c>
      <c r="F12" s="87" t="s">
        <v>105</v>
      </c>
      <c r="G12" s="102">
        <v>51428944</v>
      </c>
      <c r="H12" s="94">
        <v>2326825</v>
      </c>
      <c r="I12" s="96" t="s">
        <v>20</v>
      </c>
      <c r="J12" s="96" t="s">
        <v>194</v>
      </c>
      <c r="K12" s="89">
        <v>46162</v>
      </c>
      <c r="L12" s="75" t="s">
        <v>186</v>
      </c>
      <c r="M12" s="87" t="s">
        <v>101</v>
      </c>
      <c r="N12" s="75" t="s">
        <v>225</v>
      </c>
      <c r="O12" s="87" t="s">
        <v>150</v>
      </c>
      <c r="P12" s="87" t="s">
        <v>187</v>
      </c>
      <c r="Q12" s="91" t="s">
        <v>218</v>
      </c>
      <c r="R12" s="96" t="s">
        <v>188</v>
      </c>
    </row>
    <row r="13" spans="1:18" s="97" customFormat="1" ht="216">
      <c r="A13" s="85">
        <v>10</v>
      </c>
      <c r="B13" s="103" t="s">
        <v>189</v>
      </c>
      <c r="C13" s="96" t="s">
        <v>190</v>
      </c>
      <c r="D13" s="97" t="s">
        <v>191</v>
      </c>
      <c r="E13" s="97" t="s">
        <v>192</v>
      </c>
      <c r="F13" s="87" t="s">
        <v>105</v>
      </c>
      <c r="G13" s="94">
        <v>10148085</v>
      </c>
      <c r="H13" s="94">
        <v>1040358</v>
      </c>
      <c r="I13" s="96" t="s">
        <v>193</v>
      </c>
      <c r="J13" s="96" t="s">
        <v>193</v>
      </c>
      <c r="K13" s="89">
        <v>46162</v>
      </c>
      <c r="L13" s="75" t="s">
        <v>239</v>
      </c>
      <c r="M13" s="87" t="s">
        <v>101</v>
      </c>
      <c r="N13" s="75" t="s">
        <v>240</v>
      </c>
      <c r="O13" s="87" t="s">
        <v>150</v>
      </c>
      <c r="P13" s="87" t="s">
        <v>101</v>
      </c>
      <c r="Q13" s="91" t="s">
        <v>238</v>
      </c>
      <c r="R13" s="96" t="s">
        <v>176</v>
      </c>
    </row>
    <row r="14" spans="1:18" s="97" customFormat="1" ht="57.6">
      <c r="A14" s="85">
        <v>11</v>
      </c>
      <c r="B14" s="95" t="s">
        <v>241</v>
      </c>
      <c r="C14" s="96" t="s">
        <v>265</v>
      </c>
      <c r="D14" s="97" t="s">
        <v>26</v>
      </c>
      <c r="E14" s="97" t="s">
        <v>243</v>
      </c>
      <c r="F14" s="87" t="s">
        <v>266</v>
      </c>
      <c r="G14" s="94">
        <v>2197836</v>
      </c>
      <c r="H14" s="94">
        <v>117482</v>
      </c>
      <c r="I14" s="96" t="s">
        <v>41</v>
      </c>
      <c r="J14" s="96" t="s">
        <v>242</v>
      </c>
      <c r="K14" s="89">
        <v>46162</v>
      </c>
      <c r="L14" s="75" t="s">
        <v>273</v>
      </c>
      <c r="M14" s="87" t="s">
        <v>101</v>
      </c>
      <c r="N14" s="75" t="s">
        <v>225</v>
      </c>
      <c r="O14" s="87" t="s">
        <v>281</v>
      </c>
      <c r="P14" s="87" t="s">
        <v>244</v>
      </c>
      <c r="Q14" s="91" t="s">
        <v>101</v>
      </c>
      <c r="R14" s="96" t="s">
        <v>82</v>
      </c>
    </row>
    <row r="15" spans="1:18" s="97" customFormat="1" ht="57.6">
      <c r="A15" s="85">
        <v>12</v>
      </c>
      <c r="B15" s="100" t="s">
        <v>195</v>
      </c>
      <c r="C15" s="96" t="s">
        <v>196</v>
      </c>
      <c r="D15" s="99" t="s">
        <v>19</v>
      </c>
      <c r="E15" s="96" t="s">
        <v>197</v>
      </c>
      <c r="F15" s="87" t="s">
        <v>105</v>
      </c>
      <c r="G15" s="94">
        <v>788818</v>
      </c>
      <c r="H15" s="94">
        <v>-25915</v>
      </c>
      <c r="I15" s="96" t="s">
        <v>198</v>
      </c>
      <c r="J15" s="96" t="s">
        <v>199</v>
      </c>
      <c r="K15" s="89">
        <v>46163</v>
      </c>
      <c r="L15" s="75" t="s">
        <v>200</v>
      </c>
      <c r="M15" s="87" t="s">
        <v>101</v>
      </c>
      <c r="N15" s="98" t="s">
        <v>201</v>
      </c>
      <c r="O15" s="87" t="s">
        <v>150</v>
      </c>
      <c r="P15" s="87" t="s">
        <v>101</v>
      </c>
      <c r="Q15" s="91" t="s">
        <v>219</v>
      </c>
      <c r="R15" s="96" t="s">
        <v>83</v>
      </c>
    </row>
    <row r="16" spans="1:18" s="97" customFormat="1" ht="43.2">
      <c r="A16" s="85">
        <v>13</v>
      </c>
      <c r="B16" s="100" t="s">
        <v>202</v>
      </c>
      <c r="C16" s="96" t="s">
        <v>203</v>
      </c>
      <c r="D16" s="99" t="s">
        <v>22</v>
      </c>
      <c r="E16" s="96" t="s">
        <v>204</v>
      </c>
      <c r="F16" s="87" t="s">
        <v>105</v>
      </c>
      <c r="G16" s="94">
        <v>11711707</v>
      </c>
      <c r="H16" s="94">
        <v>1320677</v>
      </c>
      <c r="I16" s="97" t="s">
        <v>24</v>
      </c>
      <c r="J16" s="96" t="s">
        <v>24</v>
      </c>
      <c r="K16" s="89">
        <v>46163</v>
      </c>
      <c r="L16" s="75" t="s">
        <v>205</v>
      </c>
      <c r="M16" s="87" t="s">
        <v>101</v>
      </c>
      <c r="N16" s="75" t="s">
        <v>225</v>
      </c>
      <c r="O16" s="87" t="s">
        <v>150</v>
      </c>
      <c r="P16" s="87" t="s">
        <v>206</v>
      </c>
      <c r="Q16" s="91" t="s">
        <v>101</v>
      </c>
      <c r="R16" s="96" t="s">
        <v>188</v>
      </c>
    </row>
    <row r="17" spans="1:18" s="97" customFormat="1" ht="86.4">
      <c r="A17" s="85">
        <v>14</v>
      </c>
      <c r="B17" s="104" t="s">
        <v>207</v>
      </c>
      <c r="C17" s="105" t="s">
        <v>208</v>
      </c>
      <c r="D17" s="99" t="s">
        <v>209</v>
      </c>
      <c r="E17" s="96" t="s">
        <v>210</v>
      </c>
      <c r="F17" s="87" t="s">
        <v>105</v>
      </c>
      <c r="G17" s="94">
        <v>1710731</v>
      </c>
      <c r="H17" s="94">
        <v>182088</v>
      </c>
      <c r="I17" s="96" t="s">
        <v>211</v>
      </c>
      <c r="J17" s="96" t="s">
        <v>212</v>
      </c>
      <c r="K17" s="89">
        <v>46163</v>
      </c>
      <c r="L17" s="75" t="s">
        <v>213</v>
      </c>
      <c r="M17" s="87" t="s">
        <v>101</v>
      </c>
      <c r="N17" s="75" t="s">
        <v>246</v>
      </c>
      <c r="O17" s="87" t="s">
        <v>150</v>
      </c>
      <c r="P17" s="87" t="s">
        <v>101</v>
      </c>
      <c r="Q17" s="91" t="s">
        <v>245</v>
      </c>
      <c r="R17" s="96" t="s">
        <v>82</v>
      </c>
    </row>
    <row r="18" spans="1:18" s="97" customFormat="1" ht="57.6">
      <c r="A18" s="85">
        <v>15</v>
      </c>
      <c r="B18" s="106" t="s">
        <v>247</v>
      </c>
      <c r="C18" s="105" t="s">
        <v>251</v>
      </c>
      <c r="D18" s="96" t="s">
        <v>27</v>
      </c>
      <c r="E18" s="96" t="s">
        <v>274</v>
      </c>
      <c r="F18" s="87" t="s">
        <v>105</v>
      </c>
      <c r="G18" s="94">
        <v>1560153</v>
      </c>
      <c r="H18" s="94">
        <v>-566202</v>
      </c>
      <c r="I18" s="96" t="s">
        <v>252</v>
      </c>
      <c r="J18" s="96" t="s">
        <v>142</v>
      </c>
      <c r="K18" s="89">
        <v>46164</v>
      </c>
      <c r="L18" s="75" t="s">
        <v>253</v>
      </c>
      <c r="M18" s="87" t="s">
        <v>101</v>
      </c>
      <c r="N18" s="75" t="s">
        <v>225</v>
      </c>
      <c r="O18" s="87" t="s">
        <v>150</v>
      </c>
      <c r="P18" s="87" t="s">
        <v>254</v>
      </c>
      <c r="Q18" s="91" t="s">
        <v>101</v>
      </c>
      <c r="R18" s="96" t="s">
        <v>145</v>
      </c>
    </row>
    <row r="19" spans="1:18" s="97" customFormat="1" ht="57.6">
      <c r="A19" s="85">
        <v>16</v>
      </c>
      <c r="B19" s="107" t="s">
        <v>248</v>
      </c>
      <c r="C19" s="105" t="s">
        <v>255</v>
      </c>
      <c r="D19" s="96" t="s">
        <v>27</v>
      </c>
      <c r="E19" s="96" t="s">
        <v>275</v>
      </c>
      <c r="F19" s="87" t="s">
        <v>105</v>
      </c>
      <c r="G19" s="94">
        <v>471423</v>
      </c>
      <c r="H19" s="94">
        <v>33390</v>
      </c>
      <c r="I19" s="97" t="s">
        <v>256</v>
      </c>
      <c r="J19" s="97" t="s">
        <v>256</v>
      </c>
      <c r="K19" s="89">
        <v>46164</v>
      </c>
      <c r="L19" s="98" t="s">
        <v>257</v>
      </c>
      <c r="M19" s="87" t="s">
        <v>101</v>
      </c>
      <c r="N19" s="75" t="s">
        <v>276</v>
      </c>
      <c r="O19" s="87" t="s">
        <v>150</v>
      </c>
      <c r="P19" s="87" t="s">
        <v>101</v>
      </c>
      <c r="Q19" s="91" t="s">
        <v>277</v>
      </c>
      <c r="R19" s="96" t="s">
        <v>83</v>
      </c>
    </row>
    <row r="20" spans="1:18" s="97" customFormat="1" ht="244.8">
      <c r="A20" s="85">
        <v>17</v>
      </c>
      <c r="B20" s="100" t="s">
        <v>249</v>
      </c>
      <c r="C20" s="96" t="s">
        <v>258</v>
      </c>
      <c r="D20" s="96" t="s">
        <v>27</v>
      </c>
      <c r="E20" s="96" t="s">
        <v>259</v>
      </c>
      <c r="F20" s="87" t="s">
        <v>105</v>
      </c>
      <c r="G20" s="94">
        <v>3388124</v>
      </c>
      <c r="H20" s="94">
        <v>36591</v>
      </c>
      <c r="I20" s="97" t="s">
        <v>252</v>
      </c>
      <c r="J20" s="97" t="s">
        <v>260</v>
      </c>
      <c r="K20" s="89">
        <v>46164</v>
      </c>
      <c r="L20" s="75" t="s">
        <v>278</v>
      </c>
      <c r="M20" s="87" t="s">
        <v>101</v>
      </c>
      <c r="N20" s="75" t="s">
        <v>279</v>
      </c>
      <c r="O20" s="87" t="s">
        <v>150</v>
      </c>
      <c r="P20" s="87" t="s">
        <v>101</v>
      </c>
      <c r="Q20" s="91" t="s">
        <v>267</v>
      </c>
      <c r="R20" s="96" t="s">
        <v>82</v>
      </c>
    </row>
    <row r="21" spans="1:18" s="97" customFormat="1" ht="86.4">
      <c r="A21" s="85">
        <v>18</v>
      </c>
      <c r="B21" s="106" t="s">
        <v>250</v>
      </c>
      <c r="C21" s="97" t="s">
        <v>261</v>
      </c>
      <c r="D21" s="96" t="s">
        <v>19</v>
      </c>
      <c r="E21" s="96" t="s">
        <v>262</v>
      </c>
      <c r="F21" s="87" t="s">
        <v>105</v>
      </c>
      <c r="G21" s="94">
        <v>6774271</v>
      </c>
      <c r="H21" s="94">
        <v>-245922</v>
      </c>
      <c r="I21" s="96" t="s">
        <v>263</v>
      </c>
      <c r="J21" s="96" t="s">
        <v>263</v>
      </c>
      <c r="K21" s="89">
        <v>46164</v>
      </c>
      <c r="L21" s="98" t="s">
        <v>264</v>
      </c>
      <c r="M21" s="87" t="s">
        <v>101</v>
      </c>
      <c r="N21" s="75" t="s">
        <v>280</v>
      </c>
      <c r="O21" s="87" t="s">
        <v>150</v>
      </c>
      <c r="P21" s="87" t="s">
        <v>101</v>
      </c>
      <c r="Q21" s="91" t="s">
        <v>268</v>
      </c>
      <c r="R21" s="96" t="s">
        <v>84</v>
      </c>
    </row>
    <row r="22" spans="1:18" s="97" customFormat="1">
      <c r="A22" s="85"/>
      <c r="B22" s="106"/>
      <c r="C22" s="96"/>
      <c r="D22" s="96"/>
      <c r="E22" s="96"/>
      <c r="F22" s="87"/>
      <c r="G22" s="94"/>
      <c r="H22" s="94"/>
      <c r="I22" s="96"/>
      <c r="J22" s="96"/>
      <c r="K22" s="89"/>
      <c r="L22" s="98"/>
      <c r="M22" s="87"/>
      <c r="N22" s="75"/>
      <c r="O22" s="87"/>
      <c r="P22" s="87"/>
      <c r="Q22" s="93"/>
      <c r="R22" s="96"/>
    </row>
    <row r="23" spans="1:18" s="97" customFormat="1">
      <c r="A23" s="85"/>
      <c r="B23" s="106"/>
      <c r="C23" s="96"/>
      <c r="D23" s="96"/>
      <c r="E23" s="96"/>
      <c r="F23" s="87"/>
      <c r="G23" s="94"/>
      <c r="H23" s="94"/>
      <c r="I23" s="96"/>
      <c r="J23" s="96"/>
      <c r="K23" s="89"/>
      <c r="L23" s="98"/>
      <c r="M23" s="87"/>
      <c r="N23" s="75"/>
      <c r="O23" s="87"/>
      <c r="P23" s="87"/>
      <c r="Q23" s="93"/>
      <c r="R23" s="96"/>
    </row>
    <row r="24" spans="1:18">
      <c r="A24" s="56"/>
      <c r="C24" s="68"/>
      <c r="D24" s="42"/>
      <c r="E24" s="46"/>
      <c r="F24" s="59"/>
      <c r="G24" s="52"/>
      <c r="H24" s="52"/>
      <c r="I24" s="46"/>
      <c r="J24" s="46"/>
      <c r="K24" s="58"/>
      <c r="L24" s="49"/>
      <c r="M24" s="59"/>
      <c r="N24" s="70"/>
      <c r="O24" s="59"/>
      <c r="P24" s="59"/>
      <c r="Q24" s="57"/>
      <c r="R24" s="46"/>
    </row>
    <row r="25" spans="1:18">
      <c r="A25" s="56"/>
      <c r="C25" s="68"/>
      <c r="D25" s="42"/>
      <c r="E25" s="46"/>
      <c r="F25" s="59"/>
      <c r="G25" s="52"/>
      <c r="H25" s="52"/>
      <c r="I25" s="46"/>
      <c r="J25" s="46"/>
      <c r="K25" s="58"/>
      <c r="L25" s="49"/>
      <c r="M25" s="59"/>
      <c r="N25" s="49"/>
      <c r="O25" s="59"/>
      <c r="P25" s="46"/>
      <c r="Q25" s="42"/>
      <c r="R25" s="46"/>
    </row>
    <row r="26" spans="1:18">
      <c r="A26" s="56"/>
      <c r="B26" s="48"/>
      <c r="C26" s="46"/>
      <c r="D26" s="42"/>
      <c r="E26" s="46"/>
      <c r="F26" s="59"/>
      <c r="G26" s="71"/>
      <c r="H26" s="52"/>
      <c r="I26" s="46"/>
      <c r="J26" s="46"/>
      <c r="K26" s="58"/>
      <c r="L26" s="51"/>
      <c r="M26" s="59"/>
      <c r="N26" s="70"/>
      <c r="O26" s="59"/>
      <c r="Q26" s="57"/>
      <c r="R26" s="46"/>
    </row>
    <row r="27" spans="1:18">
      <c r="A27" s="56"/>
      <c r="B27" s="48"/>
      <c r="C27" s="72"/>
      <c r="D27" s="46"/>
      <c r="F27" s="59"/>
      <c r="G27" s="71"/>
      <c r="H27" s="52"/>
      <c r="I27" s="46"/>
      <c r="J27" s="46"/>
      <c r="K27" s="58"/>
      <c r="L27" s="49"/>
      <c r="M27" s="59"/>
      <c r="N27" s="49"/>
      <c r="O27" s="59"/>
      <c r="P27" s="46"/>
      <c r="Q27" s="57"/>
      <c r="R27" s="46"/>
    </row>
    <row r="28" spans="1:18">
      <c r="A28" s="45"/>
      <c r="B28" s="48"/>
      <c r="C28" s="46"/>
      <c r="D28" s="46"/>
      <c r="E28" s="46"/>
      <c r="F28" s="59"/>
      <c r="G28" s="52"/>
      <c r="H28" s="52"/>
      <c r="I28" s="46"/>
      <c r="J28" s="46"/>
      <c r="K28" s="58"/>
      <c r="L28" s="49"/>
      <c r="M28" s="59"/>
      <c r="N28" s="70"/>
      <c r="O28" s="59"/>
      <c r="P28" s="46"/>
      <c r="Q28" s="46"/>
      <c r="R28" s="46"/>
    </row>
    <row r="29" spans="1:18">
      <c r="A29" s="56"/>
      <c r="B29" s="48"/>
      <c r="C29" s="46"/>
      <c r="D29" s="46"/>
      <c r="E29" s="46"/>
      <c r="F29" s="59"/>
      <c r="G29" s="52"/>
      <c r="H29" s="52"/>
      <c r="I29" s="46"/>
      <c r="J29" s="46"/>
      <c r="K29" s="58"/>
      <c r="L29" s="84"/>
      <c r="M29" s="59"/>
      <c r="N29" s="70"/>
      <c r="O29" s="59"/>
      <c r="P29" s="46"/>
      <c r="Q29" s="57"/>
      <c r="R29" s="46"/>
    </row>
    <row r="30" spans="1:18">
      <c r="A30" s="56"/>
      <c r="B30" s="69"/>
      <c r="C30" s="68"/>
      <c r="D30" s="46"/>
      <c r="E30" s="46"/>
      <c r="F30" s="59"/>
      <c r="G30" s="52"/>
      <c r="H30" s="52"/>
      <c r="I30" s="46"/>
      <c r="J30" s="46"/>
      <c r="K30" s="58"/>
      <c r="L30" s="49"/>
      <c r="M30" s="59"/>
      <c r="N30" s="49"/>
      <c r="O30" s="59"/>
      <c r="P30" s="50"/>
      <c r="Q30" s="42"/>
      <c r="R30" s="46"/>
    </row>
    <row r="31" spans="1:18">
      <c r="A31" s="45"/>
      <c r="B31" s="69"/>
      <c r="C31" s="46"/>
      <c r="D31" s="46"/>
      <c r="E31" s="46"/>
      <c r="F31" s="59"/>
      <c r="G31" s="52"/>
      <c r="H31" s="52"/>
      <c r="I31" s="46"/>
      <c r="J31" s="46"/>
      <c r="K31" s="58"/>
      <c r="L31" s="84"/>
      <c r="M31" s="59"/>
      <c r="N31" s="49"/>
      <c r="O31" s="46"/>
      <c r="P31" s="46"/>
      <c r="Q31" s="42"/>
      <c r="R31" s="46"/>
    </row>
    <row r="32" spans="1:18">
      <c r="A32" s="56"/>
      <c r="B32" s="69"/>
      <c r="C32" s="46"/>
      <c r="D32" s="46"/>
      <c r="E32" s="46"/>
      <c r="F32" s="47"/>
      <c r="G32" s="52"/>
      <c r="H32" s="52"/>
      <c r="I32" s="46"/>
      <c r="J32" s="46"/>
      <c r="K32" s="58"/>
      <c r="L32" s="49"/>
      <c r="M32" s="47"/>
      <c r="N32" s="84"/>
      <c r="O32" s="46"/>
      <c r="P32" s="50"/>
      <c r="Q32" s="46"/>
      <c r="R32" s="46"/>
    </row>
    <row r="33" spans="1:18">
      <c r="A33" s="56"/>
      <c r="B33" s="69"/>
      <c r="C33" s="46"/>
      <c r="D33" s="46"/>
      <c r="E33" s="46"/>
      <c r="F33" s="47"/>
      <c r="G33" s="52"/>
      <c r="H33" s="52"/>
      <c r="I33" s="46"/>
      <c r="J33" s="46"/>
      <c r="K33" s="58"/>
      <c r="L33" s="49"/>
      <c r="M33" s="47"/>
      <c r="N33" s="49"/>
      <c r="O33" s="46"/>
      <c r="P33" s="46"/>
      <c r="Q33" s="42"/>
      <c r="R33" s="46"/>
    </row>
    <row r="34" spans="1:18">
      <c r="A34" s="45"/>
      <c r="B34" s="48"/>
      <c r="C34" s="46"/>
      <c r="D34" s="46"/>
      <c r="E34" s="46"/>
      <c r="F34" s="46"/>
      <c r="G34" s="52"/>
      <c r="H34" s="52"/>
      <c r="I34" s="46"/>
      <c r="J34" s="46"/>
      <c r="K34" s="58"/>
      <c r="L34" s="49"/>
      <c r="M34" s="46"/>
      <c r="N34" s="49"/>
      <c r="O34" s="46"/>
      <c r="P34" s="46"/>
      <c r="Q34" s="46"/>
      <c r="R34" s="46"/>
    </row>
    <row r="35" spans="1:18">
      <c r="A35" s="56"/>
      <c r="B35" s="48"/>
      <c r="C35" s="46"/>
      <c r="D35" s="46"/>
      <c r="E35" s="46"/>
      <c r="F35" s="47"/>
      <c r="G35" s="52"/>
      <c r="H35" s="52"/>
      <c r="I35" s="46"/>
      <c r="J35" s="46"/>
      <c r="K35" s="58"/>
      <c r="L35" s="49"/>
      <c r="M35" s="46"/>
      <c r="N35" s="49"/>
      <c r="O35" s="46"/>
      <c r="P35" s="46"/>
      <c r="Q35" s="42"/>
      <c r="R35" s="46"/>
    </row>
    <row r="36" spans="1:18">
      <c r="A36" s="56"/>
      <c r="B36" s="48"/>
      <c r="C36" s="46"/>
      <c r="D36" s="46"/>
      <c r="E36" s="46"/>
      <c r="F36" s="46"/>
      <c r="G36" s="52"/>
      <c r="H36" s="52"/>
      <c r="I36" s="46"/>
      <c r="J36" s="46"/>
      <c r="K36" s="58"/>
      <c r="L36" s="49"/>
      <c r="M36" s="46"/>
      <c r="N36" s="49"/>
      <c r="O36" s="46"/>
      <c r="P36" s="50"/>
      <c r="Q36" s="46"/>
      <c r="R36" s="46"/>
    </row>
    <row r="37" spans="1:18">
      <c r="A37" s="45"/>
      <c r="B37" s="48"/>
      <c r="C37" s="46"/>
      <c r="D37" s="46"/>
      <c r="E37" s="46"/>
      <c r="F37" s="47"/>
      <c r="G37" s="52"/>
      <c r="H37" s="52"/>
      <c r="I37" s="46"/>
      <c r="J37" s="46"/>
      <c r="K37" s="58"/>
      <c r="L37" s="49"/>
      <c r="M37" s="46"/>
      <c r="N37" s="49"/>
      <c r="O37" s="46"/>
      <c r="P37" s="46"/>
      <c r="Q37" s="46"/>
      <c r="R37" s="46"/>
    </row>
    <row r="38" spans="1:18">
      <c r="A38" s="56"/>
      <c r="B38" s="48"/>
      <c r="C38" s="46"/>
      <c r="D38" s="46"/>
      <c r="E38" s="46"/>
      <c r="F38" s="46"/>
      <c r="G38" s="52"/>
      <c r="H38" s="52"/>
      <c r="I38" s="46"/>
      <c r="J38" s="46"/>
      <c r="K38" s="58"/>
      <c r="L38" s="49"/>
      <c r="M38" s="46"/>
      <c r="N38" s="49"/>
      <c r="O38" s="46"/>
      <c r="P38" s="46"/>
      <c r="Q38" s="42"/>
      <c r="R38" s="46"/>
    </row>
    <row r="39" spans="1:18">
      <c r="A39" s="56"/>
      <c r="B39" s="48"/>
      <c r="C39" s="46"/>
      <c r="D39" s="42"/>
      <c r="E39" s="46"/>
      <c r="F39" s="47"/>
      <c r="G39" s="52"/>
      <c r="H39" s="52"/>
      <c r="I39" s="46"/>
      <c r="K39" s="58"/>
      <c r="L39" s="49"/>
      <c r="M39" s="46"/>
      <c r="N39" s="49"/>
      <c r="O39" s="46"/>
      <c r="P39" s="46"/>
      <c r="Q39" s="46"/>
      <c r="R39" s="46"/>
    </row>
    <row r="40" spans="1:18">
      <c r="A40" s="45"/>
      <c r="B40" s="48"/>
      <c r="C40" s="46"/>
      <c r="E40" s="46"/>
      <c r="F40" s="46"/>
      <c r="G40" s="52"/>
      <c r="H40" s="52"/>
      <c r="I40" s="46"/>
      <c r="J40" s="46"/>
      <c r="K40" s="58"/>
      <c r="L40" s="49"/>
      <c r="M40" s="46"/>
      <c r="N40" s="49"/>
      <c r="O40" s="46"/>
      <c r="P40" s="46"/>
      <c r="Q40" s="42"/>
      <c r="R40" s="46"/>
    </row>
    <row r="41" spans="1:18">
      <c r="A41" s="56"/>
      <c r="F41" s="46"/>
      <c r="G41" s="52"/>
      <c r="H41" s="52"/>
      <c r="K41" s="58"/>
      <c r="M41" s="46"/>
      <c r="P41" s="46"/>
    </row>
    <row r="42" spans="1:18">
      <c r="A42" s="56"/>
      <c r="F42" s="46"/>
      <c r="G42" s="52"/>
      <c r="H42" s="52"/>
      <c r="K42" s="58"/>
      <c r="Q42" s="42"/>
    </row>
    <row r="43" spans="1:18">
      <c r="A43" s="45"/>
      <c r="F43" s="46"/>
      <c r="G43" s="52"/>
      <c r="H43" s="52"/>
      <c r="K43" s="58"/>
    </row>
    <row r="44" spans="1:18">
      <c r="A44" s="56"/>
      <c r="D44" s="46"/>
      <c r="F44" s="46"/>
      <c r="G44" s="52"/>
      <c r="H44" s="52"/>
      <c r="K44" s="58"/>
      <c r="P44" s="46"/>
      <c r="Q44" s="42"/>
    </row>
    <row r="45" spans="1:18">
      <c r="A45" s="56"/>
      <c r="D45" s="46"/>
      <c r="F45" s="47"/>
      <c r="G45" s="52"/>
      <c r="H45" s="52"/>
      <c r="K45" s="46"/>
      <c r="P45" s="46"/>
    </row>
    <row r="46" spans="1:18">
      <c r="A46" s="45"/>
      <c r="F46" s="46"/>
      <c r="G46" s="52"/>
      <c r="H46" s="52"/>
      <c r="K46" s="46"/>
    </row>
    <row r="47" spans="1:18">
      <c r="A47" s="45"/>
      <c r="F47" s="47"/>
      <c r="G47" s="52"/>
      <c r="H47" s="52"/>
      <c r="K47" s="46"/>
    </row>
    <row r="48" spans="1:18">
      <c r="A48" s="45"/>
      <c r="D48" s="46"/>
      <c r="F48" s="46"/>
      <c r="G48" s="52"/>
      <c r="H48" s="52"/>
      <c r="K48" s="46"/>
      <c r="P48" s="46"/>
    </row>
    <row r="49" spans="1:11">
      <c r="A49" s="45"/>
      <c r="D49" s="42"/>
      <c r="F49" s="47"/>
      <c r="G49" s="52"/>
      <c r="H49" s="52"/>
      <c r="K49" s="46"/>
    </row>
    <row r="50" spans="1:11">
      <c r="A50" s="45"/>
      <c r="D50" s="42"/>
      <c r="F50" s="46"/>
      <c r="G50" s="52"/>
      <c r="H50" s="52"/>
      <c r="K50" s="46"/>
    </row>
    <row r="51" spans="1:11">
      <c r="A51" s="45"/>
      <c r="D51" s="42"/>
      <c r="F51" s="47"/>
      <c r="G51" s="52"/>
      <c r="H51" s="52"/>
      <c r="K51" s="46"/>
    </row>
    <row r="52" spans="1:11">
      <c r="A52" s="45"/>
      <c r="F52" s="46"/>
    </row>
  </sheetData>
  <autoFilter ref="A1:Q56" xr:uid="{6BBDE227-B7D7-48A7-9E4B-21B2DF4365C4}"/>
  <mergeCells count="18">
    <mergeCell ref="M1:M3"/>
    <mergeCell ref="L1:L3"/>
    <mergeCell ref="A1:A3"/>
    <mergeCell ref="B1:B3"/>
    <mergeCell ref="C1:C3"/>
    <mergeCell ref="D1:D3"/>
    <mergeCell ref="E1:E3"/>
    <mergeCell ref="F1:F3"/>
    <mergeCell ref="G1:G2"/>
    <mergeCell ref="H1:H2"/>
    <mergeCell ref="I1:I3"/>
    <mergeCell ref="J1:J3"/>
    <mergeCell ref="K1:K3"/>
    <mergeCell ref="N1:N3"/>
    <mergeCell ref="O1:O3"/>
    <mergeCell ref="P1:P3"/>
    <mergeCell ref="Q1:Q3"/>
    <mergeCell ref="R1:R3"/>
  </mergeCells>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69F7E-C56A-4D95-B18E-B029A162FF30}">
  <dimension ref="A1:R3"/>
  <sheetViews>
    <sheetView workbookViewId="0">
      <selection activeCell="A3" sqref="A3:R4"/>
    </sheetView>
  </sheetViews>
  <sheetFormatPr defaultRowHeight="14.4"/>
  <cols>
    <col min="1" max="1" width="8.77734375" bestFit="1" customWidth="1"/>
    <col min="2" max="2" width="19.21875" bestFit="1" customWidth="1"/>
    <col min="3" max="3" width="27.77734375" bestFit="1" customWidth="1"/>
    <col min="4" max="4" width="8.77734375" bestFit="1" customWidth="1"/>
    <col min="5" max="5" width="10.21875" bestFit="1" customWidth="1"/>
    <col min="6" max="7" width="10.77734375" bestFit="1" customWidth="1"/>
    <col min="8" max="8" width="17.44140625" bestFit="1" customWidth="1"/>
    <col min="9" max="9" width="10.21875" bestFit="1" customWidth="1"/>
    <col min="10" max="10" width="19.77734375" bestFit="1" customWidth="1"/>
    <col min="11" max="11" width="23.5546875" bestFit="1" customWidth="1"/>
    <col min="12" max="12" width="24.77734375" bestFit="1" customWidth="1"/>
    <col min="13" max="13" width="21.21875" bestFit="1" customWidth="1"/>
    <col min="14" max="14" width="16.21875" bestFit="1" customWidth="1"/>
    <col min="15" max="15" width="13.21875" bestFit="1" customWidth="1"/>
    <col min="16" max="16" width="10.44140625" bestFit="1" customWidth="1"/>
    <col min="17" max="17" width="11.44140625" bestFit="1" customWidth="1"/>
    <col min="18" max="18" width="9.77734375" bestFit="1" customWidth="1"/>
  </cols>
  <sheetData>
    <row r="1" spans="1:18">
      <c r="A1" s="67" t="s">
        <v>116</v>
      </c>
    </row>
    <row r="3" spans="1:18">
      <c r="A3" t="s">
        <v>0</v>
      </c>
      <c r="B3" t="s">
        <v>1</v>
      </c>
      <c r="C3" t="s">
        <v>2</v>
      </c>
      <c r="D3" t="s">
        <v>3</v>
      </c>
      <c r="E3" t="s">
        <v>4</v>
      </c>
      <c r="F3" t="s">
        <v>5</v>
      </c>
      <c r="G3" t="s">
        <v>6</v>
      </c>
      <c r="H3" t="s">
        <v>7</v>
      </c>
      <c r="I3" t="s">
        <v>8</v>
      </c>
      <c r="J3" t="s">
        <v>9</v>
      </c>
      <c r="K3" t="s">
        <v>10</v>
      </c>
      <c r="L3" t="s">
        <v>11</v>
      </c>
      <c r="M3" t="s">
        <v>12</v>
      </c>
      <c r="N3" t="s">
        <v>13</v>
      </c>
      <c r="O3" t="s">
        <v>14</v>
      </c>
      <c r="P3" t="s">
        <v>15</v>
      </c>
      <c r="Q3" t="s">
        <v>16</v>
      </c>
      <c r="R3" t="s">
        <v>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C745A-AAD3-477B-AF4A-E0BDC3F8465A}">
  <dimension ref="A3:G12"/>
  <sheetViews>
    <sheetView topLeftCell="A2" workbookViewId="0">
      <selection activeCell="Q2" sqref="Q2:R10"/>
    </sheetView>
  </sheetViews>
  <sheetFormatPr defaultRowHeight="14.4"/>
  <cols>
    <col min="1" max="1" width="24.109375" bestFit="1" customWidth="1"/>
    <col min="2" max="2" width="15.21875" bestFit="1" customWidth="1"/>
    <col min="3" max="3" width="4.5546875" bestFit="1" customWidth="1"/>
    <col min="4" max="4" width="6.77734375" bestFit="1" customWidth="1"/>
    <col min="5" max="5" width="8.77734375" bestFit="1" customWidth="1"/>
    <col min="6" max="6" width="27.21875" bestFit="1" customWidth="1"/>
    <col min="7" max="8" width="10.77734375" bestFit="1" customWidth="1"/>
  </cols>
  <sheetData>
    <row r="3" spans="1:7">
      <c r="A3" s="36" t="s">
        <v>117</v>
      </c>
      <c r="B3" s="36" t="s">
        <v>102</v>
      </c>
    </row>
    <row r="4" spans="1:7">
      <c r="A4" s="36" t="s">
        <v>98</v>
      </c>
      <c r="B4" t="s">
        <v>23</v>
      </c>
      <c r="C4" t="s">
        <v>19</v>
      </c>
      <c r="D4" t="s">
        <v>99</v>
      </c>
      <c r="E4" t="s">
        <v>18</v>
      </c>
      <c r="F4" t="s">
        <v>27</v>
      </c>
      <c r="G4" t="s">
        <v>35</v>
      </c>
    </row>
    <row r="5" spans="1:7">
      <c r="A5" s="27" t="s">
        <v>24</v>
      </c>
      <c r="E5">
        <v>1</v>
      </c>
      <c r="G5">
        <v>1</v>
      </c>
    </row>
    <row r="6" spans="1:7">
      <c r="A6" s="27" t="s">
        <v>99</v>
      </c>
    </row>
    <row r="7" spans="1:7">
      <c r="A7" s="27" t="s">
        <v>141</v>
      </c>
      <c r="F7">
        <v>1</v>
      </c>
      <c r="G7">
        <v>1</v>
      </c>
    </row>
    <row r="8" spans="1:7">
      <c r="A8" s="27" t="s">
        <v>142</v>
      </c>
      <c r="F8">
        <v>1</v>
      </c>
      <c r="G8">
        <v>1</v>
      </c>
    </row>
    <row r="9" spans="1:7">
      <c r="A9" s="27" t="s">
        <v>143</v>
      </c>
      <c r="E9">
        <v>1</v>
      </c>
      <c r="G9">
        <v>1</v>
      </c>
    </row>
    <row r="10" spans="1:7">
      <c r="A10" s="27" t="s">
        <v>25</v>
      </c>
      <c r="C10">
        <v>1</v>
      </c>
      <c r="G10">
        <v>1</v>
      </c>
    </row>
    <row r="11" spans="1:7">
      <c r="A11" s="27" t="s">
        <v>146</v>
      </c>
      <c r="B11">
        <v>1</v>
      </c>
      <c r="G11">
        <v>1</v>
      </c>
    </row>
    <row r="12" spans="1:7">
      <c r="A12" s="27" t="s">
        <v>35</v>
      </c>
      <c r="B12">
        <v>1</v>
      </c>
      <c r="C12">
        <v>1</v>
      </c>
      <c r="E12">
        <v>2</v>
      </c>
      <c r="F12">
        <v>2</v>
      </c>
      <c r="G12">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5922E-8F57-461B-AC47-BF0F450094E8}">
  <dimension ref="A1:C12"/>
  <sheetViews>
    <sheetView workbookViewId="0"/>
  </sheetViews>
  <sheetFormatPr defaultRowHeight="14.4"/>
  <cols>
    <col min="1" max="1" width="15.109375" bestFit="1" customWidth="1"/>
    <col min="2" max="2" width="5.21875" bestFit="1" customWidth="1"/>
    <col min="3" max="3" width="7.88671875" bestFit="1" customWidth="1"/>
  </cols>
  <sheetData>
    <row r="1" spans="1:3">
      <c r="A1" s="73" t="s">
        <v>121</v>
      </c>
    </row>
    <row r="2" spans="1:3">
      <c r="A2" s="74" t="s">
        <v>122</v>
      </c>
      <c r="B2" s="74" t="s">
        <v>123</v>
      </c>
      <c r="C2" s="74" t="s">
        <v>124</v>
      </c>
    </row>
    <row r="4" spans="1:3">
      <c r="A4" s="73" t="s">
        <v>125</v>
      </c>
    </row>
    <row r="5" spans="1:3">
      <c r="A5" s="74" t="s">
        <v>122</v>
      </c>
      <c r="B5" s="74" t="s">
        <v>126</v>
      </c>
      <c r="C5" s="74" t="s">
        <v>124</v>
      </c>
    </row>
    <row r="8" spans="1:3">
      <c r="A8" s="73" t="s">
        <v>127</v>
      </c>
      <c r="B8" t="s">
        <v>128</v>
      </c>
    </row>
    <row r="9" spans="1:3">
      <c r="B9" t="s">
        <v>129</v>
      </c>
    </row>
    <row r="11" spans="1:3">
      <c r="B11" t="s">
        <v>130</v>
      </c>
    </row>
    <row r="12" spans="1:3">
      <c r="B12" t="s">
        <v>131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91404-29D7-4DBB-BDD0-46C23997626D}">
  <dimension ref="A1:AA39"/>
  <sheetViews>
    <sheetView zoomScale="89" zoomScaleNormal="85" workbookViewId="0">
      <pane xSplit="1" ySplit="2" topLeftCell="B3" activePane="bottomRight" state="frozen"/>
      <selection pane="topRight" activeCell="B1" sqref="B1"/>
      <selection pane="bottomLeft" activeCell="A3" sqref="A3"/>
      <selection pane="bottomRight" activeCell="O33" sqref="O33"/>
    </sheetView>
  </sheetViews>
  <sheetFormatPr defaultRowHeight="14.4"/>
  <cols>
    <col min="1" max="1" width="16.21875" bestFit="1" customWidth="1"/>
    <col min="2" max="2" width="11.44140625" customWidth="1"/>
    <col min="3" max="3" width="12.5546875" customWidth="1"/>
    <col min="4" max="4" width="9.77734375" customWidth="1"/>
    <col min="5" max="5" width="9.5546875" customWidth="1"/>
    <col min="7" max="7" width="12.44140625" customWidth="1"/>
    <col min="9" max="9" width="14.77734375" customWidth="1"/>
    <col min="10" max="10" width="9.77734375" customWidth="1"/>
    <col min="16" max="16" width="2.44140625" customWidth="1"/>
    <col min="17" max="17" width="21.33203125" bestFit="1" customWidth="1"/>
    <col min="18" max="18" width="29.44140625" bestFit="1" customWidth="1"/>
    <col min="19" max="19" width="15.77734375" bestFit="1" customWidth="1"/>
    <col min="20" max="20" width="6.77734375" bestFit="1" customWidth="1"/>
    <col min="21" max="21" width="27.33203125" bestFit="1" customWidth="1"/>
    <col min="22" max="22" width="11.21875" bestFit="1" customWidth="1"/>
    <col min="23" max="23" width="8.44140625" bestFit="1" customWidth="1"/>
    <col min="24" max="24" width="6.6640625" bestFit="1" customWidth="1"/>
    <col min="25" max="25" width="9.6640625" bestFit="1" customWidth="1"/>
    <col min="26" max="26" width="16.6640625" bestFit="1" customWidth="1"/>
    <col min="27" max="27" width="10.77734375" bestFit="1" customWidth="1"/>
    <col min="28" max="28" width="12.5546875" bestFit="1" customWidth="1"/>
    <col min="29" max="29" width="11.44140625" bestFit="1" customWidth="1"/>
    <col min="30" max="30" width="11.5546875" bestFit="1" customWidth="1"/>
  </cols>
  <sheetData>
    <row r="1" spans="1:27" ht="54.75" customHeight="1">
      <c r="A1" s="22" t="s">
        <v>8</v>
      </c>
      <c r="B1" s="22" t="s">
        <v>22</v>
      </c>
      <c r="C1" s="22" t="s">
        <v>28</v>
      </c>
      <c r="D1" s="22" t="s">
        <v>29</v>
      </c>
      <c r="E1" s="22" t="s">
        <v>30</v>
      </c>
      <c r="F1" s="22" t="s">
        <v>23</v>
      </c>
      <c r="G1" s="22" t="s">
        <v>31</v>
      </c>
      <c r="H1" s="22" t="s">
        <v>32</v>
      </c>
      <c r="I1" s="22" t="s">
        <v>27</v>
      </c>
      <c r="J1" s="22" t="s">
        <v>18</v>
      </c>
      <c r="K1" s="22" t="s">
        <v>33</v>
      </c>
      <c r="L1" s="22" t="s">
        <v>26</v>
      </c>
      <c r="M1" s="22" t="s">
        <v>34</v>
      </c>
      <c r="N1" s="22" t="s">
        <v>19</v>
      </c>
      <c r="O1" s="20" t="s">
        <v>35</v>
      </c>
    </row>
    <row r="2" spans="1:27" ht="15" customHeight="1">
      <c r="A2" s="114" t="s">
        <v>36</v>
      </c>
      <c r="B2" s="114"/>
      <c r="C2" s="114"/>
      <c r="D2" s="114"/>
      <c r="E2" s="114"/>
      <c r="F2" s="114"/>
      <c r="G2" s="114"/>
      <c r="H2" s="114"/>
      <c r="I2" s="114"/>
      <c r="J2" s="114"/>
      <c r="K2" s="114"/>
      <c r="L2" s="114"/>
      <c r="M2" s="114"/>
      <c r="N2" s="114"/>
      <c r="O2" s="114"/>
    </row>
    <row r="3" spans="1:27">
      <c r="A3" s="16" t="s">
        <v>37</v>
      </c>
      <c r="B3" s="17">
        <v>1</v>
      </c>
      <c r="C3" s="17"/>
      <c r="D3" s="17">
        <v>1</v>
      </c>
      <c r="E3" s="17"/>
      <c r="F3" s="17"/>
      <c r="G3" s="17"/>
      <c r="H3" s="17">
        <v>1</v>
      </c>
      <c r="I3" s="17">
        <v>2</v>
      </c>
      <c r="J3" s="17">
        <v>2</v>
      </c>
      <c r="K3" s="17"/>
      <c r="L3" s="17">
        <v>1</v>
      </c>
      <c r="M3" s="17"/>
      <c r="N3" s="17">
        <v>5</v>
      </c>
      <c r="O3" s="17">
        <f>SUM(B3:N3)</f>
        <v>13</v>
      </c>
    </row>
    <row r="4" spans="1:27">
      <c r="A4" s="16" t="s">
        <v>38</v>
      </c>
      <c r="B4" s="17">
        <v>1</v>
      </c>
      <c r="C4" s="17">
        <v>3</v>
      </c>
      <c r="D4" s="17"/>
      <c r="E4" s="17"/>
      <c r="F4" s="17"/>
      <c r="G4" s="17"/>
      <c r="H4" s="17">
        <v>1</v>
      </c>
      <c r="I4" s="17">
        <v>1</v>
      </c>
      <c r="J4" s="17"/>
      <c r="K4" s="17"/>
      <c r="L4" s="17"/>
      <c r="M4" s="17"/>
      <c r="N4" s="17">
        <v>1</v>
      </c>
      <c r="O4" s="17">
        <f>SUM(B4:N4)</f>
        <v>7</v>
      </c>
    </row>
    <row r="5" spans="1:27">
      <c r="A5" s="16" t="s">
        <v>39</v>
      </c>
      <c r="B5" s="17"/>
      <c r="C5" s="17"/>
      <c r="D5" s="17"/>
      <c r="E5" s="17"/>
      <c r="F5" s="17"/>
      <c r="G5" s="17"/>
      <c r="H5" s="17"/>
      <c r="I5" s="17"/>
      <c r="J5" s="17"/>
      <c r="K5" s="17"/>
      <c r="L5" s="17"/>
      <c r="M5" s="17"/>
      <c r="N5" s="17">
        <v>1</v>
      </c>
      <c r="O5" s="17">
        <f t="shared" ref="O5:O18" si="0">SUM(B5:N5)</f>
        <v>1</v>
      </c>
      <c r="R5" s="36" t="s">
        <v>132</v>
      </c>
      <c r="S5" s="36" t="s">
        <v>102</v>
      </c>
    </row>
    <row r="6" spans="1:27">
      <c r="A6" s="16" t="s">
        <v>40</v>
      </c>
      <c r="B6" s="17"/>
      <c r="C6" s="17"/>
      <c r="D6" s="17"/>
      <c r="E6" s="17"/>
      <c r="F6" s="17">
        <v>1</v>
      </c>
      <c r="G6" s="17">
        <v>1</v>
      </c>
      <c r="H6" s="17"/>
      <c r="I6" s="17">
        <v>9</v>
      </c>
      <c r="J6" s="17">
        <v>1</v>
      </c>
      <c r="K6" s="17"/>
      <c r="L6" s="17"/>
      <c r="M6" s="17"/>
      <c r="N6" s="17">
        <v>4</v>
      </c>
      <c r="O6" s="17">
        <f t="shared" si="0"/>
        <v>16</v>
      </c>
      <c r="R6" s="36" t="s">
        <v>98</v>
      </c>
      <c r="S6" t="s">
        <v>19</v>
      </c>
      <c r="T6" t="s">
        <v>99</v>
      </c>
      <c r="U6" t="s">
        <v>27</v>
      </c>
      <c r="V6" t="s">
        <v>22</v>
      </c>
      <c r="W6" t="s">
        <v>26</v>
      </c>
      <c r="X6" t="s">
        <v>23</v>
      </c>
      <c r="Y6" t="s">
        <v>191</v>
      </c>
      <c r="Z6" t="s">
        <v>209</v>
      </c>
      <c r="AA6" t="s">
        <v>35</v>
      </c>
    </row>
    <row r="7" spans="1:27">
      <c r="A7" s="16" t="s">
        <v>41</v>
      </c>
      <c r="B7" s="17"/>
      <c r="C7" s="17">
        <v>1</v>
      </c>
      <c r="D7" s="17"/>
      <c r="E7" s="17"/>
      <c r="F7" s="17">
        <v>2</v>
      </c>
      <c r="G7" s="17"/>
      <c r="H7" s="17">
        <v>1</v>
      </c>
      <c r="I7" s="17">
        <v>1</v>
      </c>
      <c r="J7" s="17"/>
      <c r="K7" s="17"/>
      <c r="L7" s="17">
        <v>1</v>
      </c>
      <c r="M7" s="17"/>
      <c r="N7" s="17"/>
      <c r="O7" s="17">
        <f t="shared" si="0"/>
        <v>6</v>
      </c>
      <c r="R7" s="27" t="s">
        <v>24</v>
      </c>
      <c r="V7">
        <v>1</v>
      </c>
      <c r="AA7">
        <v>1</v>
      </c>
    </row>
    <row r="8" spans="1:27">
      <c r="A8" s="16" t="s">
        <v>42</v>
      </c>
      <c r="B8" s="17"/>
      <c r="C8" s="17">
        <v>1</v>
      </c>
      <c r="D8" s="17"/>
      <c r="E8" s="17"/>
      <c r="F8" s="17"/>
      <c r="G8" s="17"/>
      <c r="H8" s="17"/>
      <c r="I8" s="17"/>
      <c r="J8" s="17"/>
      <c r="K8" s="17"/>
      <c r="L8" s="17"/>
      <c r="M8" s="17"/>
      <c r="N8" s="17"/>
      <c r="O8" s="17">
        <f t="shared" si="0"/>
        <v>1</v>
      </c>
      <c r="R8" s="27" t="s">
        <v>99</v>
      </c>
    </row>
    <row r="9" spans="1:27">
      <c r="A9" s="16" t="s">
        <v>21</v>
      </c>
      <c r="B9" s="17"/>
      <c r="C9" s="17">
        <v>1</v>
      </c>
      <c r="D9" s="17">
        <v>2</v>
      </c>
      <c r="E9" s="17"/>
      <c r="F9" s="17">
        <v>4</v>
      </c>
      <c r="G9" s="17"/>
      <c r="H9" s="17">
        <v>1</v>
      </c>
      <c r="I9" s="17">
        <v>3</v>
      </c>
      <c r="J9" s="17">
        <v>3</v>
      </c>
      <c r="K9" s="17"/>
      <c r="L9" s="17"/>
      <c r="M9" s="17"/>
      <c r="N9" s="17">
        <v>11</v>
      </c>
      <c r="O9" s="17">
        <f>SUM(B9:N9)</f>
        <v>25</v>
      </c>
      <c r="R9" s="27" t="s">
        <v>20</v>
      </c>
      <c r="S9">
        <v>1</v>
      </c>
      <c r="AA9">
        <v>1</v>
      </c>
    </row>
    <row r="10" spans="1:27">
      <c r="A10" s="16" t="s">
        <v>24</v>
      </c>
      <c r="B10" s="17">
        <v>5</v>
      </c>
      <c r="C10" s="17">
        <v>15</v>
      </c>
      <c r="D10" s="17">
        <v>4</v>
      </c>
      <c r="E10" s="17"/>
      <c r="F10" s="17">
        <v>6</v>
      </c>
      <c r="G10" s="17"/>
      <c r="H10" s="17">
        <v>2</v>
      </c>
      <c r="I10" s="17">
        <v>14</v>
      </c>
      <c r="J10" s="17">
        <v>19</v>
      </c>
      <c r="K10" s="17"/>
      <c r="L10" s="17"/>
      <c r="M10" s="17"/>
      <c r="N10" s="17">
        <v>31</v>
      </c>
      <c r="O10" s="17">
        <f>SUM(B10:N10)</f>
        <v>96</v>
      </c>
      <c r="R10" s="27" t="s">
        <v>25</v>
      </c>
      <c r="U10">
        <v>2</v>
      </c>
      <c r="V10">
        <v>1</v>
      </c>
      <c r="AA10">
        <v>3</v>
      </c>
    </row>
    <row r="11" spans="1:27">
      <c r="A11" s="16" t="s">
        <v>43</v>
      </c>
      <c r="B11" s="17">
        <v>5</v>
      </c>
      <c r="C11" s="17">
        <v>5</v>
      </c>
      <c r="D11" s="17">
        <v>3</v>
      </c>
      <c r="E11" s="17"/>
      <c r="F11" s="17">
        <v>7</v>
      </c>
      <c r="G11" s="17"/>
      <c r="H11" s="17">
        <v>1</v>
      </c>
      <c r="I11" s="17">
        <v>18</v>
      </c>
      <c r="J11" s="17">
        <v>14</v>
      </c>
      <c r="K11" s="17"/>
      <c r="L11" s="17"/>
      <c r="M11" s="17"/>
      <c r="N11" s="17">
        <v>17</v>
      </c>
      <c r="O11" s="17">
        <f t="shared" si="0"/>
        <v>70</v>
      </c>
      <c r="R11" s="27" t="s">
        <v>158</v>
      </c>
      <c r="X11">
        <v>1</v>
      </c>
      <c r="AA11">
        <v>1</v>
      </c>
    </row>
    <row r="12" spans="1:27">
      <c r="A12" s="16" t="s">
        <v>44</v>
      </c>
      <c r="B12" s="17">
        <v>1</v>
      </c>
      <c r="C12" s="17">
        <v>1</v>
      </c>
      <c r="D12" s="17">
        <v>1</v>
      </c>
      <c r="E12" s="17"/>
      <c r="F12" s="17">
        <v>4</v>
      </c>
      <c r="G12" s="17"/>
      <c r="H12" s="17"/>
      <c r="I12" s="17">
        <v>2</v>
      </c>
      <c r="J12" s="17">
        <v>3</v>
      </c>
      <c r="K12" s="17"/>
      <c r="L12" s="17"/>
      <c r="M12" s="17"/>
      <c r="N12" s="17">
        <v>6</v>
      </c>
      <c r="O12" s="17">
        <f t="shared" si="0"/>
        <v>18</v>
      </c>
      <c r="R12" s="27" t="s">
        <v>163</v>
      </c>
      <c r="S12">
        <v>1</v>
      </c>
      <c r="AA12">
        <v>1</v>
      </c>
    </row>
    <row r="13" spans="1:27">
      <c r="A13" s="16" t="s">
        <v>45</v>
      </c>
      <c r="B13" s="17">
        <v>1</v>
      </c>
      <c r="C13" s="17"/>
      <c r="D13" s="17">
        <v>3</v>
      </c>
      <c r="E13" s="17"/>
      <c r="F13" s="17">
        <v>3</v>
      </c>
      <c r="G13" s="17"/>
      <c r="H13" s="17"/>
      <c r="I13" s="17">
        <v>5</v>
      </c>
      <c r="J13" s="17">
        <v>1</v>
      </c>
      <c r="K13" s="17"/>
      <c r="L13" s="17"/>
      <c r="M13" s="17"/>
      <c r="N13" s="17">
        <v>7</v>
      </c>
      <c r="O13" s="17">
        <f t="shared" si="0"/>
        <v>20</v>
      </c>
      <c r="R13" s="27" t="s">
        <v>230</v>
      </c>
      <c r="S13">
        <v>1</v>
      </c>
      <c r="AA13">
        <v>1</v>
      </c>
    </row>
    <row r="14" spans="1:27">
      <c r="A14" s="16" t="s">
        <v>20</v>
      </c>
      <c r="B14" s="17">
        <v>2</v>
      </c>
      <c r="C14" s="17">
        <v>1</v>
      </c>
      <c r="D14" s="17"/>
      <c r="E14" s="17"/>
      <c r="F14" s="17">
        <v>4</v>
      </c>
      <c r="G14" s="17"/>
      <c r="H14" s="17"/>
      <c r="I14" s="17">
        <v>2</v>
      </c>
      <c r="J14" s="17">
        <v>7</v>
      </c>
      <c r="K14" s="17"/>
      <c r="L14" s="17"/>
      <c r="M14" s="17"/>
      <c r="N14" s="17">
        <v>10</v>
      </c>
      <c r="O14" s="17">
        <f t="shared" si="0"/>
        <v>26</v>
      </c>
      <c r="R14" s="27" t="s">
        <v>179</v>
      </c>
      <c r="X14">
        <v>1</v>
      </c>
      <c r="AA14">
        <v>1</v>
      </c>
    </row>
    <row r="15" spans="1:27">
      <c r="A15" s="16" t="s">
        <v>46</v>
      </c>
      <c r="B15" s="17">
        <v>2</v>
      </c>
      <c r="C15" s="17">
        <v>1</v>
      </c>
      <c r="D15" s="17">
        <v>2</v>
      </c>
      <c r="E15" s="17"/>
      <c r="F15" s="17"/>
      <c r="G15" s="17"/>
      <c r="H15" s="17"/>
      <c r="I15" s="17">
        <v>3</v>
      </c>
      <c r="J15" s="17">
        <v>2</v>
      </c>
      <c r="K15" s="17">
        <v>1</v>
      </c>
      <c r="L15" s="17"/>
      <c r="M15" s="17"/>
      <c r="N15" s="17">
        <v>8</v>
      </c>
      <c r="O15" s="17">
        <f t="shared" si="0"/>
        <v>19</v>
      </c>
      <c r="R15" s="27" t="s">
        <v>182</v>
      </c>
      <c r="S15">
        <v>1</v>
      </c>
      <c r="AA15">
        <v>1</v>
      </c>
    </row>
    <row r="16" spans="1:27">
      <c r="A16" s="16" t="s">
        <v>25</v>
      </c>
      <c r="B16" s="17">
        <v>4</v>
      </c>
      <c r="C16" s="17">
        <v>4</v>
      </c>
      <c r="D16" s="17"/>
      <c r="E16" s="17"/>
      <c r="F16" s="17">
        <v>3</v>
      </c>
      <c r="G16" s="17"/>
      <c r="H16" s="17"/>
      <c r="I16" s="17">
        <v>17</v>
      </c>
      <c r="J16" s="17">
        <v>12</v>
      </c>
      <c r="K16" s="17"/>
      <c r="L16" s="17"/>
      <c r="N16" s="17">
        <v>15</v>
      </c>
      <c r="O16" s="17">
        <f t="shared" si="0"/>
        <v>55</v>
      </c>
      <c r="R16" s="27" t="s">
        <v>193</v>
      </c>
      <c r="Y16">
        <v>1</v>
      </c>
      <c r="AA16">
        <v>1</v>
      </c>
    </row>
    <row r="17" spans="1:27">
      <c r="A17" s="16" t="s">
        <v>47</v>
      </c>
      <c r="B17" s="17"/>
      <c r="C17" s="17"/>
      <c r="D17" s="17"/>
      <c r="E17" s="17"/>
      <c r="F17" s="17"/>
      <c r="G17" s="17"/>
      <c r="H17" s="17"/>
      <c r="I17" s="17">
        <v>3</v>
      </c>
      <c r="J17" s="17"/>
      <c r="K17" s="17"/>
      <c r="L17" s="17"/>
      <c r="M17" s="17"/>
      <c r="N17" s="17">
        <v>2</v>
      </c>
      <c r="O17" s="17">
        <f t="shared" si="0"/>
        <v>5</v>
      </c>
      <c r="R17" s="27" t="s">
        <v>41</v>
      </c>
      <c r="W17">
        <v>1</v>
      </c>
      <c r="AA17">
        <v>1</v>
      </c>
    </row>
    <row r="18" spans="1:27">
      <c r="A18" s="16" t="s">
        <v>48</v>
      </c>
      <c r="B18" s="17">
        <v>1</v>
      </c>
      <c r="C18" s="17">
        <v>7</v>
      </c>
      <c r="D18" s="17">
        <v>7</v>
      </c>
      <c r="E18" s="17"/>
      <c r="F18" s="17">
        <v>10</v>
      </c>
      <c r="G18" s="17">
        <v>1</v>
      </c>
      <c r="H18" s="17"/>
      <c r="I18" s="17">
        <v>15</v>
      </c>
      <c r="J18" s="17">
        <v>21</v>
      </c>
      <c r="K18" s="17"/>
      <c r="L18" s="17">
        <v>1</v>
      </c>
      <c r="M18" s="17"/>
      <c r="N18" s="17">
        <v>25</v>
      </c>
      <c r="O18" s="17">
        <f t="shared" si="0"/>
        <v>88</v>
      </c>
      <c r="R18" s="27" t="s">
        <v>198</v>
      </c>
      <c r="S18">
        <v>1</v>
      </c>
      <c r="AA18">
        <v>1</v>
      </c>
    </row>
    <row r="19" spans="1:27" ht="15" customHeight="1">
      <c r="A19" s="115" t="s">
        <v>49</v>
      </c>
      <c r="B19" s="115"/>
      <c r="C19" s="115"/>
      <c r="D19" s="115"/>
      <c r="E19" s="115"/>
      <c r="F19" s="115"/>
      <c r="G19" s="115"/>
      <c r="H19" s="115"/>
      <c r="I19" s="115"/>
      <c r="J19" s="115"/>
      <c r="K19" s="115"/>
      <c r="L19" s="115"/>
      <c r="M19" s="115"/>
      <c r="N19" s="115"/>
      <c r="O19" s="77">
        <f>SUM(O3:O18)</f>
        <v>466</v>
      </c>
      <c r="R19" s="27" t="s">
        <v>211</v>
      </c>
      <c r="Z19">
        <v>1</v>
      </c>
      <c r="AA19">
        <v>1</v>
      </c>
    </row>
    <row r="20" spans="1:27" ht="15" customHeight="1">
      <c r="A20" s="114" t="s">
        <v>50</v>
      </c>
      <c r="B20" s="114"/>
      <c r="C20" s="114"/>
      <c r="D20" s="114"/>
      <c r="E20" s="114"/>
      <c r="F20" s="114"/>
      <c r="G20" s="114"/>
      <c r="H20" s="114"/>
      <c r="I20" s="114"/>
      <c r="J20" s="114"/>
      <c r="K20" s="114"/>
      <c r="L20" s="114"/>
      <c r="M20" s="114"/>
      <c r="N20" s="114"/>
      <c r="O20" s="114"/>
      <c r="R20" s="27" t="s">
        <v>252</v>
      </c>
      <c r="U20">
        <v>2</v>
      </c>
      <c r="AA20">
        <v>2</v>
      </c>
    </row>
    <row r="21" spans="1:27">
      <c r="A21" s="16" t="s">
        <v>51</v>
      </c>
      <c r="B21" s="17"/>
      <c r="C21" s="17"/>
      <c r="D21" s="17"/>
      <c r="E21" s="17"/>
      <c r="F21" s="17">
        <v>1</v>
      </c>
      <c r="G21" s="17"/>
      <c r="H21" s="17"/>
      <c r="I21" s="17">
        <v>1</v>
      </c>
      <c r="J21" s="17"/>
      <c r="K21" s="17"/>
      <c r="L21" s="17"/>
      <c r="M21" s="17"/>
      <c r="N21" s="17"/>
      <c r="O21" s="17">
        <f>SUM(B21:N21)</f>
        <v>2</v>
      </c>
      <c r="R21" s="27" t="s">
        <v>256</v>
      </c>
      <c r="U21">
        <v>1</v>
      </c>
      <c r="AA21">
        <v>1</v>
      </c>
    </row>
    <row r="22" spans="1:27">
      <c r="A22" s="16" t="s">
        <v>52</v>
      </c>
      <c r="B22" s="17"/>
      <c r="C22" s="17"/>
      <c r="D22" s="17">
        <v>1</v>
      </c>
      <c r="E22" s="17"/>
      <c r="F22" s="17"/>
      <c r="G22" s="17"/>
      <c r="H22" s="17"/>
      <c r="I22" s="17">
        <v>2</v>
      </c>
      <c r="J22" s="17">
        <v>2</v>
      </c>
      <c r="K22" s="17">
        <v>1</v>
      </c>
      <c r="L22" s="17">
        <v>1</v>
      </c>
      <c r="M22" s="17"/>
      <c r="N22" s="17">
        <v>2</v>
      </c>
      <c r="O22" s="17">
        <f t="shared" ref="O22:O31" si="1">SUM(B22:N22)</f>
        <v>9</v>
      </c>
      <c r="R22" s="27" t="s">
        <v>263</v>
      </c>
      <c r="S22">
        <v>1</v>
      </c>
      <c r="AA22">
        <v>1</v>
      </c>
    </row>
    <row r="23" spans="1:27">
      <c r="A23" s="16" t="s">
        <v>53</v>
      </c>
      <c r="B23" s="17"/>
      <c r="C23" s="17"/>
      <c r="D23" s="17">
        <v>1</v>
      </c>
      <c r="E23" s="17"/>
      <c r="F23" s="17"/>
      <c r="G23" s="17"/>
      <c r="H23" s="17"/>
      <c r="I23" s="17">
        <v>2</v>
      </c>
      <c r="J23" s="17">
        <v>2</v>
      </c>
      <c r="K23" s="17"/>
      <c r="L23" s="17"/>
      <c r="M23" s="17"/>
      <c r="N23" s="17">
        <v>3</v>
      </c>
      <c r="O23" s="17">
        <f t="shared" si="1"/>
        <v>8</v>
      </c>
      <c r="R23" s="27" t="s">
        <v>35</v>
      </c>
      <c r="S23">
        <v>6</v>
      </c>
      <c r="U23">
        <v>5</v>
      </c>
      <c r="V23">
        <v>2</v>
      </c>
      <c r="W23">
        <v>1</v>
      </c>
      <c r="X23">
        <v>2</v>
      </c>
      <c r="Y23">
        <v>1</v>
      </c>
      <c r="Z23">
        <v>1</v>
      </c>
      <c r="AA23">
        <v>18</v>
      </c>
    </row>
    <row r="24" spans="1:27">
      <c r="A24" s="16" t="s">
        <v>134</v>
      </c>
      <c r="B24" s="17"/>
      <c r="C24" s="17"/>
      <c r="D24" s="17"/>
      <c r="E24" s="17"/>
      <c r="F24" s="17"/>
      <c r="G24" s="17"/>
      <c r="H24" s="17"/>
      <c r="I24" s="17">
        <v>2</v>
      </c>
      <c r="J24" s="17"/>
      <c r="K24" s="17"/>
      <c r="L24" s="17"/>
      <c r="M24" s="17"/>
      <c r="N24" s="17">
        <v>1</v>
      </c>
      <c r="O24" s="17">
        <f t="shared" si="1"/>
        <v>3</v>
      </c>
    </row>
    <row r="25" spans="1:27">
      <c r="A25" s="16" t="s">
        <v>54</v>
      </c>
      <c r="B25" s="17"/>
      <c r="C25" s="17"/>
      <c r="D25" s="17"/>
      <c r="E25" s="17"/>
      <c r="F25" s="17"/>
      <c r="G25" s="17"/>
      <c r="H25" s="17"/>
      <c r="I25" s="17">
        <v>1</v>
      </c>
      <c r="J25" s="17"/>
      <c r="K25" s="17"/>
      <c r="L25" s="17"/>
      <c r="M25" s="17"/>
      <c r="N25" s="17">
        <v>1</v>
      </c>
      <c r="O25" s="17">
        <f t="shared" si="1"/>
        <v>2</v>
      </c>
    </row>
    <row r="26" spans="1:27">
      <c r="A26" s="16" t="s">
        <v>55</v>
      </c>
      <c r="B26" s="17">
        <v>1</v>
      </c>
      <c r="C26" s="17"/>
      <c r="D26" s="17"/>
      <c r="E26" s="17"/>
      <c r="F26" s="17"/>
      <c r="G26" s="17"/>
      <c r="H26" s="17"/>
      <c r="I26" s="17">
        <v>1</v>
      </c>
      <c r="J26" s="17"/>
      <c r="K26" s="17"/>
      <c r="L26" s="17"/>
      <c r="M26" s="17"/>
      <c r="N26" s="17">
        <v>4</v>
      </c>
      <c r="O26" s="17">
        <f t="shared" si="1"/>
        <v>6</v>
      </c>
    </row>
    <row r="27" spans="1:27">
      <c r="A27" s="16" t="s">
        <v>56</v>
      </c>
      <c r="B27" s="17"/>
      <c r="C27" s="17">
        <v>1</v>
      </c>
      <c r="D27" s="17"/>
      <c r="E27" s="17"/>
      <c r="F27" s="17">
        <v>1</v>
      </c>
      <c r="G27" s="17"/>
      <c r="H27" s="17"/>
      <c r="I27" s="17">
        <v>4</v>
      </c>
      <c r="J27" s="17">
        <v>2</v>
      </c>
      <c r="K27" s="17">
        <v>1</v>
      </c>
      <c r="L27" s="17">
        <v>1</v>
      </c>
      <c r="M27" s="17"/>
      <c r="N27" s="17">
        <v>2</v>
      </c>
      <c r="O27" s="17">
        <f t="shared" si="1"/>
        <v>12</v>
      </c>
    </row>
    <row r="28" spans="1:27">
      <c r="A28" s="16" t="s">
        <v>57</v>
      </c>
      <c r="B28" s="17"/>
      <c r="C28" s="17"/>
      <c r="D28" s="17"/>
      <c r="E28" s="17"/>
      <c r="F28" s="17"/>
      <c r="G28" s="17"/>
      <c r="H28" s="17"/>
      <c r="I28" s="17">
        <v>2</v>
      </c>
      <c r="J28" s="17">
        <v>1</v>
      </c>
      <c r="K28" s="17"/>
      <c r="L28" s="17"/>
      <c r="M28" s="17"/>
      <c r="N28" s="17">
        <v>1</v>
      </c>
      <c r="O28" s="17">
        <f t="shared" si="1"/>
        <v>4</v>
      </c>
    </row>
    <row r="29" spans="1:27">
      <c r="A29" s="16" t="s">
        <v>58</v>
      </c>
      <c r="B29" s="17"/>
      <c r="C29" s="17">
        <v>2</v>
      </c>
      <c r="D29" s="17">
        <v>3</v>
      </c>
      <c r="E29" s="17"/>
      <c r="F29" s="17">
        <v>2</v>
      </c>
      <c r="G29" s="17"/>
      <c r="H29" s="17"/>
      <c r="I29" s="17">
        <v>3</v>
      </c>
      <c r="J29" s="17">
        <v>2</v>
      </c>
      <c r="K29" s="17"/>
      <c r="L29" s="17">
        <v>1</v>
      </c>
      <c r="M29" s="17"/>
      <c r="N29" s="17">
        <v>4</v>
      </c>
      <c r="O29" s="17">
        <f t="shared" si="1"/>
        <v>17</v>
      </c>
    </row>
    <row r="30" spans="1:27">
      <c r="A30" s="16" t="s">
        <v>59</v>
      </c>
      <c r="B30" s="17">
        <v>1</v>
      </c>
      <c r="C30" s="17">
        <v>2</v>
      </c>
      <c r="D30" s="17"/>
      <c r="E30" s="17"/>
      <c r="F30" s="17"/>
      <c r="G30" s="17"/>
      <c r="H30" s="17"/>
      <c r="I30" s="17">
        <v>4</v>
      </c>
      <c r="J30" s="17">
        <v>2</v>
      </c>
      <c r="K30" s="17"/>
      <c r="L30" s="17"/>
      <c r="M30" s="17"/>
      <c r="N30" s="17">
        <v>1</v>
      </c>
      <c r="O30" s="17">
        <f t="shared" si="1"/>
        <v>10</v>
      </c>
    </row>
    <row r="31" spans="1:27">
      <c r="A31" s="16" t="s">
        <v>60</v>
      </c>
      <c r="B31" s="17"/>
      <c r="C31" s="17"/>
      <c r="D31" s="17"/>
      <c r="E31" s="17"/>
      <c r="F31" s="17"/>
      <c r="G31" s="17"/>
      <c r="H31" s="17"/>
      <c r="I31" s="17"/>
      <c r="J31" s="17"/>
      <c r="K31" s="17"/>
      <c r="L31" s="17"/>
      <c r="M31" s="17"/>
      <c r="N31" s="17"/>
      <c r="O31" s="17">
        <f t="shared" si="1"/>
        <v>0</v>
      </c>
    </row>
    <row r="32" spans="1:27">
      <c r="A32" s="16" t="s">
        <v>61</v>
      </c>
      <c r="B32" s="17"/>
      <c r="C32" s="17">
        <v>3</v>
      </c>
      <c r="D32" s="17"/>
      <c r="E32" s="17"/>
      <c r="F32" s="17"/>
      <c r="G32" s="17"/>
      <c r="H32" s="17">
        <v>1</v>
      </c>
      <c r="I32" s="17"/>
      <c r="J32" s="17">
        <v>3</v>
      </c>
      <c r="K32" s="17"/>
      <c r="L32" s="17"/>
      <c r="M32" s="17"/>
      <c r="N32" s="17">
        <v>2</v>
      </c>
      <c r="O32" s="17">
        <f>SUM(B32:N32)</f>
        <v>9</v>
      </c>
    </row>
    <row r="33" spans="1:15">
      <c r="A33" s="16" t="s">
        <v>48</v>
      </c>
      <c r="B33" s="17"/>
      <c r="C33" s="17"/>
      <c r="D33" s="17"/>
      <c r="E33" s="17"/>
      <c r="F33" s="17"/>
      <c r="G33" s="17"/>
      <c r="H33" s="17"/>
      <c r="I33" s="17">
        <v>3</v>
      </c>
      <c r="J33" s="17">
        <v>1</v>
      </c>
      <c r="K33" s="17"/>
      <c r="L33" s="17"/>
      <c r="M33" s="17"/>
      <c r="N33" s="17">
        <v>1</v>
      </c>
      <c r="O33" s="17">
        <f>SUM(B33:N33)</f>
        <v>5</v>
      </c>
    </row>
    <row r="34" spans="1:15" ht="15" customHeight="1">
      <c r="A34" s="115" t="s">
        <v>62</v>
      </c>
      <c r="B34" s="115"/>
      <c r="C34" s="115"/>
      <c r="D34" s="115"/>
      <c r="E34" s="115"/>
      <c r="F34" s="115"/>
      <c r="G34" s="115"/>
      <c r="H34" s="115"/>
      <c r="I34" s="115"/>
      <c r="J34" s="115"/>
      <c r="K34" s="115"/>
      <c r="L34" s="115"/>
      <c r="M34" s="115"/>
      <c r="N34" s="115"/>
      <c r="O34" s="78">
        <f>SUM(O21:O33)</f>
        <v>87</v>
      </c>
    </row>
    <row r="39" spans="1:15">
      <c r="A39" s="28"/>
      <c r="B39" s="29"/>
      <c r="C39" s="29"/>
      <c r="D39" s="29"/>
      <c r="E39" s="29"/>
      <c r="F39" s="29"/>
      <c r="G39" s="29"/>
      <c r="H39" s="29"/>
      <c r="I39" s="29"/>
      <c r="J39" s="29"/>
      <c r="K39" s="29"/>
      <c r="L39" s="29"/>
      <c r="M39" s="29"/>
      <c r="N39" s="29"/>
      <c r="O39" s="30"/>
    </row>
  </sheetData>
  <mergeCells count="4">
    <mergeCell ref="A2:O2"/>
    <mergeCell ref="A19:N19"/>
    <mergeCell ref="A20:O20"/>
    <mergeCell ref="A34:N34"/>
  </mergeCell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2370F-B11A-4B20-A5AD-61C4E9B583AE}">
  <dimension ref="A1:R11"/>
  <sheetViews>
    <sheetView topLeftCell="G1" zoomScale="97" zoomScaleNormal="55" workbookViewId="0">
      <selection activeCell="N2" sqref="N2"/>
    </sheetView>
  </sheetViews>
  <sheetFormatPr defaultRowHeight="14.4"/>
  <cols>
    <col min="1" max="1" width="14.21875" customWidth="1"/>
    <col min="2" max="8" width="12.5546875" customWidth="1"/>
    <col min="9" max="9" width="13.21875" customWidth="1"/>
    <col min="10" max="15" width="12.5546875" customWidth="1"/>
    <col min="17" max="17" width="27" bestFit="1" customWidth="1"/>
    <col min="18" max="18" width="14" bestFit="1" customWidth="1"/>
  </cols>
  <sheetData>
    <row r="1" spans="1:18" ht="58.2" thickBot="1">
      <c r="A1" s="2" t="s">
        <v>138</v>
      </c>
      <c r="B1" s="2" t="s">
        <v>22</v>
      </c>
      <c r="C1" s="2" t="s">
        <v>28</v>
      </c>
      <c r="D1" s="2" t="s">
        <v>29</v>
      </c>
      <c r="E1" s="2" t="s">
        <v>30</v>
      </c>
      <c r="F1" s="2" t="s">
        <v>23</v>
      </c>
      <c r="G1" s="2" t="s">
        <v>31</v>
      </c>
      <c r="H1" s="2" t="s">
        <v>32</v>
      </c>
      <c r="I1" s="2" t="s">
        <v>27</v>
      </c>
      <c r="J1" s="2" t="s">
        <v>18</v>
      </c>
      <c r="K1" s="2" t="s">
        <v>33</v>
      </c>
      <c r="L1" s="2" t="s">
        <v>26</v>
      </c>
      <c r="M1" s="2" t="s">
        <v>34</v>
      </c>
      <c r="N1" s="2" t="s">
        <v>19</v>
      </c>
      <c r="O1" s="3" t="s">
        <v>35</v>
      </c>
    </row>
    <row r="2" spans="1:18" ht="31.5" customHeight="1">
      <c r="A2" s="39" t="s">
        <v>63</v>
      </c>
      <c r="B2" s="17">
        <v>18</v>
      </c>
      <c r="C2" s="17">
        <v>35</v>
      </c>
      <c r="D2" s="17">
        <v>17</v>
      </c>
      <c r="E2" s="17"/>
      <c r="F2" s="17">
        <v>30</v>
      </c>
      <c r="G2" s="17">
        <v>4</v>
      </c>
      <c r="H2" s="17">
        <v>4</v>
      </c>
      <c r="I2" s="17">
        <v>76</v>
      </c>
      <c r="J2" s="17">
        <v>64</v>
      </c>
      <c r="K2" s="17">
        <v>1</v>
      </c>
      <c r="L2" s="17">
        <v>4</v>
      </c>
      <c r="M2" s="17"/>
      <c r="N2" s="17">
        <v>105</v>
      </c>
      <c r="O2" s="17">
        <f>SUM(B2:N2)</f>
        <v>358</v>
      </c>
      <c r="Q2" s="36" t="s">
        <v>98</v>
      </c>
      <c r="R2" t="s">
        <v>104</v>
      </c>
    </row>
    <row r="3" spans="1:18">
      <c r="Q3" s="27" t="s">
        <v>23</v>
      </c>
      <c r="R3">
        <v>2</v>
      </c>
    </row>
    <row r="4" spans="1:18">
      <c r="Q4" s="27" t="s">
        <v>27</v>
      </c>
      <c r="R4">
        <v>5</v>
      </c>
    </row>
    <row r="5" spans="1:18" ht="27.45" customHeight="1">
      <c r="Q5" s="27" t="s">
        <v>19</v>
      </c>
      <c r="R5">
        <v>6</v>
      </c>
    </row>
    <row r="6" spans="1:18">
      <c r="Q6" s="27" t="s">
        <v>99</v>
      </c>
    </row>
    <row r="7" spans="1:18">
      <c r="Q7" s="27" t="s">
        <v>191</v>
      </c>
      <c r="R7">
        <v>1</v>
      </c>
    </row>
    <row r="8" spans="1:18">
      <c r="Q8" s="27" t="s">
        <v>22</v>
      </c>
      <c r="R8">
        <v>2</v>
      </c>
    </row>
    <row r="9" spans="1:18">
      <c r="Q9" s="27" t="s">
        <v>26</v>
      </c>
      <c r="R9">
        <v>1</v>
      </c>
    </row>
    <row r="10" spans="1:18">
      <c r="Q10" s="27" t="s">
        <v>209</v>
      </c>
      <c r="R10">
        <v>1</v>
      </c>
    </row>
    <row r="11" spans="1:18">
      <c r="Q11" s="27" t="s">
        <v>35</v>
      </c>
      <c r="R11">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7354-9CCA-491E-952E-F4217CCD2C87}">
  <dimension ref="A1:I16"/>
  <sheetViews>
    <sheetView zoomScale="120" zoomScaleNormal="130" workbookViewId="0">
      <selection activeCell="C4" sqref="C4"/>
    </sheetView>
  </sheetViews>
  <sheetFormatPr defaultRowHeight="14.4"/>
  <cols>
    <col min="1" max="6" width="8.77734375" customWidth="1"/>
    <col min="8" max="8" width="34" bestFit="1" customWidth="1"/>
    <col min="9" max="9" width="16.6640625" bestFit="1" customWidth="1"/>
  </cols>
  <sheetData>
    <row r="1" spans="1:9" ht="29.25" customHeight="1" thickBot="1">
      <c r="A1" s="116" t="s">
        <v>269</v>
      </c>
      <c r="B1" s="116"/>
      <c r="C1" s="116" t="s">
        <v>270</v>
      </c>
      <c r="D1" s="116"/>
      <c r="E1" s="116" t="s">
        <v>115</v>
      </c>
      <c r="F1" s="116"/>
      <c r="H1" s="36" t="s">
        <v>98</v>
      </c>
      <c r="I1" t="s">
        <v>103</v>
      </c>
    </row>
    <row r="2" spans="1:9" ht="29.55" customHeight="1" thickBot="1">
      <c r="A2" s="1" t="s">
        <v>64</v>
      </c>
      <c r="B2" s="9" t="s">
        <v>35</v>
      </c>
      <c r="C2" s="1" t="s">
        <v>64</v>
      </c>
      <c r="D2" s="9" t="s">
        <v>35</v>
      </c>
      <c r="E2" s="65" t="s">
        <v>64</v>
      </c>
      <c r="F2" s="66" t="s">
        <v>35</v>
      </c>
      <c r="H2" s="27" t="s">
        <v>101</v>
      </c>
      <c r="I2">
        <v>6</v>
      </c>
    </row>
    <row r="3" spans="1:9">
      <c r="A3" s="21">
        <v>151</v>
      </c>
      <c r="B3" s="21">
        <f>'3.Deals_total'!O2</f>
        <v>358</v>
      </c>
      <c r="C3" s="21">
        <v>40</v>
      </c>
      <c r="D3" s="21">
        <v>131</v>
      </c>
      <c r="E3" s="21">
        <v>197</v>
      </c>
      <c r="F3" s="21">
        <v>549</v>
      </c>
      <c r="H3" s="27" t="s">
        <v>99</v>
      </c>
    </row>
    <row r="4" spans="1:9">
      <c r="A4" s="37">
        <f>A3/B3</f>
        <v>0.42178770949720673</v>
      </c>
      <c r="B4" s="37">
        <v>1</v>
      </c>
      <c r="C4" s="37">
        <f>C3/D3</f>
        <v>0.30534351145038169</v>
      </c>
      <c r="D4" s="37">
        <v>1</v>
      </c>
      <c r="E4" s="37">
        <f>E3/F3</f>
        <v>0.35883424408014569</v>
      </c>
      <c r="F4" s="37">
        <v>1</v>
      </c>
      <c r="H4" s="27" t="s">
        <v>220</v>
      </c>
      <c r="I4">
        <v>1</v>
      </c>
    </row>
    <row r="5" spans="1:9">
      <c r="A5" s="23"/>
      <c r="B5" s="23"/>
      <c r="C5" s="23"/>
      <c r="D5" s="23"/>
      <c r="E5" s="23"/>
      <c r="F5" s="23"/>
      <c r="H5" s="27" t="s">
        <v>214</v>
      </c>
      <c r="I5">
        <v>1</v>
      </c>
    </row>
    <row r="6" spans="1:9">
      <c r="A6" s="55"/>
      <c r="H6" s="27" t="s">
        <v>215</v>
      </c>
      <c r="I6">
        <v>1</v>
      </c>
    </row>
    <row r="7" spans="1:9">
      <c r="H7" s="27" t="s">
        <v>216</v>
      </c>
      <c r="I7">
        <v>1</v>
      </c>
    </row>
    <row r="8" spans="1:9" ht="15" customHeight="1">
      <c r="H8" s="27" t="s">
        <v>217</v>
      </c>
      <c r="I8">
        <v>1</v>
      </c>
    </row>
    <row r="9" spans="1:9">
      <c r="H9" s="27" t="s">
        <v>218</v>
      </c>
      <c r="I9">
        <v>1</v>
      </c>
    </row>
    <row r="10" spans="1:9">
      <c r="H10" s="27" t="s">
        <v>238</v>
      </c>
      <c r="I10">
        <v>1</v>
      </c>
    </row>
    <row r="11" spans="1:9">
      <c r="H11" s="27" t="s">
        <v>219</v>
      </c>
      <c r="I11">
        <v>1</v>
      </c>
    </row>
    <row r="12" spans="1:9">
      <c r="H12" s="27" t="s">
        <v>245</v>
      </c>
      <c r="I12">
        <v>1</v>
      </c>
    </row>
    <row r="13" spans="1:9">
      <c r="H13" s="27" t="s">
        <v>267</v>
      </c>
      <c r="I13">
        <v>1</v>
      </c>
    </row>
    <row r="14" spans="1:9">
      <c r="H14" s="27" t="s">
        <v>268</v>
      </c>
      <c r="I14">
        <v>1</v>
      </c>
    </row>
    <row r="15" spans="1:9">
      <c r="H15" s="27" t="s">
        <v>277</v>
      </c>
      <c r="I15">
        <v>1</v>
      </c>
    </row>
    <row r="16" spans="1:9">
      <c r="H16" s="27" t="s">
        <v>35</v>
      </c>
      <c r="I16">
        <v>18</v>
      </c>
    </row>
  </sheetData>
  <mergeCells count="3">
    <mergeCell ref="A1:B1"/>
    <mergeCell ref="C1:D1"/>
    <mergeCell ref="E1:F1"/>
  </mergeCells>
  <phoneticPr fontId="8" type="noConversion"/>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EEE1-86E1-4922-B4C6-4FAF78A179EC}">
  <dimension ref="A1:D3"/>
  <sheetViews>
    <sheetView zoomScale="175" zoomScaleNormal="175" workbookViewId="0">
      <selection activeCell="E3" sqref="E3"/>
    </sheetView>
  </sheetViews>
  <sheetFormatPr defaultRowHeight="14.4"/>
  <cols>
    <col min="1" max="1" width="16.77734375" bestFit="1" customWidth="1"/>
  </cols>
  <sheetData>
    <row r="1" spans="1:4" ht="43.8" thickBot="1">
      <c r="A1" s="10"/>
      <c r="B1" s="1" t="s">
        <v>65</v>
      </c>
      <c r="C1" s="1" t="s">
        <v>66</v>
      </c>
      <c r="D1" s="1" t="s">
        <v>67</v>
      </c>
    </row>
    <row r="2" spans="1:4" ht="15" thickBot="1">
      <c r="A2" s="4" t="s">
        <v>68</v>
      </c>
      <c r="B2" s="60">
        <v>1</v>
      </c>
      <c r="C2" s="21">
        <v>357</v>
      </c>
      <c r="D2" s="21">
        <f>'3.Deals_total'!O2</f>
        <v>358</v>
      </c>
    </row>
    <row r="3" spans="1:4" ht="15" thickBot="1">
      <c r="A3" s="4" t="s">
        <v>69</v>
      </c>
      <c r="B3" s="61">
        <f>B2/D2</f>
        <v>2.7932960893854749E-3</v>
      </c>
      <c r="C3" s="61">
        <f>C2/D2</f>
        <v>0.9972067039106145</v>
      </c>
      <c r="D3" s="61">
        <f>B3+C3</f>
        <v>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BC172-C8A1-4815-9F67-DFC7C59B1240}">
  <dimension ref="A1:B14"/>
  <sheetViews>
    <sheetView workbookViewId="0">
      <selection activeCell="F9" sqref="F9"/>
    </sheetView>
  </sheetViews>
  <sheetFormatPr defaultRowHeight="14.4"/>
  <cols>
    <col min="1" max="1" width="27" bestFit="1" customWidth="1"/>
    <col min="2" max="2" width="19.5546875" customWidth="1"/>
  </cols>
  <sheetData>
    <row r="1" spans="1:2" ht="15" thickBot="1">
      <c r="A1" s="5" t="s">
        <v>3</v>
      </c>
      <c r="B1" s="6" t="s">
        <v>70</v>
      </c>
    </row>
    <row r="2" spans="1:2" ht="15" thickBot="1">
      <c r="A2" s="7" t="s">
        <v>18</v>
      </c>
      <c r="B2" s="8"/>
    </row>
    <row r="3" spans="1:2" ht="15" thickBot="1">
      <c r="A3" s="7" t="s">
        <v>71</v>
      </c>
      <c r="B3" s="8"/>
    </row>
    <row r="4" spans="1:2" ht="15" thickBot="1">
      <c r="A4" s="7" t="s">
        <v>29</v>
      </c>
      <c r="B4" s="8"/>
    </row>
    <row r="5" spans="1:2" ht="15" thickBot="1">
      <c r="A5" s="7" t="s">
        <v>33</v>
      </c>
      <c r="B5" s="8"/>
    </row>
    <row r="6" spans="1:2" ht="15" thickBot="1">
      <c r="A6" s="7" t="s">
        <v>26</v>
      </c>
      <c r="B6" s="8">
        <v>1</v>
      </c>
    </row>
    <row r="7" spans="1:2" ht="15" thickBot="1">
      <c r="A7" s="7" t="s">
        <v>23</v>
      </c>
      <c r="B7" s="8"/>
    </row>
    <row r="8" spans="1:2" ht="31.95" customHeight="1" thickBot="1">
      <c r="A8" s="7" t="s">
        <v>27</v>
      </c>
      <c r="B8" s="8"/>
    </row>
    <row r="9" spans="1:2" ht="15" thickBot="1">
      <c r="A9" s="7" t="s">
        <v>22</v>
      </c>
      <c r="B9" s="8"/>
    </row>
    <row r="10" spans="1:2" ht="15" thickBot="1">
      <c r="A10" s="7" t="s">
        <v>30</v>
      </c>
      <c r="B10" s="8"/>
    </row>
    <row r="11" spans="1:2" ht="15" thickBot="1">
      <c r="A11" s="7" t="s">
        <v>31</v>
      </c>
      <c r="B11" s="8"/>
    </row>
    <row r="12" spans="1:2" ht="15" thickBot="1">
      <c r="A12" s="7" t="s">
        <v>32</v>
      </c>
      <c r="B12" s="8"/>
    </row>
    <row r="13" spans="1:2" ht="15" thickBot="1">
      <c r="A13" s="7" t="s">
        <v>34</v>
      </c>
      <c r="B13" s="8"/>
    </row>
    <row r="14" spans="1:2" ht="15" thickBot="1">
      <c r="A14" s="7" t="s">
        <v>19</v>
      </c>
      <c r="B14" s="8"/>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DA9E7-1022-4881-B1AD-9BFB3C5E5083}">
  <sheetPr>
    <tabColor rgb="FFFFC000"/>
  </sheetPr>
  <dimension ref="A1:H26"/>
  <sheetViews>
    <sheetView tabSelected="1" zoomScaleNormal="130" workbookViewId="0">
      <pane xSplit="2" ySplit="2" topLeftCell="C3" activePane="bottomRight" state="frozen"/>
      <selection pane="topRight" activeCell="C1" sqref="C1"/>
      <selection pane="bottomLeft" activeCell="A3" sqref="A3"/>
      <selection pane="bottomRight" activeCell="J9" sqref="J9"/>
    </sheetView>
  </sheetViews>
  <sheetFormatPr defaultRowHeight="14.4"/>
  <cols>
    <col min="1" max="1" width="4.21875" bestFit="1" customWidth="1"/>
    <col min="2" max="2" width="23.5546875" customWidth="1"/>
    <col min="3" max="3" width="19.77734375" bestFit="1" customWidth="1"/>
    <col min="4" max="4" width="16.21875" bestFit="1" customWidth="1"/>
    <col min="5" max="5" width="13.77734375" bestFit="1" customWidth="1"/>
    <col min="6" max="6" width="12.77734375" bestFit="1" customWidth="1"/>
    <col min="7" max="7" width="27.77734375" bestFit="1" customWidth="1"/>
    <col min="8" max="8" width="13.77734375" bestFit="1" customWidth="1"/>
    <col min="9" max="9" width="21.5546875" bestFit="1" customWidth="1"/>
    <col min="10" max="10" width="16.21875" bestFit="1" customWidth="1"/>
    <col min="11" max="11" width="10.77734375" bestFit="1" customWidth="1"/>
  </cols>
  <sheetData>
    <row r="1" spans="1:8" ht="30" customHeight="1" thickBot="1">
      <c r="A1" s="121"/>
      <c r="B1" s="121"/>
      <c r="C1" s="119" t="s">
        <v>72</v>
      </c>
      <c r="D1" s="11" t="s">
        <v>73</v>
      </c>
      <c r="E1" s="12" t="s">
        <v>74</v>
      </c>
      <c r="F1" s="13" t="s">
        <v>75</v>
      </c>
      <c r="G1" s="13" t="s">
        <v>75</v>
      </c>
      <c r="H1" s="14" t="s">
        <v>74</v>
      </c>
    </row>
    <row r="2" spans="1:8" ht="43.5" customHeight="1" thickBot="1">
      <c r="A2" s="121"/>
      <c r="B2" s="121"/>
      <c r="C2" s="120"/>
      <c r="D2" s="11" t="s">
        <v>76</v>
      </c>
      <c r="E2" s="12" t="s">
        <v>77</v>
      </c>
      <c r="F2" s="13" t="s">
        <v>76</v>
      </c>
      <c r="G2" s="13" t="s">
        <v>78</v>
      </c>
      <c r="H2" s="14" t="s">
        <v>77</v>
      </c>
    </row>
    <row r="3" spans="1:8" ht="15" thickBot="1">
      <c r="A3" s="122" t="s">
        <v>79</v>
      </c>
      <c r="B3" s="15" t="s">
        <v>107</v>
      </c>
      <c r="C3" s="18">
        <v>119</v>
      </c>
      <c r="D3" s="18">
        <v>118</v>
      </c>
      <c r="E3" s="19">
        <f>D3/C3</f>
        <v>0.99159663865546221</v>
      </c>
      <c r="F3" s="18">
        <v>159</v>
      </c>
      <c r="G3" s="18">
        <v>25</v>
      </c>
      <c r="H3" s="19">
        <f>159/(159+25)</f>
        <v>0.86413043478260865</v>
      </c>
    </row>
    <row r="4" spans="1:8" ht="15" thickBot="1">
      <c r="A4" s="122"/>
      <c r="B4" s="15" t="s">
        <v>106</v>
      </c>
      <c r="C4" s="53">
        <v>36</v>
      </c>
      <c r="D4" s="53">
        <v>35</v>
      </c>
      <c r="E4" s="19">
        <f t="shared" ref="E4:E7" si="0">D4/C4</f>
        <v>0.97222222222222221</v>
      </c>
      <c r="F4" s="53">
        <v>52</v>
      </c>
      <c r="G4" s="53">
        <v>13</v>
      </c>
      <c r="H4" s="19">
        <f t="shared" ref="H4:H12" si="1">F4/(F4+G4)</f>
        <v>0.8</v>
      </c>
    </row>
    <row r="5" spans="1:8" ht="15" thickBot="1">
      <c r="A5" s="122" t="s">
        <v>108</v>
      </c>
      <c r="B5" s="15" t="s">
        <v>110</v>
      </c>
      <c r="C5" s="18">
        <v>44</v>
      </c>
      <c r="D5" s="18">
        <v>43</v>
      </c>
      <c r="E5" s="19">
        <f t="shared" si="0"/>
        <v>0.97727272727272729</v>
      </c>
      <c r="F5" s="18">
        <f>208-159</f>
        <v>49</v>
      </c>
      <c r="G5" s="18">
        <v>10</v>
      </c>
      <c r="H5" s="19">
        <f t="shared" si="1"/>
        <v>0.83050847457627119</v>
      </c>
    </row>
    <row r="6" spans="1:8" ht="15" thickBot="1">
      <c r="A6" s="122"/>
      <c r="B6" s="15" t="s">
        <v>111</v>
      </c>
      <c r="C6" s="18">
        <v>18</v>
      </c>
      <c r="D6" s="18">
        <v>18</v>
      </c>
      <c r="E6" s="19">
        <f t="shared" si="0"/>
        <v>1</v>
      </c>
      <c r="F6" s="18">
        <v>27</v>
      </c>
      <c r="G6" s="18">
        <v>9</v>
      </c>
      <c r="H6" s="19">
        <f t="shared" si="1"/>
        <v>0.75</v>
      </c>
    </row>
    <row r="7" spans="1:8" ht="15" thickBot="1">
      <c r="A7" s="124" t="s">
        <v>114</v>
      </c>
      <c r="B7" s="62" t="s">
        <v>118</v>
      </c>
      <c r="C7" s="18">
        <v>75</v>
      </c>
      <c r="D7" s="18">
        <v>74</v>
      </c>
      <c r="E7" s="19">
        <f t="shared" si="0"/>
        <v>0.98666666666666669</v>
      </c>
      <c r="F7" s="18">
        <v>85</v>
      </c>
      <c r="G7" s="18">
        <v>22</v>
      </c>
      <c r="H7" s="19">
        <f t="shared" si="1"/>
        <v>0.79439252336448596</v>
      </c>
    </row>
    <row r="8" spans="1:8" ht="15" thickBot="1">
      <c r="A8" s="125"/>
      <c r="B8" s="62" t="s">
        <v>119</v>
      </c>
      <c r="C8" s="18">
        <v>16</v>
      </c>
      <c r="D8" s="18">
        <v>16</v>
      </c>
      <c r="E8" s="19">
        <f>D8/C8</f>
        <v>1</v>
      </c>
      <c r="F8" s="18">
        <v>33</v>
      </c>
      <c r="G8" s="18">
        <v>5</v>
      </c>
      <c r="H8" s="19">
        <f t="shared" si="1"/>
        <v>0.86842105263157898</v>
      </c>
    </row>
    <row r="9" spans="1:8" ht="15" thickBot="1">
      <c r="A9" s="123" t="s">
        <v>120</v>
      </c>
      <c r="B9" s="62" t="s">
        <v>135</v>
      </c>
      <c r="C9" s="18">
        <v>80</v>
      </c>
      <c r="D9" s="18">
        <v>78</v>
      </c>
      <c r="E9" s="19">
        <f>D9/C9</f>
        <v>0.97499999999999998</v>
      </c>
      <c r="F9" s="18">
        <v>112</v>
      </c>
      <c r="G9" s="18">
        <v>22</v>
      </c>
      <c r="H9" s="19">
        <f t="shared" si="1"/>
        <v>0.83582089552238803</v>
      </c>
    </row>
    <row r="10" spans="1:8" ht="15" thickBot="1">
      <c r="A10" s="123"/>
      <c r="B10" s="62" t="s">
        <v>136</v>
      </c>
      <c r="C10" s="18">
        <v>43</v>
      </c>
      <c r="D10" s="18">
        <v>41</v>
      </c>
      <c r="E10" s="19">
        <f t="shared" ref="E10:E11" si="2">D10/C10</f>
        <v>0.95348837209302328</v>
      </c>
      <c r="F10" s="18">
        <v>66</v>
      </c>
      <c r="G10" s="18">
        <v>14</v>
      </c>
      <c r="H10" s="19">
        <f t="shared" si="1"/>
        <v>0.82499999999999996</v>
      </c>
    </row>
    <row r="11" spans="1:8" ht="15" thickBot="1">
      <c r="A11" s="122" t="s">
        <v>137</v>
      </c>
      <c r="B11" s="15" t="s">
        <v>272</v>
      </c>
      <c r="C11" s="82">
        <v>49</v>
      </c>
      <c r="D11" s="82">
        <v>48</v>
      </c>
      <c r="E11" s="83">
        <f t="shared" si="2"/>
        <v>0.97959183673469385</v>
      </c>
      <c r="F11" s="82">
        <v>64</v>
      </c>
      <c r="G11" s="82">
        <v>8</v>
      </c>
      <c r="H11" s="83">
        <f t="shared" si="1"/>
        <v>0.88888888888888884</v>
      </c>
    </row>
    <row r="12" spans="1:8" ht="15" thickBot="1">
      <c r="A12" s="122"/>
      <c r="B12" s="15" t="s">
        <v>271</v>
      </c>
      <c r="C12" s="82">
        <v>19</v>
      </c>
      <c r="D12" s="82">
        <v>18</v>
      </c>
      <c r="E12" s="83">
        <v>0.94736842105263153</v>
      </c>
      <c r="F12" s="82">
        <v>24</v>
      </c>
      <c r="G12" s="82">
        <v>7</v>
      </c>
      <c r="H12" s="83">
        <f t="shared" si="1"/>
        <v>0.77419354838709675</v>
      </c>
    </row>
    <row r="13" spans="1:8" ht="15" thickBot="1">
      <c r="A13" s="122"/>
      <c r="B13" s="15"/>
      <c r="C13" s="18"/>
      <c r="D13" s="18"/>
      <c r="E13" s="19"/>
      <c r="F13" s="18"/>
      <c r="G13" s="18"/>
      <c r="H13" s="19"/>
    </row>
    <row r="14" spans="1:8" ht="15" thickBot="1">
      <c r="A14" s="122"/>
      <c r="B14" s="15"/>
      <c r="C14" s="25"/>
      <c r="D14" s="25"/>
      <c r="E14" s="26"/>
      <c r="F14" s="25"/>
      <c r="G14" s="25"/>
      <c r="H14" s="19"/>
    </row>
    <row r="15" spans="1:8" ht="15" thickBot="1">
      <c r="A15" s="117"/>
      <c r="B15" s="24"/>
      <c r="C15" s="18"/>
      <c r="D15" s="18"/>
      <c r="E15" s="19"/>
      <c r="F15" s="18"/>
      <c r="G15" s="18"/>
      <c r="H15" s="19"/>
    </row>
    <row r="16" spans="1:8" ht="15" thickBot="1">
      <c r="A16" s="118"/>
      <c r="B16" s="15"/>
      <c r="C16" s="18"/>
      <c r="D16" s="18"/>
      <c r="E16" s="19"/>
      <c r="F16" s="18"/>
      <c r="G16" s="18"/>
      <c r="H16" s="19"/>
    </row>
    <row r="17" spans="1:8" ht="15" thickBot="1">
      <c r="A17" s="117"/>
      <c r="B17" s="15"/>
      <c r="C17" s="31"/>
      <c r="D17" s="31"/>
      <c r="E17" s="32"/>
      <c r="F17" s="31"/>
      <c r="G17" s="31"/>
      <c r="H17" s="19"/>
    </row>
    <row r="18" spans="1:8" ht="15" thickBot="1">
      <c r="A18" s="126"/>
      <c r="B18" s="24"/>
      <c r="C18" s="18"/>
      <c r="D18" s="18"/>
      <c r="E18" s="32"/>
      <c r="F18" s="18"/>
      <c r="G18" s="18"/>
      <c r="H18" s="19"/>
    </row>
    <row r="19" spans="1:8" ht="15" thickBot="1">
      <c r="A19" s="117"/>
      <c r="B19" s="15"/>
      <c r="C19" s="31"/>
      <c r="D19" s="31"/>
      <c r="E19" s="32"/>
      <c r="F19" s="31"/>
      <c r="G19" s="31"/>
      <c r="H19" s="19"/>
    </row>
    <row r="20" spans="1:8" ht="15" thickBot="1">
      <c r="A20" s="126"/>
      <c r="B20" s="15"/>
      <c r="C20" s="18"/>
      <c r="D20" s="18"/>
      <c r="E20" s="32"/>
      <c r="F20" s="18"/>
      <c r="G20" s="18"/>
      <c r="H20" s="19"/>
    </row>
    <row r="21" spans="1:8" ht="15" thickBot="1">
      <c r="A21" s="117"/>
      <c r="B21" s="15"/>
      <c r="C21" s="31"/>
      <c r="D21" s="31"/>
      <c r="E21" s="32"/>
      <c r="F21" s="31"/>
      <c r="G21" s="31"/>
      <c r="H21" s="19"/>
    </row>
    <row r="22" spans="1:8" ht="15" thickBot="1">
      <c r="A22" s="126"/>
      <c r="B22" s="15"/>
      <c r="C22" s="8"/>
      <c r="D22" s="31"/>
      <c r="E22" s="38"/>
      <c r="F22" s="31"/>
      <c r="G22" s="8"/>
      <c r="H22" s="19"/>
    </row>
    <row r="23" spans="1:8" ht="15" thickBot="1">
      <c r="A23" s="117"/>
      <c r="B23" s="15"/>
      <c r="C23" s="31"/>
      <c r="D23" s="31"/>
      <c r="E23" s="32"/>
      <c r="F23" s="31"/>
      <c r="G23" s="31"/>
      <c r="H23" s="19"/>
    </row>
    <row r="24" spans="1:8" ht="15" thickBot="1">
      <c r="A24" s="126"/>
      <c r="B24" s="15"/>
      <c r="C24" s="8"/>
      <c r="D24" s="31"/>
      <c r="E24" s="38"/>
      <c r="F24" s="31"/>
      <c r="G24" s="8"/>
      <c r="H24" s="19"/>
    </row>
    <row r="25" spans="1:8" ht="15" thickBot="1">
      <c r="A25" s="117"/>
      <c r="B25" s="15"/>
      <c r="C25" s="31"/>
      <c r="D25" s="31"/>
      <c r="E25" s="32"/>
      <c r="F25" s="31"/>
      <c r="G25" s="31"/>
      <c r="H25" s="19"/>
    </row>
    <row r="26" spans="1:8" ht="15" thickBot="1">
      <c r="A26" s="126"/>
      <c r="B26" s="15"/>
      <c r="C26" s="8"/>
      <c r="D26" s="31"/>
      <c r="E26" s="38"/>
      <c r="F26" s="31"/>
      <c r="G26" s="8"/>
      <c r="H26" s="19"/>
    </row>
  </sheetData>
  <mergeCells count="14">
    <mergeCell ref="A23:A24"/>
    <mergeCell ref="A25:A26"/>
    <mergeCell ref="A21:A22"/>
    <mergeCell ref="A19:A20"/>
    <mergeCell ref="A17:A18"/>
    <mergeCell ref="A15:A16"/>
    <mergeCell ref="C1:C2"/>
    <mergeCell ref="A1:B2"/>
    <mergeCell ref="A3:A4"/>
    <mergeCell ref="A13:A14"/>
    <mergeCell ref="A11:A12"/>
    <mergeCell ref="A9:A10"/>
    <mergeCell ref="A7:A8"/>
    <mergeCell ref="A5:A6"/>
  </mergeCells>
  <phoneticPr fontId="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7C64-E03D-4EED-9950-4D517FADDC86}">
  <dimension ref="A1:E29"/>
  <sheetViews>
    <sheetView zoomScale="95" zoomScaleNormal="100" workbookViewId="0">
      <selection activeCell="C18" sqref="C18"/>
    </sheetView>
  </sheetViews>
  <sheetFormatPr defaultRowHeight="14.4"/>
  <cols>
    <col min="1" max="1" width="33.21875" customWidth="1"/>
    <col min="2" max="2" width="36.44140625" customWidth="1"/>
    <col min="4" max="4" width="12.88671875" bestFit="1" customWidth="1"/>
    <col min="5" max="5" width="15.33203125" bestFit="1" customWidth="1"/>
    <col min="6" max="9" width="2.21875" bestFit="1" customWidth="1"/>
    <col min="10" max="10" width="3.21875" bestFit="1" customWidth="1"/>
    <col min="11" max="11" width="10.77734375" bestFit="1" customWidth="1"/>
    <col min="12" max="12" width="4.77734375" bestFit="1" customWidth="1"/>
    <col min="13" max="13" width="10.21875" bestFit="1" customWidth="1"/>
    <col min="14" max="14" width="10" bestFit="1" customWidth="1"/>
    <col min="15" max="15" width="27.21875" bestFit="1" customWidth="1"/>
    <col min="16" max="16" width="10.77734375" bestFit="1" customWidth="1"/>
  </cols>
  <sheetData>
    <row r="1" spans="1:5" ht="33" customHeight="1" thickBot="1">
      <c r="A1" s="33" t="s">
        <v>81</v>
      </c>
      <c r="B1" s="34" t="s">
        <v>113</v>
      </c>
    </row>
    <row r="2" spans="1:5" ht="16.2" thickBot="1">
      <c r="A2" s="35" t="s">
        <v>86</v>
      </c>
      <c r="B2" s="31">
        <v>17</v>
      </c>
    </row>
    <row r="3" spans="1:5" ht="16.2" thickBot="1">
      <c r="A3" s="35" t="s">
        <v>91</v>
      </c>
      <c r="B3" s="31"/>
      <c r="D3" s="36" t="s">
        <v>98</v>
      </c>
      <c r="E3" t="s">
        <v>100</v>
      </c>
    </row>
    <row r="4" spans="1:5" ht="16.2" thickBot="1">
      <c r="A4" s="35" t="s">
        <v>94</v>
      </c>
      <c r="B4" s="31">
        <v>10</v>
      </c>
      <c r="D4" s="27" t="s">
        <v>82</v>
      </c>
      <c r="E4">
        <v>9</v>
      </c>
    </row>
    <row r="5" spans="1:5" ht="16.2" thickBot="1">
      <c r="A5" s="35" t="s">
        <v>92</v>
      </c>
      <c r="B5" s="31"/>
      <c r="D5" s="27" t="s">
        <v>83</v>
      </c>
      <c r="E5">
        <v>2</v>
      </c>
    </row>
    <row r="6" spans="1:5" ht="16.2" thickBot="1">
      <c r="A6" s="35" t="s">
        <v>85</v>
      </c>
      <c r="B6" s="31">
        <v>39</v>
      </c>
      <c r="D6" s="27" t="s">
        <v>84</v>
      </c>
      <c r="E6">
        <v>1</v>
      </c>
    </row>
    <row r="7" spans="1:5" ht="16.2" thickBot="1">
      <c r="A7" s="35" t="s">
        <v>93</v>
      </c>
      <c r="B7" s="63"/>
      <c r="D7" s="27" t="s">
        <v>145</v>
      </c>
      <c r="E7">
        <v>1</v>
      </c>
    </row>
    <row r="8" spans="1:5" ht="16.2" thickBot="1">
      <c r="A8" s="35" t="s">
        <v>82</v>
      </c>
      <c r="B8" s="31">
        <v>94</v>
      </c>
      <c r="D8" s="27" t="s">
        <v>99</v>
      </c>
    </row>
    <row r="9" spans="1:5" ht="16.2" thickBot="1">
      <c r="A9" s="35" t="s">
        <v>95</v>
      </c>
      <c r="B9" s="31">
        <v>4</v>
      </c>
      <c r="D9" s="27" t="s">
        <v>176</v>
      </c>
      <c r="E9">
        <v>2</v>
      </c>
    </row>
    <row r="10" spans="1:5" ht="16.2" thickBot="1">
      <c r="A10" s="35" t="s">
        <v>87</v>
      </c>
      <c r="B10" s="31">
        <v>1</v>
      </c>
      <c r="D10" s="27" t="s">
        <v>144</v>
      </c>
      <c r="E10">
        <v>1</v>
      </c>
    </row>
    <row r="11" spans="1:5" ht="16.2" thickBot="1">
      <c r="A11" s="35" t="s">
        <v>97</v>
      </c>
      <c r="B11" s="31">
        <v>1</v>
      </c>
      <c r="D11" s="27" t="s">
        <v>188</v>
      </c>
      <c r="E11">
        <v>2</v>
      </c>
    </row>
    <row r="12" spans="1:5" ht="16.2" thickBot="1">
      <c r="A12" s="35" t="s">
        <v>83</v>
      </c>
      <c r="B12" s="31">
        <v>48</v>
      </c>
      <c r="D12" s="27" t="s">
        <v>35</v>
      </c>
      <c r="E12">
        <v>18</v>
      </c>
    </row>
    <row r="13" spans="1:5" ht="16.2" thickBot="1">
      <c r="A13" s="35" t="s">
        <v>89</v>
      </c>
      <c r="B13" s="31"/>
    </row>
    <row r="14" spans="1:5" ht="16.2" thickBot="1">
      <c r="A14" s="35" t="s">
        <v>84</v>
      </c>
      <c r="B14" s="64">
        <v>23</v>
      </c>
    </row>
    <row r="15" spans="1:5" ht="16.2" thickBot="1">
      <c r="A15" s="35" t="s">
        <v>96</v>
      </c>
      <c r="B15" s="31">
        <v>13</v>
      </c>
    </row>
    <row r="16" spans="1:5" ht="16.2" thickBot="1">
      <c r="A16" s="35" t="s">
        <v>90</v>
      </c>
      <c r="B16" s="31">
        <v>6</v>
      </c>
      <c r="D16" s="27"/>
    </row>
    <row r="17" spans="1:4" ht="16.2" thickBot="1">
      <c r="A17" s="35" t="s">
        <v>88</v>
      </c>
      <c r="B17" s="31"/>
      <c r="D17" s="27"/>
    </row>
    <row r="18" spans="1:4" ht="16.2" thickBot="1">
      <c r="A18" s="54" t="s">
        <v>109</v>
      </c>
      <c r="B18" s="79">
        <v>2</v>
      </c>
      <c r="D18" s="27"/>
    </row>
    <row r="19" spans="1:4" ht="16.2" thickBot="1">
      <c r="A19" s="80" t="s">
        <v>112</v>
      </c>
      <c r="B19" s="76">
        <v>2</v>
      </c>
      <c r="D19" s="27"/>
    </row>
    <row r="20" spans="1:4" ht="16.2" thickBot="1">
      <c r="A20" s="80" t="s">
        <v>133</v>
      </c>
      <c r="B20" s="18">
        <v>1</v>
      </c>
      <c r="D20" s="27"/>
    </row>
    <row r="21" spans="1:4">
      <c r="A21" s="27" t="s">
        <v>140</v>
      </c>
      <c r="B21" s="81">
        <v>2</v>
      </c>
      <c r="D21" s="27"/>
    </row>
    <row r="22" spans="1:4">
      <c r="D22" s="27"/>
    </row>
    <row r="23" spans="1:4">
      <c r="D23" s="27"/>
    </row>
    <row r="24" spans="1:4">
      <c r="D24" s="27"/>
    </row>
    <row r="25" spans="1:4">
      <c r="D25" s="27"/>
    </row>
    <row r="26" spans="1:4">
      <c r="D26" s="27"/>
    </row>
    <row r="27" spans="1:4">
      <c r="D27" s="27"/>
    </row>
    <row r="28" spans="1:4">
      <c r="D28" s="27"/>
    </row>
    <row r="29" spans="1:4">
      <c r="D29" s="27"/>
    </row>
  </sheetData>
  <sortState xmlns:xlrd2="http://schemas.microsoft.com/office/spreadsheetml/2017/richdata2" ref="A2:B18">
    <sortCondition ref="A2:A18"/>
  </sortState>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3fdc548c-9527-4c06-95a3-6b31b33499b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844B7434887FE47B5C76A44D552D845" ma:contentTypeVersion="14" ma:contentTypeDescription="Create a new document." ma:contentTypeScope="" ma:versionID="f88cadb1cbbe3cfaace38c72a3bf1ac1">
  <xsd:schema xmlns:xsd="http://www.w3.org/2001/XMLSchema" xmlns:xs="http://www.w3.org/2001/XMLSchema" xmlns:p="http://schemas.microsoft.com/office/2006/metadata/properties" xmlns:ns3="3fdc548c-9527-4c06-95a3-6b31b33499bb" xmlns:ns4="5f28956e-7651-44b6-8883-827cb26a07a4" targetNamespace="http://schemas.microsoft.com/office/2006/metadata/properties" ma:root="true" ma:fieldsID="0c57ca82b7b2f2ba4c30e0b194a27cc4" ns3:_="" ns4:_="">
    <xsd:import namespace="3fdc548c-9527-4c06-95a3-6b31b33499bb"/>
    <xsd:import namespace="5f28956e-7651-44b6-8883-827cb26a07a4"/>
    <xsd:element name="properties">
      <xsd:complexType>
        <xsd:sequence>
          <xsd:element name="documentManagement">
            <xsd:complexType>
              <xsd:all>
                <xsd:element ref="ns3:_activity" minOccurs="0"/>
                <xsd:element ref="ns4:SharedWithDetails" minOccurs="0"/>
                <xsd:element ref="ns4:SharingHintHash" minOccurs="0"/>
                <xsd:element ref="ns4:SharedWithUser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dc548c-9527-4c06-95a3-6b31b33499bb"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f28956e-7651-44b6-8883-827cb26a07a4" elementFormDefault="qualified">
    <xsd:import namespace="http://schemas.microsoft.com/office/2006/documentManagement/types"/>
    <xsd:import namespace="http://schemas.microsoft.com/office/infopath/2007/PartnerControls"/>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127F18-5AF9-40DA-99F7-90AF96059F41}">
  <ds:schemaRefs>
    <ds:schemaRef ds:uri="http://schemas.microsoft.com/sharepoint/v3/contenttype/forms"/>
  </ds:schemaRefs>
</ds:datastoreItem>
</file>

<file path=customXml/itemProps2.xml><?xml version="1.0" encoding="utf-8"?>
<ds:datastoreItem xmlns:ds="http://schemas.openxmlformats.org/officeDocument/2006/customXml" ds:itemID="{C5C3857F-340C-427F-ABB2-95946E63DF66}">
  <ds:schemaRefs>
    <ds:schemaRef ds:uri="http://schemas.microsoft.com/office/2006/documentManagement/types"/>
    <ds:schemaRef ds:uri="http://purl.org/dc/elements/1.1/"/>
    <ds:schemaRef ds:uri="http://purl.org/dc/dcmitype/"/>
    <ds:schemaRef ds:uri="http://www.w3.org/XML/1998/namespace"/>
    <ds:schemaRef ds:uri="http://purl.org/dc/terms/"/>
    <ds:schemaRef ds:uri="http://schemas.microsoft.com/office/infopath/2007/PartnerControls"/>
    <ds:schemaRef ds:uri="http://schemas.openxmlformats.org/package/2006/metadata/core-properties"/>
    <ds:schemaRef ds:uri="5f28956e-7651-44b6-8883-827cb26a07a4"/>
    <ds:schemaRef ds:uri="3fdc548c-9527-4c06-95a3-6b31b33499bb"/>
    <ds:schemaRef ds:uri="http://schemas.microsoft.com/office/2006/metadata/properties"/>
  </ds:schemaRefs>
</ds:datastoreItem>
</file>

<file path=customXml/itemProps3.xml><?xml version="1.0" encoding="utf-8"?>
<ds:datastoreItem xmlns:ds="http://schemas.openxmlformats.org/officeDocument/2006/customXml" ds:itemID="{577C564F-CC4E-463F-A81D-C84B20E671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dc548c-9527-4c06-95a3-6b31b33499bb"/>
    <ds:schemaRef ds:uri="5f28956e-7651-44b6-8883-827cb26a07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1.Summary</vt:lpstr>
      <vt:lpstr>Detail1</vt:lpstr>
      <vt:lpstr>Sheet1</vt:lpstr>
      <vt:lpstr>Sheet2</vt:lpstr>
      <vt:lpstr>2.Sponsors_summary</vt:lpstr>
      <vt:lpstr>3.Deals_total</vt:lpstr>
      <vt:lpstr>4.Re-filings</vt:lpstr>
      <vt:lpstr>5.GBA</vt:lpstr>
      <vt:lpstr>6.GBA-detail</vt:lpstr>
      <vt:lpstr>7.CN_banks_involved</vt:lpstr>
      <vt:lpstr>8. Auditor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Jayson</dc:creator>
  <cp:keywords/>
  <dc:description/>
  <cp:lastModifiedBy>DBS</cp:lastModifiedBy>
  <cp:revision/>
  <dcterms:created xsi:type="dcterms:W3CDTF">2024-03-15T01:49:46Z</dcterms:created>
  <dcterms:modified xsi:type="dcterms:W3CDTF">2026-05-24T18:51:14Z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0x0101005844B7434887FE47B5C76A44D552D845</vt:lpwstr>
  </property>
</Properties>
</file>