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hidePivotFieldList="1" defaultThemeVersion="166925"/>
  <mc:AlternateContent xmlns:mc="http://schemas.openxmlformats.org/markup-compatibility/2006">
    <mc:Choice Requires="x15">
      <x15ac:absPath xmlns:x15ac="http://schemas.microsoft.com/office/spreadsheetml/2010/11/ac" url="/Users/jasonlu/Downloads/"/>
    </mc:Choice>
  </mc:AlternateContent>
  <xr:revisionPtr revIDLastSave="0" documentId="13_ncr:1_{A0BF05F7-15C1-B54C-AFDB-2D882C35BBA8}" xr6:coauthVersionLast="47" xr6:coauthVersionMax="47" xr10:uidLastSave="{00000000-0000-0000-0000-000000000000}"/>
  <bookViews>
    <workbookView xWindow="0" yWindow="680" windowWidth="34200" windowHeight="20180" tabRatio="691" xr2:uid="{31651797-ABAA-47F6-AE27-D4BAA295ABCD}"/>
  </bookViews>
  <sheets>
    <sheet name="1.Summary" sheetId="8" r:id="rId1"/>
    <sheet name="Detail1" sheetId="11" state="hidden" r:id="rId2"/>
    <sheet name="Sheet1" sheetId="12" state="hidden" r:id="rId3"/>
    <sheet name="Sheet2" sheetId="13" state="hidden" r:id="rId4"/>
    <sheet name="2.Sponsors_summary" sheetId="9" r:id="rId5"/>
    <sheet name="3.Deals_total" sheetId="3" r:id="rId6"/>
    <sheet name="4.Re-filings" sheetId="4" r:id="rId7"/>
    <sheet name="5.GBA" sheetId="5" r:id="rId8"/>
    <sheet name="6.GBA-detail" sheetId="6" r:id="rId9"/>
    <sheet name="7.CN_banks_involved" sheetId="7" r:id="rId10"/>
    <sheet name="8. Auditor" sheetId="10" r:id="rId11"/>
  </sheets>
  <definedNames>
    <definedName name="_xlnm._FilterDatabase" localSheetId="0" hidden="1">'1.Summary'!$A$1:$Q$54</definedName>
  </definedNames>
  <calcPr calcId="191028"/>
  <pivotCaches>
    <pivotCache cacheId="0" r:id="rId12"/>
    <pivotCache cacheId="1" r:id="rId13"/>
    <pivotCache cacheId="2" r:id="rId14"/>
    <pivotCache cacheId="3" r:id="rId15"/>
    <pivotCache cacheId="4"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7" l="1"/>
  <c r="H12" i="7"/>
  <c r="E12" i="7"/>
  <c r="O2" i="3" l="1"/>
  <c r="C4" i="4" l="1"/>
  <c r="E10" i="7"/>
  <c r="H9" i="7" l="1"/>
  <c r="E9" i="7"/>
  <c r="H8" i="7" l="1"/>
  <c r="E8" i="7"/>
  <c r="E4" i="4" l="1"/>
  <c r="E7" i="7" l="1"/>
  <c r="H7" i="7"/>
  <c r="H4" i="7" l="1"/>
  <c r="E6" i="7"/>
  <c r="E5" i="7"/>
  <c r="E4" i="7"/>
  <c r="F5" i="7"/>
  <c r="H6" i="7"/>
  <c r="H5" i="7" l="1"/>
  <c r="H3" i="7"/>
  <c r="E3" i="7"/>
  <c r="D2" i="5" l="1"/>
  <c r="B3" i="4"/>
  <c r="A4" i="4" s="1"/>
  <c r="O4" i="9"/>
  <c r="O33" i="9" l="1"/>
  <c r="O32" i="9"/>
  <c r="O31" i="9"/>
  <c r="O30" i="9"/>
  <c r="O29" i="9"/>
  <c r="O28" i="9"/>
  <c r="O27" i="9"/>
  <c r="O26" i="9"/>
  <c r="O25" i="9"/>
  <c r="O24" i="9"/>
  <c r="O23" i="9"/>
  <c r="O22" i="9"/>
  <c r="O21" i="9"/>
  <c r="O18" i="9"/>
  <c r="O17" i="9"/>
  <c r="O16" i="9"/>
  <c r="O15" i="9"/>
  <c r="O14" i="9"/>
  <c r="O13" i="9"/>
  <c r="O12" i="9"/>
  <c r="O11" i="9"/>
  <c r="O10" i="9"/>
  <c r="O9" i="9"/>
  <c r="O8" i="9"/>
  <c r="O7" i="9"/>
  <c r="O6" i="9"/>
  <c r="O5" i="9"/>
  <c r="O3" i="9"/>
  <c r="O34" i="9" l="1"/>
  <c r="O19" i="9"/>
  <c r="C3" i="5"/>
  <c r="B3" i="5"/>
  <c r="D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tc={30625F22-3116-4CF2-9A45-1AA06009EE02}</author>
  </authors>
  <commentList>
    <comment ref="B1" authorId="0" shapeId="0" xr:uid="{30625F22-3116-4CF2-9A45-1AA06009EE02}">
      <text>
        <t>[线程批注]
你的Excel版本可读取此线程批注; 但如果在更新版本的Excel中打开文件，则对批注所作的任何改动都将被删除。了解详细信息: https://go.microsoft.com/fwlink/?linkid=870924
注释:
    Jan 1 - Jan 4 to be updated</t>
      </text>
    </comment>
  </commentList>
</comments>
</file>

<file path=xl/sharedStrings.xml><?xml version="1.0" encoding="utf-8"?>
<sst xmlns="http://schemas.openxmlformats.org/spreadsheetml/2006/main" count="285" uniqueCount="176">
  <si>
    <t>#</t>
  </si>
  <si>
    <t>Name of Company</t>
  </si>
  <si>
    <t>Brief description of business</t>
  </si>
  <si>
    <t>Sector</t>
  </si>
  <si>
    <t>Industry</t>
  </si>
  <si>
    <t>Currency</t>
  </si>
  <si>
    <t>Revenue</t>
  </si>
  <si>
    <t>Net Profit/(Loss)</t>
  </si>
  <si>
    <t>Sponsor</t>
  </si>
  <si>
    <t>Overall coordinator</t>
  </si>
  <si>
    <t>Listing Application Date</t>
  </si>
  <si>
    <t>Controlling Shareholders</t>
  </si>
  <si>
    <t>Temasek/GIC-Linked</t>
  </si>
  <si>
    <t>PE/VC involved</t>
  </si>
  <si>
    <t>CN/HK/GBA</t>
  </si>
  <si>
    <t>Remarks</t>
  </si>
  <si>
    <t>Re-filing?</t>
  </si>
  <si>
    <t>(Latest FY’000)</t>
  </si>
  <si>
    <t>Industrial</t>
  </si>
  <si>
    <t>TMT</t>
  </si>
  <si>
    <t>GTJA</t>
  </si>
  <si>
    <t>China Securities</t>
  </si>
  <si>
    <t>Automotive</t>
  </si>
  <si>
    <t>Energy</t>
  </si>
  <si>
    <t>CICC</t>
  </si>
  <si>
    <t>Huatai</t>
  </si>
  <si>
    <t>Servicing</t>
  </si>
  <si>
    <t>Healthcare and Pharmaceutical</t>
  </si>
  <si>
    <t>Consumer Discretionary</t>
  </si>
  <si>
    <t>Consumer Staples</t>
  </si>
  <si>
    <t>Education</t>
  </si>
  <si>
    <t>Environment</t>
  </si>
  <si>
    <t>Financial Service</t>
  </si>
  <si>
    <t>Real Estate</t>
  </si>
  <si>
    <t>SPAC</t>
  </si>
  <si>
    <t>Grand Total</t>
  </si>
  <si>
    <t>Chinese Bank</t>
  </si>
  <si>
    <t>ABCI</t>
  </si>
  <si>
    <t>BOCI</t>
  </si>
  <si>
    <t>BOCOMI</t>
  </si>
  <si>
    <t>CCBI</t>
  </si>
  <si>
    <t>China Galaxy</t>
  </si>
  <si>
    <t>China Renaissance</t>
  </si>
  <si>
    <t>CITIC/CLSA</t>
  </si>
  <si>
    <t>CMBI</t>
  </si>
  <si>
    <t>CMS</t>
  </si>
  <si>
    <t>Haitong</t>
  </si>
  <si>
    <t>ICBCI</t>
  </si>
  <si>
    <t>Others</t>
  </si>
  <si>
    <t>Sub-total: Chinese Banks</t>
  </si>
  <si>
    <t>Non-Chinese Banks</t>
  </si>
  <si>
    <t>BNP</t>
  </si>
  <si>
    <t>BofA/Merill Lynch</t>
  </si>
  <si>
    <t>Citi</t>
  </si>
  <si>
    <t>DBS</t>
  </si>
  <si>
    <t>Deutsche Bank</t>
  </si>
  <si>
    <t>Goldman Sachs</t>
  </si>
  <si>
    <t>HSBC</t>
  </si>
  <si>
    <t>JP Morgan</t>
  </si>
  <si>
    <t>Morgan Stanley</t>
  </si>
  <si>
    <t>Nomura</t>
  </si>
  <si>
    <t>UBS</t>
  </si>
  <si>
    <t>Sub-total: Non Chinese Banks</t>
  </si>
  <si>
    <t>IPO sponsor deals total</t>
  </si>
  <si>
    <t>Re-filings</t>
  </si>
  <si>
    <t xml:space="preserve">No. of GBA Deals </t>
  </si>
  <si>
    <t>No. of Non-GBA Deals</t>
  </si>
  <si>
    <t>Total No. of  Deals</t>
  </si>
  <si>
    <t>No. of Applications</t>
  </si>
  <si>
    <t>% Split</t>
  </si>
  <si>
    <t>No. of Deals</t>
  </si>
  <si>
    <r>
      <t xml:space="preserve">Consumer </t>
    </r>
    <r>
      <rPr>
        <sz val="11"/>
        <color theme="1"/>
        <rFont val="Calibri"/>
        <family val="2"/>
      </rPr>
      <t>Discretionary</t>
    </r>
  </si>
  <si>
    <t>Total Number of listing application</t>
  </si>
  <si>
    <t>No. of listing applications</t>
  </si>
  <si>
    <t xml:space="preserve">Chinese banks </t>
  </si>
  <si>
    <t>No. of</t>
  </si>
  <si>
    <t>Chinese banks involved</t>
  </si>
  <si>
    <t>%</t>
  </si>
  <si>
    <t>non-Chinese banks involved</t>
  </si>
  <si>
    <t>Jan</t>
  </si>
  <si>
    <t>Auditor</t>
  </si>
  <si>
    <t>HK IPO Auditor</t>
  </si>
  <si>
    <t>EY</t>
  </si>
  <si>
    <t>KPMG</t>
  </si>
  <si>
    <t>PwC</t>
  </si>
  <si>
    <t>Deloitte</t>
  </si>
  <si>
    <t>BDO</t>
  </si>
  <si>
    <t>Grant Thornton</t>
  </si>
  <si>
    <t>UHY</t>
  </si>
  <si>
    <t>Pan-China</t>
  </si>
  <si>
    <t>ShineWing</t>
  </si>
  <si>
    <t>CCIF</t>
  </si>
  <si>
    <t>Crowe Horwath</t>
  </si>
  <si>
    <t>Evergreen</t>
  </si>
  <si>
    <t>Confucius International</t>
  </si>
  <si>
    <t>Forvis Mazars</t>
  </si>
  <si>
    <t>Rong Cheng</t>
  </si>
  <si>
    <t>HLB Hodgson Impley Cheng</t>
  </si>
  <si>
    <t>Row Labels</t>
  </si>
  <si>
    <t>(blank)</t>
  </si>
  <si>
    <t>Count of Auditor</t>
  </si>
  <si>
    <t>N</t>
  </si>
  <si>
    <t>Column Labels</t>
  </si>
  <si>
    <t>Count of Re-filing?</t>
  </si>
  <si>
    <t>Count of Sector</t>
  </si>
  <si>
    <t>As of 31/01/2025</t>
  </si>
  <si>
    <t>As of 31/01/2026</t>
  </si>
  <si>
    <t>Feb</t>
  </si>
  <si>
    <t>ZHONGHUI ANDA</t>
  </si>
  <si>
    <t>As of 28/02/2026</t>
  </si>
  <si>
    <t>As of 28/02/2025</t>
  </si>
  <si>
    <t>RSM</t>
  </si>
  <si>
    <t>2026/1/5 - 2026/2/28</t>
  </si>
  <si>
    <t>Mar</t>
  </si>
  <si>
    <t>2025/01/01 – 2025/12/31</t>
  </si>
  <si>
    <t>Details for Count of Sponsor - Sponsor: CMBC, BOCI, Sector: Energy</t>
  </si>
  <si>
    <t>Count of #</t>
  </si>
  <si>
    <t>As of 29/03/2026</t>
  </si>
  <si>
    <t>As of 29/03/2025</t>
  </si>
  <si>
    <t>CICC, Haitong</t>
  </si>
  <si>
    <t>CICC, CMS</t>
  </si>
  <si>
    <t>CCB, CMS</t>
  </si>
  <si>
    <t>China Industrial Securities</t>
  </si>
  <si>
    <t>Apri</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</si>
  <si>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</si>
  <si>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</si>
  <si>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</si>
  <si>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</si>
  <si>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</si>
  <si>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</si>
  <si>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</si>
  <si>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</si>
  <si>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</si>
  <si>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</si>
  <si>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</si>
  <si>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Count of Sponsor</t>
  </si>
  <si>
    <t>Refile</t>
  </si>
  <si>
    <t>New</t>
  </si>
  <si>
    <t>CLSA</t>
  </si>
  <si>
    <t>GF, ABCI</t>
  </si>
  <si>
    <t>Y, last filed on 25/08/2025</t>
  </si>
  <si>
    <t>China Securities, GF</t>
  </si>
  <si>
    <t>JPM, CLSA, China Securities</t>
  </si>
  <si>
    <t>MS, CICC, GTJA, BofA</t>
  </si>
  <si>
    <t>SHINEWING</t>
  </si>
  <si>
    <t>Haitong, CLSA</t>
  </si>
  <si>
    <t>Haitong, CCB</t>
  </si>
  <si>
    <t>CMBI, Sinolink</t>
  </si>
  <si>
    <t>BoA, CMS, JP Morgan</t>
  </si>
  <si>
    <t>Huatai, CLSA, CMBI</t>
  </si>
  <si>
    <t>Baker Tilly</t>
  </si>
  <si>
    <t>Haitong, BOCI</t>
  </si>
  <si>
    <t>Jefferies, BofA, CICC</t>
  </si>
  <si>
    <t>CICC, UBS</t>
  </si>
  <si>
    <t>GS, BofA, JP Morgan</t>
  </si>
  <si>
    <t>Rongcheng</t>
  </si>
  <si>
    <t>Jefferies</t>
  </si>
  <si>
    <t>As of 30/04/2026</t>
  </si>
  <si>
    <t>As of 30/04/2025</t>
  </si>
  <si>
    <t>May</t>
  </si>
  <si>
    <t>As of 03/05/2025</t>
  </si>
  <si>
    <t>As of 03/05/2026</t>
  </si>
  <si>
    <t>Y, last filed on 29/09/2025</t>
  </si>
  <si>
    <t>Y, last filed on 19/09/2025</t>
  </si>
  <si>
    <t>Y, last filed on 22/09/2025</t>
  </si>
  <si>
    <t>Y, last filed on 09/06/2025</t>
  </si>
  <si>
    <t>Y, last filed on 08/10/2025</t>
  </si>
  <si>
    <t>Y, last filed on 28/10/2025</t>
  </si>
  <si>
    <t>Y, last filed on 8/10/2025</t>
  </si>
  <si>
    <t>Y, last filed on 28/08/2025</t>
  </si>
  <si>
    <t>Y, last filed on 30/10/2025</t>
  </si>
  <si>
    <t>Y, last filed on 27/10/2025</t>
  </si>
  <si>
    <t>Y, last filed on 30/09/2025</t>
  </si>
  <si>
    <t>2026/01/01 – 2026/05/03</t>
  </si>
  <si>
    <t>2025/01/01 – 2025/05/03</t>
  </si>
  <si>
    <t>Sonsors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</si>
</sst>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等线"/>
      <family val="2"/>
      <scheme val="minor"/>
    </font>
    <font>
      <sz val="11"/>
      <color theme="1"/>
      <name val="Arial"/>
      <family val="2"/>
      <charset val="134"/>
    </font>
    <font>
      <sz val="10"/>
      <color theme="1"/>
      <name val="Times New Roman"/>
      <family val="1"/>
    </font>
    <font>
      <sz val="11"/>
      <color theme="1"/>
      <name val="Calibri"/>
      <family val="2"/>
    </font>
    <font>
      <b/>
      <sz val="11"/>
      <color theme="1"/>
      <name val="Calibri"/>
      <family val="2"/>
    </font>
    <font>
      <b/>
      <sz val="11"/>
      <color rgb="FFFFFFFF"/>
      <name val="Calibri"/>
      <family val="2"/>
    </font>
    <font>
      <b/>
      <sz val="11"/>
      <color rgb="FF000000"/>
      <name val="Calibri"/>
      <family val="2"/>
    </font>
    <font>
      <sz val="11"/>
      <color rgb="FF000000"/>
      <name val="Calibri"/>
      <family val="2"/>
    </font>
    <font>
      <sz val="8"/>
      <name val="等线"/>
      <family val="2"/>
      <scheme val="minor"/>
    </font>
    <font>
      <sz val="11"/>
      <color indexed="8"/>
      <name val="等线"/>
      <family val="2"/>
      <scheme val="minor"/>
    </font>
    <font>
      <sz val="11"/>
      <color theme="1"/>
      <name val="等线"/>
      <family val="2"/>
      <charset val="134"/>
      <scheme val="minor"/>
    </font>
    <font>
      <sz val="11"/>
      <name val="Calibri"/>
      <family val="2"/>
    </font>
    <font>
      <sz val="11"/>
      <name val="等线"/>
      <family val="2"/>
      <scheme val="minor"/>
    </font>
    <font>
      <sz val="11"/>
      <color rgb="FF000000"/>
      <name val="Aptos"/>
      <family val="2"/>
      <charset val="1"/>
    </font>
    <font>
      <sz val="11"/>
      <color theme="1"/>
      <name val="等线"/>
      <family val="2"/>
      <scheme val="minor"/>
    </font>
    <font>
      <b/>
      <sz val="14"/>
      <color rgb="FFFFFFFF"/>
      <name val="Calibri"/>
      <family val="2"/>
    </font>
    <font>
      <b/>
      <sz val="12"/>
      <color rgb="FF000000"/>
      <name val="Calibri"/>
      <family val="2"/>
    </font>
    <font>
      <sz val="11"/>
      <color rgb="FF0070C0"/>
      <name val="等线"/>
      <family val="2"/>
      <scheme val="minor"/>
    </font>
    <font>
      <sz val="11"/>
      <color rgb="FFFF0000"/>
      <name val="等线"/>
      <family val="2"/>
      <scheme val="minor"/>
    </font>
    <font>
      <b/>
      <sz val="11"/>
      <color theme="0"/>
      <name val="Calibri"/>
      <family val="2"/>
    </font>
    <font>
      <b/>
      <sz val="11"/>
      <color theme="1"/>
      <name val="等线"/>
      <family val="2"/>
      <scheme val="minor"/>
    </font>
    <font>
      <b/>
      <sz val="12"/>
      <color theme="1"/>
      <name val="Calibri"/>
      <family val="2"/>
    </font>
    <font>
      <b/>
      <i/>
      <sz val="11"/>
      <color theme="1"/>
      <name val="等线"/>
      <family val="2"/>
      <scheme val="minor"/>
    </font>
    <font>
      <sz val="9"/>
      <name val="等线"/>
      <family val="3"/>
      <charset val="134"/>
      <scheme val="minor"/>
    </font>
  </fonts>
  <fills count="10">
    <fill>
      <patternFill patternType="none"/>
    </fill>
    <fill>
      <patternFill patternType="gray125"/>
    </fill>
    <fill>
      <patternFill patternType="solid">
        <fgColor rgb="FFC00000"/>
        <bgColor indexed="64"/>
      </patternFill>
    </fill>
    <fill>
      <patternFill patternType="solid">
        <fgColor rgb="FF000000"/>
        <bgColor indexed="64"/>
      </patternFill>
    </fill>
    <fill>
      <patternFill patternType="solid">
        <fgColor rgb="FFFCE4D6"/>
        <bgColor indexed="64"/>
      </patternFill>
    </fill>
    <fill>
      <patternFill patternType="solid">
        <fgColor rgb="FFF2F2F2"/>
        <bgColor indexed="64"/>
      </patternFill>
    </fill>
    <fill>
      <patternFill patternType="solid">
        <fgColor rgb="FFFFF2CC"/>
        <bgColor indexed="64"/>
      </patternFill>
    </fill>
    <fill>
      <patternFill patternType="solid">
        <fgColor theme="5" tint="0.59999389629810485"/>
        <bgColor indexed="64"/>
      </patternFill>
    </fill>
    <fill>
      <patternFill patternType="solid">
        <fgColor theme="0"/>
        <bgColor indexed="64"/>
      </patternFill>
    </fill>
    <fill>
      <patternFill patternType="solid">
        <fgColor rgb="FFFFFFFF"/>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top/>
      <bottom style="thin">
        <color indexed="8"/>
      </bottom>
      <diagonal/>
    </border>
  </borders>
  <cellStyleXfs count="5">
    <xf numFmtId="0" fontId="0" fillId="0" borderId="0"/>
    <xf numFmtId="0" fontId="1" fillId="0" borderId="0"/>
    <xf numFmtId="0" fontId="9" fillId="0" borderId="0"/>
    <xf numFmtId="0" fontId="10" fillId="0" borderId="0">
      <alignment vertical="center"/>
    </xf>
    <xf numFmtId="9" fontId="14" fillId="0" borderId="0" applyFont="0" applyFill="0" applyBorder="0" applyAlignment="0" applyProtection="0"/>
  </cellStyleXfs>
  <cellXfs count="118">
    <xf numFmtId="0" fontId="0" fillId="0" borderId="0" xfId="0"/>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1" xfId="0" applyFont="1" applyBorder="1" applyAlignment="1">
      <alignment vertical="center"/>
    </xf>
    <xf numFmtId="0" fontId="5" fillId="2" borderId="1" xfId="0" applyFont="1" applyFill="1" applyBorder="1" applyAlignment="1">
      <alignment vertical="center"/>
    </xf>
    <xf numFmtId="0" fontId="5" fillId="2" borderId="2" xfId="0" applyFont="1" applyFill="1" applyBorder="1" applyAlignment="1">
      <alignment horizontal="center" vertical="center"/>
    </xf>
    <xf numFmtId="0" fontId="7" fillId="0" borderId="3" xfId="0" applyFont="1" applyBorder="1" applyAlignment="1">
      <alignment horizontal="justify" vertical="center"/>
    </xf>
    <xf numFmtId="0" fontId="7" fillId="0" borderId="4" xfId="0" applyFont="1" applyBorder="1" applyAlignment="1">
      <alignment horizontal="center" vertical="center"/>
    </xf>
    <xf numFmtId="0" fontId="5" fillId="3" borderId="1" xfId="0" applyFont="1" applyFill="1" applyBorder="1" applyAlignment="1">
      <alignment horizontal="center" vertical="center" wrapText="1"/>
    </xf>
    <xf numFmtId="0" fontId="2" fillId="0" borderId="1" xfId="0" applyFont="1" applyBorder="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4" fillId="0" borderId="5" xfId="3" applyFont="1" applyBorder="1">
      <alignment vertical="center"/>
    </xf>
    <xf numFmtId="0" fontId="3" fillId="0" borderId="5" xfId="3" applyFont="1" applyBorder="1" applyAlignment="1">
      <alignment horizontal="center" vertical="center"/>
    </xf>
    <xf numFmtId="0" fontId="3" fillId="0" borderId="1" xfId="0" applyFont="1" applyBorder="1" applyAlignment="1">
      <alignment horizontal="center" vertical="center"/>
    </xf>
    <xf numFmtId="176" fontId="3" fillId="0" borderId="1" xfId="0" applyNumberFormat="1" applyFont="1" applyBorder="1" applyAlignment="1">
      <alignment horizontal="center" vertical="center"/>
    </xf>
    <xf numFmtId="0" fontId="5" fillId="3" borderId="5" xfId="0" applyFont="1" applyFill="1" applyBorder="1" applyAlignment="1">
      <alignment horizontal="center" vertical="center" wrapText="1"/>
    </xf>
    <xf numFmtId="0" fontId="3" fillId="0" borderId="5" xfId="3" applyFont="1" applyBorder="1">
      <alignment vertical="center"/>
    </xf>
    <xf numFmtId="0" fontId="5" fillId="2" borderId="5" xfId="0" applyFont="1" applyFill="1" applyBorder="1" applyAlignment="1">
      <alignment horizontal="center" vertical="center" wrapText="1"/>
    </xf>
    <xf numFmtId="176" fontId="3" fillId="0" borderId="0" xfId="3" applyNumberFormat="1" applyFont="1">
      <alignment vertical="center"/>
    </xf>
    <xf numFmtId="0" fontId="7" fillId="5" borderId="6" xfId="0" applyFont="1" applyFill="1" applyBorder="1" applyAlignment="1">
      <alignment horizontal="center" vertical="center"/>
    </xf>
    <xf numFmtId="0" fontId="3" fillId="0" borderId="7" xfId="0" applyFont="1" applyBorder="1" applyAlignment="1">
      <alignment horizontal="center" vertical="center"/>
    </xf>
    <xf numFmtId="176" fontId="3" fillId="0" borderId="7" xfId="0" applyNumberFormat="1" applyFont="1" applyBorder="1" applyAlignment="1">
      <alignment horizontal="center" vertical="center"/>
    </xf>
    <xf numFmtId="0" fontId="0" fillId="0" borderId="0" xfId="0" applyAlignment="1">
      <alignment horizontal="left"/>
    </xf>
    <xf numFmtId="0" fontId="6"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3" fillId="0" borderId="4" xfId="0" applyFont="1" applyBorder="1" applyAlignment="1">
      <alignment horizontal="center" vertical="center"/>
    </xf>
    <xf numFmtId="10" fontId="3" fillId="0" borderId="4" xfId="4" applyNumberFormat="1" applyFont="1" applyFill="1" applyBorder="1" applyAlignment="1">
      <alignment horizontal="center" vertical="center"/>
    </xf>
    <xf numFmtId="0" fontId="5" fillId="2"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5" fillId="2" borderId="1" xfId="0" applyFont="1" applyFill="1" applyBorder="1" applyAlignment="1">
      <alignment vertical="center"/>
    </xf>
    <xf numFmtId="0" fontId="15" fillId="2" borderId="2" xfId="0" applyFont="1" applyFill="1" applyBorder="1" applyAlignment="1">
      <alignment horizontal="center" vertical="center"/>
    </xf>
    <xf numFmtId="0" fontId="16" fillId="0" borderId="3" xfId="0" applyFont="1" applyBorder="1" applyAlignment="1">
      <alignment horizontal="justify" vertical="center"/>
    </xf>
    <xf numFmtId="0" fontId="0" fillId="0" borderId="0" xfId="0" pivotButton="1"/>
    <xf numFmtId="176" fontId="3" fillId="0" borderId="5" xfId="3" applyNumberFormat="1" applyFont="1" applyBorder="1">
      <alignment vertical="center"/>
    </xf>
    <xf numFmtId="10" fontId="7" fillId="0" borderId="4" xfId="0" applyNumberFormat="1" applyFont="1" applyBorder="1" applyAlignment="1">
      <alignment horizontal="center" vertical="center"/>
    </xf>
    <xf numFmtId="0" fontId="3" fillId="0" borderId="5" xfId="3" applyFont="1" applyBorder="1" applyAlignment="1">
      <alignment horizontal="center" vertical="center" wrapText="1"/>
    </xf>
    <xf numFmtId="9" fontId="5" fillId="2" borderId="5" xfId="4" applyFont="1" applyFill="1" applyBorder="1" applyAlignment="1">
      <alignment horizontal="center" vertical="center" wrapText="1"/>
    </xf>
    <xf numFmtId="9" fontId="0" fillId="0" borderId="5" xfId="4" applyFont="1" applyBorder="1" applyAlignment="1">
      <alignment horizontal="center" vertical="center" wrapText="1"/>
    </xf>
    <xf numFmtId="9" fontId="12" fillId="8" borderId="5" xfId="4" applyFont="1" applyFill="1" applyBorder="1" applyAlignment="1">
      <alignment horizontal="center" vertical="center" wrapText="1"/>
    </xf>
    <xf numFmtId="9" fontId="0" fillId="0" borderId="5" xfId="4" applyFont="1" applyBorder="1" applyAlignment="1">
      <alignment vertical="center" wrapText="1"/>
    </xf>
    <xf numFmtId="9" fontId="0" fillId="0" borderId="5" xfId="4" applyFont="1" applyBorder="1" applyAlignment="1">
      <alignment horizontal="left" vertical="center" wrapText="1"/>
    </xf>
    <xf numFmtId="0" fontId="12" fillId="0" borderId="5" xfId="4" applyNumberFormat="1" applyFont="1" applyBorder="1" applyAlignment="1">
      <alignment horizontal="center" vertical="center" wrapText="1"/>
    </xf>
    <xf numFmtId="0" fontId="0" fillId="0" borderId="5" xfId="4" applyNumberFormat="1" applyFont="1" applyBorder="1" applyAlignment="1">
      <alignment horizontal="center" vertical="center" wrapText="1"/>
    </xf>
    <xf numFmtId="0" fontId="11" fillId="8" borderId="5" xfId="4" applyNumberFormat="1" applyFont="1" applyFill="1" applyBorder="1" applyAlignment="1">
      <alignment horizontal="center" vertical="center" wrapText="1"/>
    </xf>
    <xf numFmtId="0" fontId="0" fillId="0" borderId="5" xfId="4" applyNumberFormat="1" applyFont="1" applyBorder="1" applyAlignment="1">
      <alignment vertical="center" wrapText="1"/>
    </xf>
    <xf numFmtId="0" fontId="0" fillId="0" borderId="5" xfId="4" applyNumberFormat="1" applyFont="1" applyBorder="1" applyAlignment="1">
      <alignment horizontal="left" vertical="center" wrapText="1"/>
    </xf>
    <xf numFmtId="0" fontId="0" fillId="0" borderId="10" xfId="4" applyNumberFormat="1" applyFont="1" applyBorder="1" applyAlignment="1">
      <alignment horizontal="center" vertical="center" wrapText="1"/>
    </xf>
    <xf numFmtId="0" fontId="11" fillId="0" borderId="5" xfId="4" applyNumberFormat="1" applyFont="1" applyBorder="1" applyAlignment="1">
      <alignment horizontal="center" vertical="center" wrapText="1"/>
    </xf>
    <xf numFmtId="0" fontId="12" fillId="0" borderId="5" xfId="4" applyNumberFormat="1" applyFont="1" applyBorder="1" applyAlignment="1">
      <alignment horizontal="left" vertical="center" wrapText="1"/>
    </xf>
    <xf numFmtId="0" fontId="13" fillId="0" borderId="8" xfId="4" applyNumberFormat="1" applyFont="1" applyBorder="1" applyAlignment="1">
      <alignment horizontal="left" vertical="center" wrapText="1"/>
    </xf>
    <xf numFmtId="0" fontId="13" fillId="0" borderId="0" xfId="4" applyNumberFormat="1" applyFont="1" applyAlignment="1">
      <alignment horizontal="left" vertical="center" wrapText="1"/>
    </xf>
    <xf numFmtId="0" fontId="0" fillId="0" borderId="0" xfId="0" applyAlignment="1">
      <alignment horizontal="center" vertical="center" wrapText="1"/>
    </xf>
    <xf numFmtId="38" fontId="11" fillId="8" borderId="5" xfId="0" applyNumberFormat="1" applyFont="1" applyFill="1" applyBorder="1" applyAlignment="1">
      <alignment horizontal="center" vertical="center" wrapText="1"/>
    </xf>
    <xf numFmtId="0" fontId="0" fillId="0" borderId="14" xfId="4" applyNumberFormat="1" applyFont="1" applyBorder="1" applyAlignment="1">
      <alignment vertical="center" wrapText="1"/>
    </xf>
    <xf numFmtId="0" fontId="7" fillId="9" borderId="4" xfId="0" applyFont="1" applyFill="1" applyBorder="1" applyAlignment="1">
      <alignment horizontal="center" vertical="center" wrapText="1"/>
    </xf>
    <xf numFmtId="0" fontId="16" fillId="0" borderId="15" xfId="0" applyFont="1" applyBorder="1" applyAlignment="1">
      <alignment horizontal="justify" vertical="center"/>
    </xf>
    <xf numFmtId="9" fontId="17" fillId="8" borderId="5" xfId="4" applyFont="1" applyFill="1" applyBorder="1" applyAlignment="1">
      <alignment horizontal="center" vertical="center" wrapText="1"/>
    </xf>
    <xf numFmtId="0" fontId="18" fillId="0" borderId="0" xfId="0" applyFont="1"/>
    <xf numFmtId="0" fontId="14" fillId="0" borderId="5" xfId="4" applyNumberFormat="1" applyFont="1" applyBorder="1" applyAlignment="1">
      <alignment horizontal="center" vertical="center" wrapText="1"/>
    </xf>
    <xf numFmtId="9" fontId="14" fillId="8" borderId="5" xfId="4" applyFont="1" applyFill="1" applyBorder="1" applyAlignment="1">
      <alignment horizontal="left" vertical="center" wrapText="1"/>
    </xf>
    <xf numFmtId="9" fontId="14" fillId="8" borderId="5" xfId="4" applyFont="1" applyFill="1" applyBorder="1" applyAlignment="1">
      <alignment horizontal="center" vertical="center" wrapText="1"/>
    </xf>
    <xf numFmtId="38" fontId="3" fillId="8" borderId="5" xfId="0" applyNumberFormat="1" applyFont="1" applyFill="1" applyBorder="1" applyAlignment="1">
      <alignment horizontal="center" vertical="center" wrapText="1"/>
    </xf>
    <xf numFmtId="14" fontId="14" fillId="8" borderId="5" xfId="4" applyNumberFormat="1" applyFont="1" applyFill="1" applyBorder="1" applyAlignment="1">
      <alignment horizontal="center" vertical="center" wrapText="1"/>
    </xf>
    <xf numFmtId="0" fontId="3" fillId="8" borderId="5" xfId="4" applyNumberFormat="1" applyFont="1" applyFill="1" applyBorder="1" applyAlignment="1">
      <alignment horizontal="center" vertical="center" wrapText="1"/>
    </xf>
    <xf numFmtId="0" fontId="14" fillId="8" borderId="5" xfId="4" applyNumberFormat="1" applyFont="1" applyFill="1" applyBorder="1" applyAlignment="1">
      <alignment horizontal="center" vertical="center" wrapText="1"/>
    </xf>
    <xf numFmtId="0" fontId="14" fillId="8" borderId="5" xfId="4" applyNumberFormat="1" applyFont="1" applyFill="1" applyBorder="1" applyAlignment="1">
      <alignment horizontal="left" vertical="center" wrapText="1"/>
    </xf>
    <xf numFmtId="0" fontId="10" fillId="0" borderId="5" xfId="3" applyBorder="1">
      <alignment vertical="center"/>
    </xf>
    <xf numFmtId="9" fontId="10" fillId="0" borderId="5" xfId="3" applyNumberFormat="1" applyBorder="1">
      <alignment vertical="center"/>
    </xf>
    <xf numFmtId="0" fontId="3" fillId="5" borderId="1" xfId="0" applyFont="1" applyFill="1" applyBorder="1" applyAlignment="1">
      <alignment horizontal="center" vertical="center"/>
    </xf>
    <xf numFmtId="0" fontId="21" fillId="0" borderId="4" xfId="0" applyFont="1" applyBorder="1" applyAlignment="1">
      <alignment horizontal="justify" vertical="center"/>
    </xf>
    <xf numFmtId="0" fontId="3" fillId="0" borderId="3" xfId="0" applyFont="1" applyBorder="1" applyAlignment="1">
      <alignment horizontal="center" vertical="center"/>
    </xf>
    <xf numFmtId="0" fontId="5" fillId="2"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20" fillId="0" borderId="0" xfId="0" applyFont="1"/>
    <xf numFmtId="0" fontId="0" fillId="0" borderId="5" xfId="0" applyBorder="1" applyAlignment="1">
      <alignment horizontal="center" vertical="center" wrapText="1"/>
    </xf>
    <xf numFmtId="0" fontId="14" fillId="0" borderId="0" xfId="0" applyFont="1" applyAlignment="1">
      <alignment vertical="center" wrapText="1"/>
    </xf>
    <xf numFmtId="0" fontId="0" fillId="0" borderId="5" xfId="0" applyBorder="1" applyAlignment="1">
      <alignment horizontal="left" vertical="center" wrapText="1"/>
    </xf>
    <xf numFmtId="0" fontId="14" fillId="0" borderId="5" xfId="4" applyNumberFormat="1" applyFont="1" applyBorder="1" applyAlignment="1">
      <alignment horizontal="left" vertical="center" wrapText="1"/>
    </xf>
    <xf numFmtId="3" fontId="11" fillId="8" borderId="5" xfId="4" applyNumberFormat="1" applyFont="1" applyFill="1" applyBorder="1" applyAlignment="1">
      <alignment horizontal="center" vertical="center" wrapText="1"/>
    </xf>
    <xf numFmtId="9" fontId="14" fillId="0" borderId="5" xfId="4" applyFont="1" applyBorder="1" applyAlignment="1">
      <alignment horizontal="center" vertical="center" wrapText="1"/>
    </xf>
    <xf numFmtId="0" fontId="22" fillId="0" borderId="0" xfId="0" applyFont="1"/>
    <xf numFmtId="0" fontId="20" fillId="0" borderId="17" xfId="0" applyFont="1" applyBorder="1"/>
    <xf numFmtId="0" fontId="14" fillId="0" borderId="5" xfId="4" applyNumberFormat="1" applyFont="1" applyFill="1" applyBorder="1" applyAlignment="1">
      <alignment horizontal="left" vertical="center" wrapText="1"/>
    </xf>
    <xf numFmtId="0" fontId="0" fillId="0" borderId="0" xfId="0" applyAlignment="1">
      <alignment vertical="center" wrapText="1"/>
    </xf>
    <xf numFmtId="3" fontId="0" fillId="0" borderId="0" xfId="0" applyNumberFormat="1" applyAlignment="1">
      <alignment horizontal="center" vertical="center"/>
    </xf>
    <xf numFmtId="0" fontId="0" fillId="0" borderId="0" xfId="0" applyAlignment="1">
      <alignment vertical="center"/>
    </xf>
    <xf numFmtId="0" fontId="7" fillId="0" borderId="1" xfId="0" applyFont="1" applyBorder="1" applyAlignment="1">
      <alignment horizontal="center" vertical="center"/>
    </xf>
    <xf numFmtId="9" fontId="14" fillId="8" borderId="0" xfId="4" applyFont="1" applyFill="1" applyBorder="1" applyAlignment="1">
      <alignment horizontal="center" vertical="center" wrapText="1"/>
    </xf>
    <xf numFmtId="0" fontId="0" fillId="0" borderId="0" xfId="4" applyNumberFormat="1" applyFont="1" applyAlignment="1">
      <alignment horizontal="center" vertical="center" wrapText="1"/>
    </xf>
    <xf numFmtId="0" fontId="4" fillId="0" borderId="5" xfId="3" applyFont="1" applyBorder="1" applyAlignment="1">
      <alignment horizontal="center" vertical="center"/>
    </xf>
    <xf numFmtId="0" fontId="20" fillId="0" borderId="5" xfId="0" applyFont="1" applyBorder="1" applyAlignment="1">
      <alignment horizontal="center"/>
    </xf>
    <xf numFmtId="0" fontId="3" fillId="0" borderId="16" xfId="0" applyFont="1" applyBorder="1" applyAlignment="1">
      <alignment horizontal="center" vertical="center"/>
    </xf>
    <xf numFmtId="0" fontId="16" fillId="0" borderId="1" xfId="0" applyFont="1" applyBorder="1" applyAlignment="1">
      <alignment horizontal="justify" vertical="center"/>
    </xf>
    <xf numFmtId="9" fontId="5" fillId="2" borderId="5" xfId="4" applyFont="1" applyFill="1" applyBorder="1" applyAlignment="1">
      <alignment horizontal="center" vertical="center" wrapText="1"/>
    </xf>
    <xf numFmtId="9" fontId="5" fillId="2" borderId="5" xfId="4" applyFont="1" applyFill="1" applyBorder="1" applyAlignment="1">
      <alignment vertical="center" wrapText="1"/>
    </xf>
    <xf numFmtId="9" fontId="5" fillId="2" borderId="11" xfId="4" applyFont="1" applyFill="1" applyBorder="1" applyAlignment="1">
      <alignment horizontal="center" vertical="center" wrapText="1"/>
    </xf>
    <xf numFmtId="9" fontId="5" fillId="2" borderId="12" xfId="4" applyFont="1" applyFill="1" applyBorder="1" applyAlignment="1">
      <alignment horizontal="center" vertical="center" wrapText="1"/>
    </xf>
    <xf numFmtId="9" fontId="5" fillId="2" borderId="13" xfId="4" applyFont="1" applyFill="1" applyBorder="1" applyAlignment="1">
      <alignment horizontal="center" vertical="center" wrapText="1"/>
    </xf>
    <xf numFmtId="9" fontId="19" fillId="2" borderId="5" xfId="4" applyFont="1" applyFill="1" applyBorder="1" applyAlignment="1">
      <alignment horizontal="center" vertical="center" wrapText="1"/>
    </xf>
    <xf numFmtId="0" fontId="4" fillId="7" borderId="5" xfId="3" applyFont="1" applyFill="1" applyBorder="1" applyAlignment="1">
      <alignment horizontal="left" vertical="center"/>
    </xf>
    <xf numFmtId="0" fontId="4" fillId="0" borderId="5" xfId="3" applyFont="1" applyBorder="1" applyAlignment="1">
      <alignment horizontal="left" vertical="center"/>
    </xf>
    <xf numFmtId="0" fontId="5" fillId="2" borderId="1"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3"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0" borderId="1" xfId="0" applyFont="1" applyBorder="1" applyAlignment="1">
      <alignment horizontal="center" vertical="center"/>
    </xf>
    <xf numFmtId="0" fontId="7"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3" xfId="0" applyFont="1" applyFill="1" applyBorder="1" applyAlignment="1">
      <alignment horizontal="center" vertical="center"/>
    </xf>
  </cellXfs>
  <cellStyles count="5">
    <cellStyle name="Normal 2" xfId="1" xr:uid="{014BAF9B-5F0E-4F0D-82C2-372D0F108588}"/>
    <cellStyle name="Normal 3" xfId="2" xr:uid="{1AF1FACB-AD25-4F5A-8221-8507A950F4C3}"/>
    <cellStyle name="Normal 4" xfId="3" xr:uid="{4378F925-CE2F-49EA-8C60-AB5DF7A3521D}"/>
    <cellStyle name="百分比" xfId="4"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ingni, Jingni XIE" id="{DA9C3FEF-E789-4F45-84BE-C8829CDFF5B5}" userId="S::jingnijingnixie@dbs.com::2b1734ac-ecc8-49d7-8722-f230f8791dc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17.725215856481" createdVersion="8" refreshedVersion="8" minRefreshableVersion="3" recordCount="7" xr:uid="{853FC404-8013-473C-ADE4-580639948FAD}">
  <cacheSource type="worksheet">
    <worksheetSource ref="A1:R8" sheet="1.Summary"/>
  </cacheSource>
  <cacheFields count="18">
    <cacheField name="#" numFmtId="0">
      <sharedItems containsString="0" containsBlank="1" containsNumber="1" containsInteger="1" minValue="1" maxValue="5"/>
    </cacheField>
    <cacheField name="Name of Company" numFmtId="0">
      <sharedItems containsBlank="1"/>
    </cacheField>
    <cacheField name="Brief description of business" numFmtId="0">
      <sharedItems containsBlank="1" longText="1"/>
    </cacheField>
    <cacheField name="Sector" numFmtId="0">
      <sharedItems containsBlank="1" count="9">
        <m/>
        <s v="TMT"/>
        <s v="Industrial"/>
        <s v="Consumer Staples"/>
        <s v="Healthcare and Pharmaceutical"/>
        <s v="Automotive" u="1"/>
        <s v="Energy" u="1"/>
        <s v="Healthcare" u="1"/>
        <s v="Materials" u="1"/>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45569" maxValue="51459149"/>
    </cacheField>
    <cacheField name="Net Profit/(Loss)" numFmtId="0">
      <sharedItems containsBlank="1" containsMixedTypes="1" containsNumber="1" containsInteger="1" minValue="-1342376" maxValue="2426575"/>
    </cacheField>
    <cacheField name="Sponsor" numFmtId="0">
      <sharedItems containsBlank="1" count="21">
        <m/>
        <s v="CICC, Haitong"/>
        <s v="China Industrial Securities"/>
        <s v="CICC, CMS"/>
        <s v="China Securities"/>
        <s v="CCB, CMS"/>
        <s v="GTJA" u="1"/>
        <s v="CICC, BofA" u="1"/>
        <s v="Morgan Stanley, CICC" u="1"/>
        <s v="China Securities, CLSA" u="1"/>
        <s v="Yue Xiu" u="1"/>
        <s v="Huatai，BNP" u="1"/>
        <s v="CICC" u="1"/>
        <s v="CMBC, SPDB" u="1"/>
        <s v="MS, CICC, DB" u="1"/>
        <s v="CITIC, JPM" u="1"/>
        <s v="CMBC, BOCI" u="1"/>
        <s v="DB, CICC, GTJA" u="1"/>
        <s v="HT, China Securites," u="1"/>
        <s v="CITIC" u="1"/>
        <s v="UBS, CITIC " u="1"/>
      </sharedItems>
    </cacheField>
    <cacheField name="Overall coordinator" numFmtId="0">
      <sharedItems containsBlank="1"/>
    </cacheField>
    <cacheField name="Listing Application Date" numFmtId="0">
      <sharedItems containsBlank="1"/>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9">
      <sharedItems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5.854281018517" createdVersion="8" refreshedVersion="8" minRefreshableVersion="3" recordCount="26" xr:uid="{D6A33F2B-1330-4806-9AC2-01C02D1A93B6}">
  <cacheSource type="worksheet">
    <worksheetSource ref="A1:R27" sheet="1.Summary"/>
  </cacheSource>
  <cacheFields count="18">
    <cacheField name="#" numFmtId="0">
      <sharedItems containsString="0" containsBlank="1" containsNumber="1" containsInteger="1" minValue="1" maxValue="24"/>
    </cacheField>
    <cacheField name="Name of Company" numFmtId="0">
      <sharedItems containsBlank="1"/>
    </cacheField>
    <cacheField name="Brief description of business" numFmtId="0">
      <sharedItems containsBlank="1" longText="1"/>
    </cacheField>
    <cacheField name="Sector" numFmtId="0">
      <sharedItems containsBlank="1" count="8">
        <m/>
        <s v="TMT"/>
        <s v="Consumer Staples"/>
        <s v="Industrial"/>
        <s v="Consumer Discretionary"/>
        <s v="Automotive"/>
        <s v="Healthcare and Pharmaceutical"/>
        <s v="Servicing"/>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557" maxValue="3832796000"/>
    </cacheField>
    <cacheField name="Net Profit/(Loss)" numFmtId="0">
      <sharedItems containsBlank="1" containsMixedTypes="1" containsNumber="1" containsInteger="1" minValue="-373768" maxValue="966986000"/>
    </cacheField>
    <cacheField name="Sponsor" numFmtId="0">
      <sharedItems containsBlank="1" count="20">
        <m/>
        <s v="CICC"/>
        <s v="China Securities, GF"/>
        <s v="JPM, CLSA, China Securities"/>
        <s v="MS, CICC, GTJA, BofA"/>
        <s v="Haitong, CLSA"/>
        <s v="Haitong, CCB"/>
        <s v="CMBI, Sinolink"/>
        <s v="BoA, CMS, JP Morgan"/>
        <s v="Haitong"/>
        <s v="Huatai, CLSA, CMBI"/>
        <s v="CLSA"/>
        <s v="Haitong, BOCI"/>
        <s v="Huatai"/>
        <s v="GTJA"/>
        <s v="Jefferies, BofA, CICC"/>
        <s v="GF, ABCI"/>
        <s v="CMS"/>
        <s v="CICC, UBS"/>
        <s v="GS, BofA, JP Morgan"/>
      </sharedItems>
    </cacheField>
    <cacheField name="Overall coordinator" numFmtId="0">
      <sharedItems containsBlank="1"/>
    </cacheField>
    <cacheField name="Listing Application Date" numFmtId="0">
      <sharedItems containsBlank="1"/>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0">
      <sharedItems containsNonDate="0" containsString="0"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5.995646296295" createdVersion="8" refreshedVersion="8" minRefreshableVersion="3" recordCount="50" xr:uid="{7A7263D5-69C7-44E7-8DA3-FA9961902F51}">
  <cacheSource type="worksheet">
    <worksheetSource ref="D1:D1048576" sheet="1.Summary"/>
  </cacheSource>
  <cacheFields count="1">
    <cacheField name="Sector" numFmtId="0">
      <sharedItems containsBlank="1" count="26">
        <m/>
        <s v="TMT"/>
        <s v="Consumer Staples"/>
        <s v="Industrial"/>
        <s v="Consumer Discretionary"/>
        <s v="Automotive"/>
        <s v="Healthcare and Pharmaceutical"/>
        <s v="Servicing"/>
        <s v="Energy " u="1"/>
        <s v="Environment" u="1"/>
        <s v="Financial Service" u="1"/>
        <s v="Healthcare" u="1"/>
        <s v="Energy" u="1"/>
        <s v="Automotive " u="1"/>
        <s v="Automotive " u="1"/>
        <s v="Industrial " u="1"/>
        <s v="Materials" u="1"/>
        <s v="TMT " u="1"/>
        <s v="Industrials" u="1"/>
        <s v="Consumer Goods" u="1"/>
        <s v="Industrials " u="1"/>
        <s v="Financial Services" u="1"/>
        <s v="Healthcare " u="1"/>
        <s v="Commodity" u="1"/>
        <s v="Consumer - Discretionary" u="1"/>
        <s v="Real Estate"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6.000376157404" createdVersion="8" refreshedVersion="8" minRefreshableVersion="3" recordCount="48" xr:uid="{E331A6B7-5A53-47E9-B73C-195F07AC620F}">
  <cacheSource type="worksheet">
    <worksheetSource ref="R1:R1048576" sheet="1.Summary"/>
  </cacheSource>
  <cacheFields count="1">
    <cacheField name="Auditor" numFmtId="0">
      <sharedItems containsBlank="1" count="23">
        <m/>
        <s v="EY"/>
        <s v="Confucius International"/>
        <s v="Grant Thornton"/>
        <s v="SHINEWING"/>
        <s v="Deloitte"/>
        <s v="KPMG"/>
        <s v="BDO"/>
        <s v="Baker Tilly"/>
        <s v="PwC"/>
        <s v="Rongcheng"/>
        <s v="Rong Cheng" u="1"/>
        <s v="Deloitte " u="1"/>
        <s v="Forvis Mazars" u="1"/>
        <s v="Confucius International CPA Limited" u="1"/>
        <s v="RSM" u="1"/>
        <s v="BDO Limited" u="1"/>
        <s v="Confucius " u="1"/>
        <s v="ZHONGHUI ANDA CPA Limited." u="1"/>
        <s v="SHINEWING " u="1"/>
        <s v="RSM Hong Kong" u="1"/>
        <s v="BDO " u="1"/>
        <s v="HLB Hodgson Impey Cheng"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6.052548842592" createdVersion="8" refreshedVersion="8" minRefreshableVersion="3" recordCount="48" xr:uid="{C9523307-4FB1-4E35-A1A3-9E4B6A20E412}">
  <cacheSource type="worksheet">
    <worksheetSource ref="Q1:Q1048576" sheet="1.Summary"/>
  </cacheSource>
  <cacheFields count="1">
    <cacheField name="Re-filing?" numFmtId="0">
      <sharedItems containsBlank="1" count="83">
        <m/>
        <s v="N"/>
        <s v="Y, last filed on 19/09/2025"/>
        <s v="Y, last filed on 22/09/2025"/>
        <s v="Y, last filed on 29/09/2025"/>
        <s v="Y, last filed on 09/06/2025"/>
        <s v="Y, last filed on 25/08/2025"/>
        <s v="Y, last filed on 08/10/2025"/>
        <s v="Y, last filed on 28/10/2025"/>
        <s v="Y, last filed on 8/10/2025"/>
        <s v="Y, last filed on 28/08/2025"/>
        <s v="Y, last filed on 30/10/2025"/>
        <s v="Y, last filed on 27/10/2025"/>
        <s v="Y, last filed on 30/09/2025"/>
        <s v="Y, last filed on 03/07/2025" u="1"/>
        <s v="Y, last filed on 26/09/2025" u="1"/>
        <s v="Y, last filed on 09/02/2024" u="1"/>
        <s v="Y, last filed on 31/10/2025" u="1"/>
        <s v="Y, last filed on 28/09/2025" u="1"/>
        <s v="Y, last filed on 17/10/2025" u="1"/>
        <s v="Y, last filed on _x000a_05/11/2025" u="1"/>
        <s v="Y, last filed on 16/09/2025" u="1"/>
        <s v="Y, last filed on 25/09/2025" u="1"/>
        <s v="Y, last filed on 16/10/2025" u="1"/>
        <s v="N/A" u="1"/>
        <s v="Y. Last filed on 31/08/2025" u="1"/>
        <s v="This Application Proof was filed as confidential filing on June 25, 2025." u="1"/>
        <s v="Y. Last filed 25/09/2025" u="1"/>
        <s v="Y, last filed on 23/09/2025" u="1"/>
        <s v="Y, last filed on 26/06/2025" u="1"/>
        <s v="Y, last filed on 30/12/2024" u="1"/>
        <s v="Y, last filed on 12/09/2025" u="1"/>
        <s v="Y, last filed on 24/12/2025" u="1"/>
        <s v="Y, last filed on 24/09/2025" u="1"/>
        <s v="Y, last filed on 18/08/2025" u="1"/>
        <s v="Y, last filed on 06/01/2025, 29/08/2025" u="1"/>
        <s v="Y, last filed on 30/06/2025" u="1"/>
        <s v="Y, last filed on 27/06/2025" u="1"/>
        <s v="Y, last filed on 29/06/2025" u="1"/>
        <s v="Y, last filed on 29/05/2025" u="1"/>
        <s v="Y, last filed PHIP on 27/06/2025" u="1"/>
        <s v="Y, last filed on 29/08/2025" u="1"/>
        <s v="Y, last filed on 06/08/2025" u="1"/>
        <s v="Y, last filed on 15/09/2025" u="1"/>
        <s v="Y, last filed on 20/08/2025" u="1"/>
        <s v="Y, last filed on 15/9/2025" u="1"/>
        <s v="Y, last filed on 08/09/2025, 21/02/2025" u="1"/>
        <s v="Y, last filed on 14/08/2025" u="1"/>
        <s v="Y, last filed on 29/07/2025" u="1"/>
        <s v="Y, last filed on 11/09/2025" u="1"/>
        <s v="Y, last filed on 27/08/2025" u="1"/>
        <s v="Y, last filed on 16/06/2025" u="1"/>
        <s v="Y, last filed on 31/08/2025" u="1"/>
        <s v="Y, last filed on 08/09/2025" u="1"/>
        <s v="Y, last filed on 26/08/2025" u="1"/>
        <s v="Y, last filed on 5/09/2025" u="1"/>
        <s v="Y, last filed on 20/8/2025" u="1"/>
        <s v="Y, last filed on 22/8/2025" u="1"/>
        <s v="Y, last filed on 21/8/2025" u="1"/>
        <s v="Y, last filed on 13/8/2025" u="1"/>
        <s v="Y, last filed on 18/8/2025" u="1"/>
        <s v="Y, last filed on 26/8/2025" u="1"/>
        <s v=" Yes (Previously filed for a US listing with the SEC on December 2, 2024, and a secondary listing with SGX on December 12, 2024, before shifting focus to the current HKEX primary listing)" u="1"/>
        <s v="Y, last filed on 30/7/2025" u="1"/>
        <s v="Y, last filed on 25/1/2026" u="1"/>
        <s v="Y_x000a_on 30/3/2023" u="1"/>
        <s v="Y_x000a_on 30/06/2025" u="1"/>
        <s v="Y on 30/07/2025" u="1"/>
        <s v="Y on 07/07/2025" u="1"/>
        <s v="Y on 30/05/2025" u="1"/>
        <s v="Y on 27/06/2025" u="1"/>
        <s v="Y, last filed on 9/1/2026" u="1"/>
        <s v="Y, last filed on 30/6/2025" u="1"/>
        <s v="Y, last filed on 25/6/2025" u="1"/>
        <s v="Y, last filed o 27/6/2025" u="1"/>
        <s v="Y, last filed on 07/07/2025 and 03/01/2025" u="1"/>
        <s v="Y, last filed on 20/06/2025" u="1"/>
        <s v="Y, last filed on 17/06/2025" u="1"/>
        <s v="Y, last filed on 13/6/2025" u="1"/>
        <s v="Y, last filed on 18/06/2025" u="1"/>
        <s v="Y, last filed on 23/06/2025" u="1"/>
        <s v="Y, last filed on 19/06/2025" u="1"/>
        <s v="Y, last filed on 11/06/202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m/>
    <m/>
    <m/>
    <x v="0"/>
    <m/>
    <m/>
    <m/>
    <m/>
    <x v="0"/>
    <m/>
    <m/>
    <m/>
    <m/>
    <m/>
    <m/>
    <m/>
    <m/>
    <m/>
  </r>
  <r>
    <m/>
    <m/>
    <m/>
    <x v="0"/>
    <m/>
    <m/>
    <s v="(Latest FY’000)"/>
    <s v="(Latest FY’000)"/>
    <x v="0"/>
    <m/>
    <m/>
    <m/>
    <m/>
    <m/>
    <m/>
    <m/>
    <m/>
    <m/>
  </r>
  <r>
    <n v="1"/>
    <s v="Shanghai Xizhi Technology Co., Ltd."/>
    <s v="An optoelectronic computing firm that has transformed cutting-edge research and developed multiple technologies offering low latency, high throughput, and low power consumption"/>
    <x v="1"/>
    <s v="Optoelectronic computing"/>
    <s v="RMB"/>
    <n v="106368"/>
    <n v="-1342376"/>
    <x v="1"/>
    <s v="CICC, Haitong, HSBC"/>
    <s v="30/03/2026"/>
    <s v="1. Dr. Shen Yichen (沈亦晨)_x000a_2. LightAI EIP Holdings LP_x000a_3. Mach C LP_x000a_4. Shanghai Youguang Zhiyuan Enterprise Management_x000a_Partnership (LP)_x000a_5. Shanghai Youguang Shuoran Enterprise Management Company Limited_x000a_6. Shanghai Youguang Yihui Enterprise Management Partnership (LP)_x000a_7. Deep Harbor Limited_x000a_8. Foong Jun Zhe_x000a_9. Shanghai Youguang Yuning Enterprise Management Co., Ltd._x000a_10. Mr. Zhang Hong (張弘)"/>
    <s v="N"/>
    <s v="1. Tencent Holdings Limited_x000a_2. Shanghai CM Digital Transformation Fund General Partner, L.P._x000a_3. China Venture Capital Innovation Private Fund Management Co., Ltd._x000a_4. Shanghai Fortera Capital Co., Ltd._x000a_5. CICC Capital Operation Co., Ltd._x000a_6. Vertex Ventures China GP IV L.P_x000a_7. Beijing CASSTAR Venture Capital Investment Management Partnership (Limited Partnership)_x000a_8. Shaanxi Kemai Investment Management Partnership (Limited Partnership)_x000a_9. Xiamen HongShan Kunteng Investment Partnership (Limited Partnership)_x000a_10. HSG Growth VI Management, L.P_x000a_11. HSG Offshore Fund Management, L.P_x000a_12. Shanghai Pudong Private Equity Fund Management Co., Ltd._x000a_"/>
    <s v="Global"/>
    <s v="18C"/>
    <s v="N"/>
    <s v="PwC"/>
  </r>
  <r>
    <n v="2"/>
    <s v="Kunshan Wanyuantong Electronics Technology Co., Ltd."/>
    <s v="A high-tech enterprise specializing in the research, development, production and sale of printed circuit boards (PCBs) and operates under a dual-track production strategy that combines large-volume manufacturing with flexible small- to medium-batch production"/>
    <x v="2"/>
    <s v="Printed circuit boards"/>
    <s v="RMB"/>
    <n v="1179885"/>
    <n v="124714"/>
    <x v="2"/>
    <s v="China Industrial Securities"/>
    <s v="30/03/2026"/>
    <s v="1. Mr. Wang Xuegen (王雪根)_x000a_2. Dongtai Suiding Enterprise Management Center Partnership (Limited Partnership)_x000a_3. Dongtai Guangtongyuan Enterprise Management Center_x000a_Partnership (Limited Partnership)"/>
    <s v="N"/>
    <s v="N/A"/>
    <s v="CN"/>
    <s v="A+H (920060.BJ)"/>
    <s v="N"/>
    <s v="Rongcheng"/>
  </r>
  <r>
    <n v="3"/>
    <s v="FUJIAN WANCHEN FOOD GROUP CO., LTD."/>
    <s v="A large-scale and fast-growing snack and beverage retailer that offers multi-brand, multi-category snack and beverage products at competitive prices through a_x000a_streamlined and cost-efficient supply chain"/>
    <x v="3"/>
    <s v="Snack and beverage retail"/>
    <s v="RMB"/>
    <n v="51459149"/>
    <n v="2426575"/>
    <x v="3"/>
    <s v="CICC, CMS, BNP"/>
    <s v="30/03/2026"/>
    <s v="1. Fujian Mimosa Agriculture Development Co., Ltd._x000a_2. Zhangzhou Jinwanchen Investment Co., Ltd._x000a_3. Mr. Wang Zening (王澤寧)_x000a_4. Mr. Wang Liqing (王麗卿)"/>
    <s v="N"/>
    <s v="N/A"/>
    <s v="CN"/>
    <s v="A+H (300972.SZ)"/>
    <s v="N"/>
    <s v="Forvis Mazars"/>
  </r>
  <r>
    <n v="4"/>
    <s v="CHINA MICRO SEMICON (SHENZHEN) LIMITED"/>
    <s v="A leading intelligent control solutions provider focusing on the design and delivery of integrated circuit chips, with microcontroller units (MCUs) at the core of its offerings"/>
    <x v="2"/>
    <s v="Semiconductor"/>
    <s v="RMB"/>
    <n v="1122150"/>
    <n v="284182"/>
    <x v="4"/>
    <s v="China Securities, CMBI, CMS"/>
    <s v="30/03/2026"/>
    <s v="1. Mr. Yang Yong (楊勇)_x000a_2. Mr. Zhou Yan (周彥)_x000a_3. Mr. Zhou Fei (周飛)"/>
    <s v="N"/>
    <s v="N/A"/>
    <s v="CN"/>
    <s v="A+H (688380.SH)"/>
    <s v="Y, last filed on 23/09/2025"/>
    <s v="BDO"/>
  </r>
  <r>
    <n v="5"/>
    <s v="Shaanxi Micot Pharmaceutical Technology Co., Ltd."/>
    <s v="A biotechnology company specializing in the discovery, development and commercialization of bi-/multi-specific peptide drugs for the treatment of metabolic diseases as well as cardiovascular and cerebrovascular diseases"/>
    <x v="4"/>
    <s v="Biotechnology"/>
    <s v="RMB"/>
    <n v="45569"/>
    <n v="-184914"/>
    <x v="5"/>
    <s v="CCB, CMS"/>
    <s v="31/03/2026"/>
    <s v="1. Dr. Wang Bing (王冰)_x000a_2. Dr. Wang Mei (王梅)_x000a_3. Xi’an Zhongrui Hongyuan Information Technology Partnership (Limited Partnership)_x000a_4. Xi’an Zhongrui Zekang Enterprise Management Consulting Co., Ltd."/>
    <s v="N"/>
    <s v="1. Northern Light Venture Capital_x000a_2. Hainan Nivmai Enterprise Management Partnership (Limited Partnership)_x000a_3. ZheShang Venture Capital Co., Ltd._x000a_4. Shenzhen Chongshi Private Equity Investment Fund Management Co., Ltd._x000a_5. Suzhou High-Tech Venture Capital Group Rongsheng Investment Management Co., Ltd._x000a_6. Shaanxi Detongfufang Investment Management Co., Ltd._x000a_7.  Xi’an Tongshang Investment Partnership (Limited Partnership)_x000a_8. Jingning Fengchuan Jiahong Equity Investment Partnership (Limited Partnership)_x000a_9. Xi’an Jingcheng Daxing Enterprise Management Partnership (Limited Partnership)_x000a_10. Tangxing Tianxia Investment Management (Xi'an) Co., Ltd._x000a_11. Shaanxi Growth Enterprise Leading Fund Co., Ltd._x000a_12. Shanghai Shanjin Private Equity Fund Management Co., Ltd._x000a_13. Changan Huitong Private Equity Fund Management Co., Ltd._x000a_14. Shaanxi Growth Enterprise Guidance Co._x000a_15. Hainan Wanfeng Investment Partnership (Limited Partnership)_x000a_16. Hangzhou Quandewang Enterprise Management Co., Ltd._x000a_17. Hainan Ruizheng Enterprise Management Partnership (Limited Partnership)_x000a_18. Shengzhou Yinyun Heman Enterprise Management Partnership (Limited Partnership)_x000a_19. Maicheng Century (Xi’an) Enterprise Management Partnership Enterprise (Limited Partnership)_x000a_20. Jinan Liuji Enterprise Management Partnership Enterprise (Limited Partnership)_x000a_21. Shaanxi Jinzi Fund Management Co., Ltd_x000a_22. Xi'an Agricultural Investment Management Co., Ltd_x000a_23. Shaanxi New Era Capital Management Co., Ltd."/>
    <s v="CN"/>
    <s v="N"/>
    <s v="Y, last filed on 29/09/2025"/>
    <s v="Deloitt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m/>
    <m/>
    <m/>
    <x v="0"/>
    <m/>
    <m/>
    <m/>
    <m/>
    <x v="0"/>
    <m/>
    <m/>
    <m/>
    <m/>
    <m/>
    <m/>
    <m/>
    <m/>
    <m/>
  </r>
  <r>
    <m/>
    <m/>
    <m/>
    <x v="0"/>
    <m/>
    <m/>
    <s v="(Latest FY’000)"/>
    <s v="(Latest FY’000)"/>
    <x v="0"/>
    <m/>
    <m/>
    <m/>
    <m/>
    <m/>
    <m/>
    <m/>
    <m/>
    <m/>
  </r>
  <r>
    <n v="1"/>
    <s v="PT MNC Digital Entertainment Tbk"/>
    <s v="One of the leading digital media entertainment groups in Southeast Asia that offers content and IP including drama series, formates, characters, music , and talent personas"/>
    <x v="1"/>
    <s v="Digital media entertainment"/>
    <s v="IDR"/>
    <n v="3832796000"/>
    <n v="966986000"/>
    <x v="1"/>
    <s v="CICC"/>
    <s v="27/4/2026"/>
    <s v="1. PT Media Nusantara Citra Tbk_x000a_2. PT Global Mediacom Tbk_x000a_3. PT MNC Asia Holding Tbk"/>
    <s v="N"/>
    <s v="N/A"/>
    <s v="Indonesia"/>
    <s v="Listed on Indonesia Stock Exchange (MSIN)"/>
    <m/>
    <s v="EY"/>
  </r>
  <r>
    <n v="2"/>
    <s v="Guangzhou Ruoyuchen Technology Co., Ltd."/>
    <s v="A consumer-centric emerging consumer brand company, committed to delivering high-quality, differentiated products that address consumer needs in functionality, emotional value, immersive experiences, and self-expression"/>
    <x v="2"/>
    <s v="Household care"/>
    <s v="RMB"/>
    <n v="3431776"/>
    <n v="194401"/>
    <x v="2"/>
    <s v="China Securities, GF, Haitong"/>
    <s v="27/4/2026"/>
    <s v="1. Mr. Wang Yu (王玉)_x000a_2. Ms. Wang Wenhui (王文慧)_x000a_3. Tianjin Yayi Biotech Partnership Enterprise (Limited Partnership)"/>
    <s v="N"/>
    <s v="N/A"/>
    <s v="CN"/>
    <s v="N"/>
    <m/>
    <s v="Confucius International"/>
  </r>
  <r>
    <n v="3"/>
    <s v="GEM Co., Ltd."/>
    <s v="One of the earliest explorers in recycling and manufacturing critical metal resources and recycling lithium-ion batteries by adopting an “urban mining” recycling business model that reduces pollution while regenerating resources"/>
    <x v="3"/>
    <s v="New energy battery"/>
    <s v="RMB"/>
    <n v="37123585"/>
    <n v="1721630"/>
    <x v="3"/>
    <s v="JPM, CLSA, China Securities"/>
    <s v="27/4/2026"/>
    <s v="Substantial Shareholders:_x000a_1. Shenzhen Huifengyuan Investment Co., Ltd._x000a_2. Mr. XU Kaihua (許開華)_x000a_3. Ms. WANG Min (王敏)"/>
    <s v="N"/>
    <s v="N/A"/>
    <s v="Global"/>
    <s v="A+H (002340.SZ)"/>
    <m/>
    <s v="Grant Thornton"/>
  </r>
  <r>
    <n v="4"/>
    <s v="Shenzhen Inovance Technology Co., Ltd"/>
    <s v="A leading global industrial technology group with an expansive ecosystem of synergistic businesses spanning industrial automation and digitalization, new energy vehicle (NEV) powertrain systems, intelligent robots and digital energy solutions"/>
    <x v="3"/>
    <s v="Industrial automation and digitalization"/>
    <s v="RMB"/>
    <n v="45085253"/>
    <n v="5172694"/>
    <x v="4"/>
    <s v="MS, CICC, GTJA, BofA"/>
    <s v="28/4/2026"/>
    <s v="Substantial Shareholders:_x000a_1. Mr. Zhu Xingming (朱興明)_x000a_2. Shenzhen Inovance Investment Co., Ltd."/>
    <s v="N"/>
    <s v="N/A"/>
    <s v="CN"/>
    <s v="A+H (300124.SZ)"/>
    <m/>
    <s v="SHINEWING"/>
  </r>
  <r>
    <n v="5"/>
    <s v="Wuhan Silicon Integrated Co., Ltd."/>
    <s v="A a provider of intelligent sensing, machine vision, and imaging technology solutions integrating high-performance mixed-signal integrated circuits (ICs) and optimization algorithms, supporting smart devices to achieve precise sensing, imaging, and intelligent upgrades"/>
    <x v="1"/>
    <s v="Intelligent sensing IC"/>
    <s v="RMB"/>
    <n v="854704"/>
    <n v="26490"/>
    <x v="5"/>
    <s v="Haitong CLSA"/>
    <s v="28/4/2026"/>
    <s v="1. Mr. Liu Deheng (劉德珩)_x000a_2. Share Incentive Platforms"/>
    <s v="N"/>
    <s v="1. Ningbo Meishan Bonded Port Area Hexin Investment Management Partnership (Limited Partnership)_x000a_2. CTC Capital Management Co., Ltd._x000a_3. Nanjing Wuyuan Chuxing Equity Investment Center (Limited Partnership)_x000a_4. Guangdong OPlus Holdings Co., Ltd._x000a_5. Huawei Investment &amp; Holding Co., Ltd._x000a_6. Wuxi Hushan Investment Center (Limited Partnership)_x000a_7.  China Internet Investment Fund Management Co., Ltd._x000a_8. Nanjing Yuanxin Management Consultancy Co., Ltd._x000a_9. Xianxiang Private Equity Management (Hainan) Co., Ltd._x000a_10. Zhuhai Hengqin Huaye Tiancheng Investment Partnership Enterprise (Limited Partnership)_x000a_11.  Zhuhai Hengqin Nuohua Investment Partnership (Limited Partnership)_x000a_12. Shenzhen Gongchuang Huaye Investment Partnership (Limited Partnership)_x000a_13. Taiping Innovation Capital Co., Ltd._x000a_14. Shenzhen Fortune Venture Capital Management Co., Ltd._x000a_15. Shenzhen Fortune Venture Capital Co., Ltd._x000a_16. Chongqing Qihou Xihai Equity Investment Management Co., Ltd._x000a_17. Hubei Xiaomi Changjiang Industry Investment Fund Management Company Limited_x000a_18. Hubei Wings Investment Management Co., Ltd._x000a_19. Douyin Co., Ltd._x000a_21. Changjiang Securities Co., Ltd._x000a_22. Wuhan Optics Valley New Technology Industry Investment Co., Ltd._x000a_23. Shenzhen Ruixin Investment Partnership_x000a_24. Shenzhen Mingzhe Asset Management Co., Ltd._x000a_25. Shenzhen Hengxin Huaye Equity Investment Fund Management Co., Ltd._x000a_26. Shenzhen Shengyu Jiacheng Private Equity Fund Management Co., Ltd._x000a_27. Xiangyang Innovation Investment Co., Ltd._x000a_28. Zhejiang Huakong Zijing Venture Capital Co., Ltd._x000a_29.  Dazhong Juding (Shanghai) Private Equity Fund Management Co., Ltd._x000a_30. Wuhan Juhua Chuanxin Private Equity Fund Management Co., Ltd._x000a_31. Wuhan Shanjiang Juyuan Enterprise Management Center (Limited Partnership)_x000a_32. Wuhan Changniu Enterprise Management Partnership (Limited Partnership)"/>
    <s v="CN"/>
    <s v="N"/>
    <m/>
    <s v="Deloitte"/>
  </r>
  <r>
    <n v="6"/>
    <s v="Shenzhen Chuangzhi Semi-link Technology Co., Ltd."/>
    <s v="A solution provider for metallization and interconnection plating chemicals and process technologies in China, primarily engaged in the manufacturing and sale of plating chemicals, as well as the provision of plating services"/>
    <x v="1"/>
    <s v="Electronic packaging"/>
    <s v="RMB"/>
    <n v="635850"/>
    <n v="73210"/>
    <x v="6"/>
    <s v="Haitong, CCB"/>
    <s v="28/4/2026"/>
    <s v="1. Mr. Yao Cheng (姚成)_x000a_2. Dr. Yao Yu (姚玉)_x000a_3. Shenzhen Qianhai Lvzhiyuan Technology Co., Ltd._x000a_4. Shenzhen Zhiyuanxin Investment Consulting Partnership (Limited Partnership)_x000a_5. Shenzhen Zhiyuan Xinchuang Investment Consulting Partnership (Limited Partnership)_x000a_6. Shenzhen Zhiyuan Xinke Investment Consulting Partnership (Limited Partnership)"/>
    <s v="N"/>
    <s v="1. Zhiyuan Xincai_x000a_2. China Construction Bank Corporation_x000a_3. Guangdong Yuecai Investment Holdings Co., Ltd._x000a_4. Guangdong Yuecai Venture Capital Co., Ltd._x000a_5. Shanghai More Than Moore Private Equity Fund Management Co., Ltd._x000a_6. Hangzhou Hongda Junhe Asset Management Co., Ltd._x000a_7. Shanghai Yiyuan Hangtian Private Fund Management Co., Ltd._x000a_8. Shanghai Miyao Enterprise Management Center (Limited Partnership)_x000a_9. Jiaxing Dingfeng Hezhi Investment Partnership (Limited Partnership)_x000a_10. Zhuhai Huajin Capital Co., Ltd._x000a_11. Shenzhen Dongfang Fuhai Entrepreneurship Investment Management Co., Ltd._x000a_12. Shenzhen Dongfang Fuhai Entrepreneurship Investment Management Co., Ltd._x000a_13. Yilian S&amp;TI_x000a_14. Hefei Jiantou Capital Management Co., Ltd._x000a_15. Shenzhen Capital Group Co., Ltd._x000a_16. Shanghai Shiyue Asset Management Co., Ltd._x000a_17. Ningbo Shiyue Tongsheng Private Equity Fund Management Partnership (Limited Partnership)"/>
    <s v="CN, HK"/>
    <s v="N"/>
    <m/>
    <s v="EY"/>
  </r>
  <r>
    <n v="7"/>
    <s v="COLIPU TECHNOLOGIES GROUP CO., LTD."/>
    <s v="A leading multi-scenario general materials digital procurement solution provider that help customers navigate complex procurement environments and achieve improved cost efficiency, enhanced compliance and greater transparency"/>
    <x v="3"/>
    <s v="General materials procurement"/>
    <s v="RMB"/>
    <n v="15048206"/>
    <n v="334647"/>
    <x v="1"/>
    <s v="CICC"/>
    <s v="28/4/2026"/>
    <s v="1. Dr. Chen Huwen (陳湖文)_x000a_2. Mr. Chen Huxiong_x000a_3. Ms. Chen Xueling_x000a_4. M&amp;G Holdings (Group) Co., Ltd._x000a_5. Shanghai Keying Investment Management Firm (Limited Partnership)_x000a_6. Shanghai Jiekui Investment Management Firm (Limited Partnership)_x000a_7. Shanghai M&amp;G Stationery Inc."/>
    <s v="N"/>
    <s v="N/A"/>
    <s v="CN"/>
    <s v="N"/>
    <m/>
    <s v="EY"/>
  </r>
  <r>
    <n v="8"/>
    <s v="Beijing Dynaflow Lab Solutions Co., Ltd."/>
    <s v="A provider of full-lifecycle intelligent laboratory solutions that leverages their proprietary multimodal embodied intelligence technologies, industry-specific AI model platforms and integrated capabilities to generate one-stop services for AI-enabled R&amp;D, quality control and quality optimization across sectors including chemicals, new materials, new energy, and life sciences"/>
    <x v="3"/>
    <s v="Intelligent laboratory solutions"/>
    <s v="RMB"/>
    <n v="644913"/>
    <n v="16397"/>
    <x v="7"/>
    <s v="CMBI, Sinolink"/>
    <s v="28/4/2026"/>
    <s v="1. Mr. Chi Haipeng (遲海鵬)_x000a_2. Mr. Zhang Huaidong (張懷東)_x000a_3. Ms. Jin Hui (金慧)_x000a_4. Mr. Zhang Jingjun (張京軍)_x000a_5. Mr. Xing Xixue (邢希學)_x000a_6. Dynaflow Juhe No.1 (Tianjin) Enterprise Management Service Center (Limited Partnership)_x000a_7. Dynaflow Juhe No.2 (Tianjin) Enterprise Management Service Center (Limited Partnership)_x000a_8. Dynaflow Juhe No.3 (Tianjin) Enterprise Management Service Center (Limited Partnership)_x000a_9. Beijing Juhe No.1 Enterprise Management Co., Ltd."/>
    <s v="N"/>
    <s v="1. Zhuhai Hengqin Jiaqiao Enterprise Management Consulting Co., Ltd._x000a_2. Gui’an New Area Zeyu Capital Co., Ltd._x000a_3. Beijing Qinke Venture Capital Management Co., Ltd._x000a_4. CICC Private Equity Investment Management Co., Ltd._x000a_5. Ningbo Yihong_x000a_5. Dongtai Ruihonghe_x000a_6. Beijing Zhongguancun Capital Fund Management Co., Ltd._x000a_7. Beijing Jingguoguan Real Estate Management Co., Ltd._x000a_8. Beijing Jingfeng Chuangtou Industry Innovation Development Fund Management Co., Ltd."/>
    <s v="CN"/>
    <s v="N"/>
    <m/>
    <s v="KPMG"/>
  </r>
  <r>
    <n v="9"/>
    <s v="Amos Food (Group) Co., Ltd."/>
    <s v="A leading global sugar confectionery company engaged in the design, manufacturing and sales of innovative products designed to deliver both happiness and health to consumers worldwide"/>
    <x v="2"/>
    <s v="Confectionery"/>
    <s v="RMB"/>
    <n v="2782069"/>
    <n v="600021"/>
    <x v="8"/>
    <s v="BoA, CMS, JP Morgan"/>
    <s v="28/4/2026"/>
    <s v="1. Mr. Ma Enduo (馬恩多)_x000a_2. Employee Shareholding Platforms"/>
    <s v="N"/>
    <s v="1. Fosun International Limited_x000a_2. Zhuhai Xingyi Enterprise Management Partnership (Limited Partnership)_x000a_3. Shenzhen Tongchuang Jinxiu Asset Management Co., Ltd._x000a_4. Shenzhen Guangdian Capital Equity Investment Management Partnership (Limited Partnership)"/>
    <s v="Global"/>
    <s v="N"/>
    <m/>
    <s v="EY"/>
  </r>
  <r>
    <n v="10"/>
    <s v="Wecare Probiotics Co., Ltd."/>
    <s v="A global biomanufacturing company, primarily engaged in the R&amp;D, production and sales of probiotic species and cultures, providing high-viability, high-stability and functional probiotic powder, probiotic formula, and dairy cultures to companies in human health, dairy and agricultural industries through proprietary probiotic strain resources and advanced fermentation and production processes"/>
    <x v="2"/>
    <s v="Probiotics"/>
    <s v="RMB"/>
    <n v="701481"/>
    <n v="65210"/>
    <x v="9"/>
    <s v="Haitong"/>
    <s v="29/4/2026"/>
    <s v="1. Dr. Fang Shuguang (方曙光)_x000a_2. Ms. Chen Huilai (陳慧來)_x000a_3. Suzhou Zhongkang Investment Management Enterprise (Limited Partnership)_x000a_4. Shanghai Huankang Enterprise Management Center (Limited Partnership)_x000a_5. Suzhou Zekang Enterprise Management Consulting Partnership (Limited Partnership)_x000a_6. Suzhou Chenkang Biotechnology Co., Ltd._x000a_7. Shanghai Chenkang Industrial Development Co., Ltd."/>
    <s v="N"/>
    <s v="1. Boyu Tianshu (Ningbo) Proprietary Capital Investment Co., Ltd._x000a_2. Qingdao Taiyu Ankang Venture Capital Management Partnership (Limited Partnership)_x000a_3. Hangzhou TigerYeah Investment Consulting Co., Ltd._x000a_4. Hangzhou Tailong Venture Capital Partnership (Limited Partnership)_x000a_5. Suzhou Zhongyi Ronghe Venture Capital Co., Ltd._x000a_6. Guotou Chuanghe (Hangzhou) Venture Capital Management Co., Ltd._x000a_7. Guotou Chuanghe (Shanghai) Investment Management Co., Ltd._x000a_8. Suzhou Longju Oriental Investment Management Partnership (Limited Partnership)_x000a_9. Yangzhou Xinping Equity Investment Partnership (Limited Partnership)_x000a_10. Zhaoken Capital Management (Beijing) Co., Ltd._x000a_11. China Merchants Capital Management (Beijing) Co., Ltd._x000a_12. Shanghai Borui Jiatian Enterprise Management Partnership (Limited Partnership)_x000a_13. FOY Limited_x000a_14. Wens Foodstuff Group Co., Ltd._x000a_15. Wens Investment Co., Ltd._x000a_16. Wenrun (Zhuhai) Private Equity Fund Management Partnership (Limited Partnership)_x000a_17. Suzhou Qikun Venture Capital Partnership (Limited Partnership)_x000a_18. Guangzhou Defu Medical Management Co., Ltd._x000a_19. Shanghai Hongsheng Junhao Equity Investment Fund Management Co., Ltd._x000a_20. Jiangsu Bailian Confitop Venture Capital Management Co., Ltd._x000a_21. Voyage Capital Co., Ltd._x000a_22. Suzhou Wujiang Economic and Technological Development Zone Development Group_x000a_23. Nanjing Hyperbolic Enterprise Management Consulting Partnership (Limited Partnership)_x000a_24. Nanjing Zijin Tongzhou Enterprise Management Partnership (Limited Partnership)_x000a_25. Beijing Haina Yourong Private Fund Management Co., Ltd._x000a_26. Zhuhai Huajin Lingchuang Fund Management Co., Ltd._x000a_27. Nanjing Addor Equity Investment Management Partnership (Limited Partnership)_x000a_28. Suzhou International Development Industrial Management Co., Ltd._x000a_29. YouYou Food Co., Ltd. _x000a_30. Chongqing Baiya Sanitary Products Co., Ltd._x000a_31. Ningbo Zeyi Investment Management Partnership (Limited Partnership)_x000a_32. Suzhou Hechang Venture Capital Co., Ltd."/>
    <s v="Global"/>
    <s v="A+H (688343.SZ)"/>
    <m/>
    <s v="BDO"/>
  </r>
  <r>
    <n v="11"/>
    <s v="Shenzhen Intellifusion Technologies Co., Ltd."/>
    <s v="A leading AI company dedicated to the design, development and commercialization of AI inference chips, having achieved a closed-loop system, from building AI inference infrastructure to product design, development, and commercial deployment, ensuring seamless AI adoption across diverse industries"/>
    <x v="1"/>
    <s v="AI inference chip"/>
    <s v="RMB"/>
    <n v="1339284"/>
    <n v="-373768"/>
    <x v="10"/>
    <s v="Huatai, CLSA, CMBI, GF, CMS"/>
    <s v="29/4/2026"/>
    <s v="1. Dr. Chen Ning (陳寧)_x000a_2. Zhuhai Mingde Zhiyuan Investment Co., Ltd."/>
    <s v="N"/>
    <s v="N/A"/>
    <s v="CN"/>
    <s v="N"/>
    <m/>
    <s v="Baker Tilly"/>
  </r>
  <r>
    <n v="12"/>
    <s v="Shanghai Buy Quickly BMax Technology Services Group Co., Ltd."/>
    <s v="A digital retail operation service provider with a focus on mid-to-premium brands, integrating consumer insights, aesthetic expertise, digitalization technology and systemized operation"/>
    <x v="4"/>
    <s v="Brand online retail"/>
    <s v="RMB"/>
    <n v="1586576"/>
    <n v="214081"/>
    <x v="11"/>
    <s v="CLSA"/>
    <s v="29/4/2026"/>
    <s v="1. Mr. Liu Zhicheng (劉志成)_x000a_2. BQ Zhicheng_x000a_3. Buy Quickly Partner_x000a_4. Buy Quickly YIERYI_x000a_5. Mr. Hu Shaoqun (胡少群)_x000a_6. Mr. Qiu Yuhong (邱玉洪)"/>
    <s v="N"/>
    <s v="1. HongShan Yashang (Xiamen) Investment Partnership Enterprise (Limited Partnership)_x000a_2. Hangzhou Jiebai Group Co., Ltd._x000a_3. Shenzhen Zhicheng Haiwei Equity Investment Fund Management Co., Ltd._x000a_4. Ruisheng (Shanghai) Brand Management Co., Ltd._x000a_5. Chenyi Hongqi (Beijing) Consulting Co., Ltd._x000a_6. Shanghai Buy Quickly Zhicheng Enterprise Management Co., Ltd. "/>
    <s v="CN"/>
    <s v="N"/>
    <m/>
    <s v="EY"/>
  </r>
  <r>
    <n v="13"/>
    <s v="NASN Intelligent Tech (Zhejiang) Co., Ltd."/>
    <s v="A Chinese innovator in intelligent driving motion control with focus on delivering mission-critical X-by-wire solutions for intelligent driving, through integrating proprietary full-stack control algorithms, software and hardware"/>
    <x v="5"/>
    <s v="Intelligent vehicles"/>
    <s v="RMB"/>
    <n v="614506"/>
    <n v="-189524"/>
    <x v="12"/>
    <s v="Haitong, BOCI, CLSA"/>
    <s v="29/4/2026"/>
    <s v="1. Mr. Tao Zhe (陶喆)_x000a_2. Ms. Liu Qian (劉倩)_x000a_3. Shanghai NASN Enterprise Management Partnership (Limited Partnership)"/>
    <s v="N"/>
    <s v="1. Zhongyintou Private Fund Management (Beijing) Co., Ltd._x000a_2. CS Capital Co., Ltd._x000a_3. Suzhou Qiping Investment Management Partnership (Limited Partnership)_x000a_4. Hangzhou Maiqisi Investment Partnership (Limited Partnership)_x000a_5. SDIC Juli Investment Management Co., Ltd._x000a_6. Hangshi Equity Investment Fund Management (Hangzhou) Co., Ltd._x000a_7. Shanghai Qianyue Investment Management Co., Ltd._x000a_8. Shanghai Jinlian Enterprise Management Center (Limited Partnership)_x000a_9. Contemporary Amperex Technology Co., Ltd._x000a_10. Hillhouse Investment Management, Ltd._x000a_11. Zhuhai Tongpei Equity Investment Management Partnership (Limited Partnership)_x000a_12. Anhe (Chongqing) Private Equity Investment Management Co., Ltd._x000a_13. Sunpeak Asset Holdings (Hong Kong) Limited_x000a_14. Qiming GP VI, L.P._x000a_15. Qiming Corporate GP VI, Ltd._x000a_16. Shenzhen Maison Investment Management Center (Limited partnership)_x000a_17. Chongqing Kexing Science and Technology Innovation Equity Investment Fund Management Co., Ltd._x000a_18. Shangrong Capital Management Co., Ltd._x000a_19. Dongguan Qinhe Tsingstone Equity Investment Partnership (Limited Partnership)_x000a_20. Ningbo Qigao Gongchuang Management Consulting Partnership (Limited Partnership)_x000a_21. Shanghai StarGush Capital Co., Ltd."/>
    <s v="CN"/>
    <s v="N"/>
    <m/>
    <s v="EY"/>
  </r>
  <r>
    <n v="14"/>
    <s v="Tanboer Group Co., Ltd."/>
    <s v="A  well-established professional outdoor apparel brand, with products catering to the needs of diverse natural environments, such as skiing, mountaineering and hiking, as well as urban scenarios like suburban walk, park leisure and commuting"/>
    <x v="4"/>
    <s v="Outdoor sports"/>
    <s v="RMB"/>
    <n v="2189464"/>
    <n v="223258"/>
    <x v="1"/>
    <s v="CICC"/>
    <s v="29/4/2026"/>
    <s v="1. Ms. Wang Lili (王麗莉)_x000a_2. Mr.Wang Runji (王潤基)_x000a_3. Shanghai Lanyin Investment Management Co., Ltd._x000a_4. Qingzhou Tanwen Investment Management Center L.P."/>
    <s v="N"/>
    <s v="N/A"/>
    <s v="CN"/>
    <s v="N"/>
    <m/>
    <s v="EY"/>
  </r>
  <r>
    <n v="15"/>
    <s v="Shanghai Fullhan Microelectronics Co., Ltd."/>
    <s v="A key fabless chip designer and provider in China that focuses on the design of vision processing ICs for security cameras, video recorders, and other vision devices in video, IoT and mobility applications"/>
    <x v="1"/>
    <s v="Smart vision chip"/>
    <s v="RMB"/>
    <n v="1688230"/>
    <n v="120340"/>
    <x v="13"/>
    <s v="Huatai, CMBI, GF"/>
    <s v="29/4/2026"/>
    <s v="Substantial Shareholders:_x000a_1. Mr. Yang Xiaoqi (楊小奇)_x000a_2. Ms. Chen Chunmei (陳春梅女士)_x000a_3. Mr. Gong Chuanjun (龔傳軍先生)_x000a_4. Quick Talent Holdings Ltd._x000a_5. Tibet Orient Qihui Investment Co., Ltd."/>
    <s v="N"/>
    <s v="N/A"/>
    <s v="Global"/>
    <s v="A+H (300613.SZ)"/>
    <m/>
    <s v="EY"/>
  </r>
  <r>
    <n v="16"/>
    <s v="Infrawaves Co., Ltd."/>
    <s v=" The largest independent AI computing cluster provider in China that offers AI computing cluster products under the Galaxy brand, comprising AI computing devices and AI computing software"/>
    <x v="1"/>
    <s v="AI computing cluster"/>
    <s v="RMB"/>
    <n v="520261"/>
    <n v="-355555"/>
    <x v="14"/>
    <s v="GTJA"/>
    <s v="29/4/2026"/>
    <s v="1. Dr. Hu Xiaohe (胡效赫)_x000a_2. Pingxiang Infrawaves Xiliu Technology Partnership (Limited Partnership)_x000a_3. Pingxiang Infrawaves Xize Technology Partnership (Limited Partnership)_x000a_4. Pingxiang Infrawaves Xihai Technology Partnership (Limited Partnership)"/>
    <s v="N"/>
    <s v="1. Beijing Xinglian Zhaoji Private Equity Fund Management Co., Ltd._x000a_2. Hangzhou Guanghe Shengyuan Enterprise Management Consulting Partnership (Limited Partnership)_x000a_3. Suzhou Guanghe Private Equity Fund Management Co., Ltd._x000a_4. Zhoushan Jiurui Enterprise Management Consulting Partnership (Limited Partnership)_x000a_5. Shanghai Growth Investment Co., Ltd._x000a_6. Shanghai International Group Asset Operation Co., Ltd._x000a_7. Bank of Communications Capital Management Co., Ltd._x000a_8. Shanghai Jinpu Puchuang Huahai Enterprise Management Partnership (Limited Partnership)_x000a_9. Beijing MiraclePlus Xingfang Phase II Enterprise Management Partnership (Limited Partnership)_x000a_10.  Zhoushan Shuntai Management Consulting Partnership (Limited Partnership)_x000a_11. Hangzhou Shengqianshuo Technology Co., Ltd._x000a_12. Guangdong Zhuoyuan Asia Zhongke Venture Capital Co., Ltd._x000a_13. Guangdong Zhuoyuan Asia Zhongke Venture Capital Co., Ltd._x000a_14. Shanghai Fortera Capital Co., Ltd._x000a_15. Shanghai Linchuang Caohejing Private Equity Fund Management Co., Ltd."/>
    <s v="CN"/>
    <s v="N"/>
    <m/>
    <s v="EY"/>
  </r>
  <r>
    <n v="17"/>
    <s v="Eccogene Inc."/>
    <s v="A clinical-stage biotechnology company with an integrated drug pipeline comprising three clinical-stage drug candidates (ECC4703, ECC5004, and ECC0509) and three preclinical-stage programs (glucose-dependent insulinotropic polypeptide (“GIP”) program, Amylin program and unimolecular poly-agonist (“UPA”) program)"/>
    <x v="6"/>
    <s v="GLP-1 based therapy"/>
    <s v="USD"/>
    <n v="557"/>
    <n v="-47826"/>
    <x v="15"/>
    <s v="Jefferies, BofA, CICC"/>
    <s v="29/4/2026"/>
    <s v="Substantial Shareholders:_x000a_1. Dr. Zhou Jingye_x000a_2. Zeccogene Holdings Limited_x000a_3. Eccoforest Holdings Limited_x000a_4. Shanghai Sinopharm Innovation Equity Investment Fund Partnership (Limited Partnership)_x000a_5. Infotech Ventures Co., Ltd._x000a_6. Sinopharm Capital Management Co., Ltd._x000a_7. China National Pharmaceutical Investment Co., Ltd._x000a_8. Shanghai Shenghui Investment Management Partnership (Limited Partnership)_x000a_9. Mr. Wu Aimin (吳愛民)"/>
    <s v="N"/>
    <s v="1. Shanghai Jianyi Chuangxin Private Equity Fund Management Co., Ltd._x000a_2. Shanghai Med-Fine Asset Management Co., Ltd._x000a_3. Med-Fine Capital Management (Beijing) Co., Ltd._x000a_4. AstraZeneca PLC_x000a_5. Delos Capital GP II, LP_x000a_6. Shanghai NewAlliance Tenghua Enterprise Management Center (Limited Partnership)_x000a_7. Sage Partners Private Fund_x000a_8. Shanghai Taiyou Investment Management Center (Limited Partnership)_x000a_9. Suzhou Huaijin Investment Management Partnership (Limited Partnership)_x000a_10. Suzhou Industrial Park Oriza Governance Entrepreneurship Investment Management Center (Limited Partnership)_x000a_11. SIP Oriza Seed Fund Management Co., Ltd._x000a_12. Shanghai Zhangke Herun Innovation Investment Co., Ltd._x000a_13. China Tsing Song Investment Ltd._x000a_14. Huagai Shangzhen Medical Investment Management (Suzhou) Co., Ltd._x000a_15. CICC Private Equity Management Co., Ltd._x000a_16. AstraZeneca Investment Consultancy (Wuxi) Co., Ltd._x000a_17. Superpower Investments Ltd._x000a_18. Guangzhou Yufu Investment Co., Ltd._x000a_19. Shanghai Lichen Tianhan Business Management Partnership (Limited Partnership)_x000a_20. Zhuhai Huajin Lingchuang Fund Management Co., Ltd._x000a_21. Zayucel Ltd._x000a_22. Excellence Ventures Co., Ltd._x000a_23. Shanghai Shengcheng Investment Management Partnership (Limited Partnership)"/>
    <s v="Global"/>
    <s v="N"/>
    <m/>
    <s v="PwC"/>
  </r>
  <r>
    <n v="18"/>
    <s v="Sichuan Neautus Traditional Chinese Medicine Co., Ltd."/>
    <s v="A large-scale traditional Chinese medicine (“TCM”) decoction-ready products provider in China that sets and implements stringent practices in TCM production and quality control, and integrates digital technologies into production and quality control process"/>
    <x v="6"/>
    <s v="Traditional Chinese medicine"/>
    <s v="RMB"/>
    <n v="1334707"/>
    <n v="106559"/>
    <x v="16"/>
    <s v="GF, ABCI, ICBC"/>
    <s v="30/4/2026"/>
    <s v="1. Mr. Jiang Yun (江雲)_x000a_2. Chengdu Kinna Investment Co., Ltd."/>
    <s v="N"/>
    <s v="1. Chengdu Chuanshang Toupengjin Equity Investment Fund Management Co., LTD_x000a_2.  ZhongshanZhongzhi PharmaceuticalGroup_x000a_3. Shanghai Daixing Private Equity Fund Management Partnership (Limited Partnership)_x000a_4. ChengduYiyiTechnology Co.,Ltd._x000a_5. Sichuan Yuandian"/>
    <s v="CN"/>
    <s v="N"/>
    <m/>
    <s v="EY"/>
  </r>
  <r>
    <n v="19"/>
    <s v="Shantui Construction Machinery Co., Ltd."/>
    <s v=" The world’s third-largest and China’s largest dozer manufacturer in terms of sales volume in 2025, dedicated to the R&amp;D, manufacturing, sales and servicing of a comprehensive range of construction machinery, including dozers, excavators, loaders, road machinery, mining trucks and concrete machinery, and spare parts"/>
    <x v="3"/>
    <s v="Construction machinery"/>
    <s v="RMB"/>
    <n v="14620170"/>
    <n v="1215255"/>
    <x v="1"/>
    <s v="CICC, CLSA, CCBI, Zhongtai"/>
    <s v="30/4/2026"/>
    <s v="1. Shandong Heavy Industry Group Co., Ltd._x000a_2. Weichai Group Holdings Limited_x000a_3. Weichai Power Co., Ltd."/>
    <s v="N"/>
    <s v="N/A"/>
    <s v="Global"/>
    <s v="A+H (000680.SZ)"/>
    <m/>
    <s v="EY"/>
  </r>
  <r>
    <n v="20"/>
    <s v="Shanghai Newrank Info &amp; Tech Co., Ltd."/>
    <s v="A leading content asset operator, where content assets refer to systematically created and managed collections of digital content, such as text, images and video, that are deployed to achieve specific business objectives, including brand building, sales conversion and user growth"/>
    <x v="1"/>
    <s v="Content operations"/>
    <s v="RMB"/>
    <n v="1949630"/>
    <n v="62806"/>
    <x v="17"/>
    <s v="CMS"/>
    <s v="30/4/2026"/>
    <s v="1. Mr. Xu Jun (徐俊)_x000a_2. Ningbo Xinbo Investment Management Partnership Enterprise (Limited Partnership)"/>
    <s v="N"/>
    <s v="1. Shanghai Chinese Cultural Industry Equity Investment Management Center (Limited Partnership)_x000a_2. Shanghai Weizi Fanglai Investment Management Co., Ltd._x000a_3. Huagai Zhuoxin Investment Management (Beijing) Co., Ltd._x000a_4. Shanghai Shenxia Private Equity Fund Management Co., Ltd._x000a_5. Zhenge Tianxin Asset Management Partnership Enterprise (Limited Partnership)_x000a_6. Beijing Gaorong Capital Management Consulting Co., Ltd._x000a_7. Shenzhen Fortune Caizhi Venture Capital Management Co., Ltd._x000a_8. Tencent Holdings Limited_x000a_9. Qima Investment Limited_x000a_10. Zhejiang Yongxin Asset Management Co., Ltd._x000a_11. Beiguo Huagai (Liaoning) Investment Management Co., Ltd."/>
    <s v="CN"/>
    <s v="A+H (603605.SH)"/>
    <m/>
    <s v="EY"/>
  </r>
  <r>
    <n v="21"/>
    <s v="PROYA COSMETICS CO., LTD."/>
    <s v="A multi-brand cosmetics group that draws on the aesthetic insights and deep understanding of Chinese consumers, as well as sustained R&amp;D investment, rigorous product development, and efficient in-house production, to achieve a leading position in China's cosmetics industry"/>
    <x v="4"/>
    <s v="Cosmetics"/>
    <s v="RMB"/>
    <n v="10597429"/>
    <n v="1542522"/>
    <x v="18"/>
    <s v="CICC, UBS"/>
    <s v="30/4/2026"/>
    <s v="1. Mr. Hou Juncheng (侯軍呈)"/>
    <s v="N"/>
    <s v="N/A"/>
    <s v="CN"/>
    <s v="N"/>
    <m/>
    <s v="EY"/>
  </r>
  <r>
    <n v="22"/>
    <s v="LALATECH HOLDINGS LIMITED"/>
    <s v="A leading technology-empowered and data-driven logistics transaction platform that facilitates facilitates closed-loop transactions from online shipping order booking to intelligent order matching, and automated dispatching to after-sale services"/>
    <x v="7"/>
    <s v="Road freight"/>
    <s v="USD"/>
    <n v="2139242"/>
    <n v="447364"/>
    <x v="19"/>
    <s v="GS, BofA, JP Morgan, ICBC, CMBI"/>
    <s v="30/4/2026"/>
    <s v="1. Mr. Chow Shing Yuk (周勝馥)_x000a_2. Lalatech Underscore Limited_x000a_3. Lalatech One Limited"/>
    <s v="N"/>
    <s v="1. Hillhouse Investment Management, Ltd._x000a_2. HongShan_x000a_3. HCEP Management Holding Limited_x000a_4. Sequoia Capital_x000a_5. MindWorks Capital_x000a_6. Shunwei Capital Partners III GP, L.P._x000a_7. Xiang He Partners I, L.P._x000a_8. Crystal Stream Investment GP, Ltd._x000a_9. Aplex Capital Holdings Limited_x000a_10. Lighthousecap International INC。_x000a_11. Epic Faith Limited_x000a_12. Prime Land L.P._x000a_13. 01VC Advisor Ltd._x000a_14. Sirius Venture Capital Pte. Ltd._x000a_15. TimeWorth Investments Limited_x000a_16. Aria Group Limited (BVI)_x000a_17. Tencent Holdings Limited_x000a_18. Ontario Teachers' Pension Plan Board_x000a_19. Axiom Asia Private Capital_x000a_20. Martlet International Limited_x000a_21. Eastern Bell Capital_x000a_22. Parallel Universes Asset Management Limited_x000a_23. D1 Capital Partners Master LP_x000a_24. Boyu Capital Management (Singapore) Pte._x000a_25. Aspex Master Fund_x000a_26. Internet Fund VI Pte. Ltd._x000a_27. Success Unique Limited_x000a_28. Archerman Capital Management LLC_x000a_29. FWD Group Holdings Limited_x000a_30.  CoreView Capital Management Limited_x000a_31. Bank of China Group Investment Limited_x000a_32. C Ventures Fund III L.P._x000a_33. Novel Skyline Limited_x000a_34. Brilliant Flame Group Limited_x000a_35. China Ping An Insurance Overseas (Holdings) Limited_x000a_36. Lotus GP Co., Ltd._x000a_37. Meituan_x000a_38.Hong Kong Science and Technology Parks Corporation (&quot;HKSTP&quot;)_x000a_39. Sunrise Oriental Group Holdings Limited_x000a_40. Moonlight Miracle Holdings Limited_x000a_41. GraniteXAccess Fund I VCC"/>
    <s v="Global"/>
    <s v="N"/>
    <m/>
    <s v="KPMG"/>
  </r>
  <r>
    <n v="23"/>
    <s v="Junqi Holdings Limited"/>
    <s v="A major participant in  women’s health service market in Taiwan, with  business building upon a brand-driven cooperation model under which they cooperate with licensed medical Doctors to establish and operate Clinics under &quot;Jing Chi&quot; (君綺), providing comprehensive non-medical operational suppport"/>
    <x v="6"/>
    <s v="Medical aesthetics services"/>
    <s v="HKD"/>
    <n v="634285"/>
    <n v="149040"/>
    <x v="14"/>
    <s v="GTJA"/>
    <s v="30/4/2026"/>
    <s v="1. Ms. Chang, Li-Chi (張麗綺)_x000a_2. Ms. Ni, Hsiao-Chien (倪曉倩)_x000a_3. Ms. Chuang, Yu-Ching (莊于靚)_x000a_4. Ms. Chang, Chia-Chi (張家綺)_x000a_5. Mr. Chang, Chih-Piao (張志標)_x000a_6. Mr. Chuang, Jui-Hung (莊睿紘)_x000a_7. Mr. Chou, Ming-Ju (鄒明儒)_x000a_8. Mr. WANG, Tsung-Wei (王琮崴)_x000a_9. Lenvor Holdings Limited_x000a_10. Norvix Holdings Limited_x000a_11. Rion Holdings Limited_x000a_12. Ravix Holdings Limited"/>
    <s v="N"/>
    <s v="N/A"/>
    <s v="Taiwan"/>
    <s v="N"/>
    <m/>
    <s v="Deloitte"/>
  </r>
  <r>
    <n v="24"/>
    <s v="Anhui Huaheng Biotechnology Co., Ltd."/>
    <s v="A player in synthetic biology that dedicates to the R&amp;D, large-scale production and commercialization of bio-based products built upon bio-manufacturing technologies"/>
    <x v="3"/>
    <s v="Bio-based products"/>
    <s v="RMB"/>
    <n v="2861841"/>
    <n v="123861"/>
    <x v="13"/>
    <s v="Huatai, China Industrial, CLSA"/>
    <s v="30/4/2026"/>
    <s v="1. Ms. Guo Henghua (郭恒華)_x000a_2. Ningbo Ruiheyuan Venture Capital Partnership (Limited Partnership)_x000a_3. Anhui Hengrun Huaye Investment Co., Ltd._x000a_4. Mr. Guo Hengping (郭恒平)"/>
    <s v="N"/>
    <s v="N/A"/>
    <s v="Global"/>
    <s v="A+H (688639.SH)"/>
    <m/>
    <s v="Rongcheng"/>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r>
  <r>
    <x v="0"/>
  </r>
  <r>
    <x v="1"/>
  </r>
  <r>
    <x v="2"/>
  </r>
  <r>
    <x v="3"/>
  </r>
  <r>
    <x v="3"/>
  </r>
  <r>
    <x v="1"/>
  </r>
  <r>
    <x v="1"/>
  </r>
  <r>
    <x v="3"/>
  </r>
  <r>
    <x v="3"/>
  </r>
  <r>
    <x v="2"/>
  </r>
  <r>
    <x v="2"/>
  </r>
  <r>
    <x v="1"/>
  </r>
  <r>
    <x v="4"/>
  </r>
  <r>
    <x v="5"/>
  </r>
  <r>
    <x v="4"/>
  </r>
  <r>
    <x v="1"/>
  </r>
  <r>
    <x v="1"/>
  </r>
  <r>
    <x v="6"/>
  </r>
  <r>
    <x v="6"/>
  </r>
  <r>
    <x v="3"/>
  </r>
  <r>
    <x v="1"/>
  </r>
  <r>
    <x v="4"/>
  </r>
  <r>
    <x v="7"/>
  </r>
  <r>
    <x v="6"/>
  </r>
  <r>
    <x v="3"/>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4"/>
  </r>
  <r>
    <x v="5"/>
  </r>
  <r>
    <x v="1"/>
  </r>
  <r>
    <x v="1"/>
  </r>
  <r>
    <x v="6"/>
  </r>
  <r>
    <x v="1"/>
  </r>
  <r>
    <x v="7"/>
  </r>
  <r>
    <x v="8"/>
  </r>
  <r>
    <x v="1"/>
  </r>
  <r>
    <x v="1"/>
  </r>
  <r>
    <x v="1"/>
  </r>
  <r>
    <x v="1"/>
  </r>
  <r>
    <x v="1"/>
  </r>
  <r>
    <x v="9"/>
  </r>
  <r>
    <x v="1"/>
  </r>
  <r>
    <x v="1"/>
  </r>
  <r>
    <x v="1"/>
  </r>
  <r>
    <x v="1"/>
  </r>
  <r>
    <x v="6"/>
  </r>
  <r>
    <x v="5"/>
  </r>
  <r>
    <x v="10"/>
  </r>
  <r>
    <x v="0"/>
  </r>
  <r>
    <x v="0"/>
  </r>
  <r>
    <x v="0"/>
  </r>
  <r>
    <x v="0"/>
  </r>
  <r>
    <x v="0"/>
  </r>
  <r>
    <x v="0"/>
  </r>
  <r>
    <x v="0"/>
  </r>
  <r>
    <x v="0"/>
  </r>
  <r>
    <x v="0"/>
  </r>
  <r>
    <x v="0"/>
  </r>
  <r>
    <x v="0"/>
  </r>
  <r>
    <x v="0"/>
  </r>
  <r>
    <x v="0"/>
  </r>
  <r>
    <x v="0"/>
  </r>
  <r>
    <x v="0"/>
  </r>
  <r>
    <x v="0"/>
  </r>
  <r>
    <x v="0"/>
  </r>
  <r>
    <x v="0"/>
  </r>
  <r>
    <x v="0"/>
  </r>
  <r>
    <x v="0"/>
  </r>
  <r>
    <x v="0"/>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1"/>
  </r>
  <r>
    <x v="4"/>
  </r>
  <r>
    <x v="5"/>
  </r>
  <r>
    <x v="1"/>
  </r>
  <r>
    <x v="1"/>
  </r>
  <r>
    <x v="1"/>
  </r>
  <r>
    <x v="1"/>
  </r>
  <r>
    <x v="6"/>
  </r>
  <r>
    <x v="1"/>
  </r>
  <r>
    <x v="1"/>
  </r>
  <r>
    <x v="7"/>
  </r>
  <r>
    <x v="8"/>
  </r>
  <r>
    <x v="1"/>
  </r>
  <r>
    <x v="9"/>
  </r>
  <r>
    <x v="8"/>
  </r>
  <r>
    <x v="10"/>
  </r>
  <r>
    <x v="1"/>
  </r>
  <r>
    <x v="11"/>
  </r>
  <r>
    <x v="12"/>
  </r>
  <r>
    <x v="1"/>
  </r>
  <r>
    <x v="13"/>
  </r>
  <r>
    <x v="0"/>
  </r>
  <r>
    <x v="0"/>
  </r>
  <r>
    <x v="0"/>
  </r>
  <r>
    <x v="0"/>
  </r>
  <r>
    <x v="0"/>
  </r>
  <r>
    <x v="0"/>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FC8C5-5368-428B-AD2A-D50436A243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18">
    <pivotField dataField="1" showAll="0"/>
    <pivotField showAll="0"/>
    <pivotField showAll="0"/>
    <pivotField axis="axisCol" showAll="0">
      <items count="10">
        <item m="1" x="5"/>
        <item m="1" x="6"/>
        <item m="1" x="7"/>
        <item m="1" x="8"/>
        <item x="1"/>
        <item x="0"/>
        <item x="2"/>
        <item x="4"/>
        <item x="3"/>
        <item t="default"/>
      </items>
    </pivotField>
    <pivotField showAll="0"/>
    <pivotField showAll="0"/>
    <pivotField showAll="0"/>
    <pivotField showAll="0"/>
    <pivotField axis="axisRow" showAll="0">
      <items count="22">
        <item m="1" x="12"/>
        <item m="1" x="19"/>
        <item m="1" x="15"/>
        <item m="1" x="16"/>
        <item m="1" x="13"/>
        <item m="1" x="17"/>
        <item m="1" x="18"/>
        <item m="1" x="11"/>
        <item m="1" x="14"/>
        <item m="1" x="20"/>
        <item x="0"/>
        <item m="1" x="6"/>
        <item m="1" x="7"/>
        <item m="1" x="8"/>
        <item m="1" x="9"/>
        <item m="1" x="10"/>
        <item x="1"/>
        <item x="2"/>
        <item x="3"/>
        <item x="4"/>
        <item x="5"/>
        <item t="default"/>
      </items>
    </pivotField>
    <pivotField showAll="0"/>
    <pivotField showAll="0"/>
    <pivotField showAll="0"/>
    <pivotField showAll="0"/>
    <pivotField showAll="0"/>
    <pivotField showAll="0"/>
    <pivotField showAll="0"/>
    <pivotField showAll="0"/>
    <pivotField showAll="0"/>
  </pivotFields>
  <rowFields count="1">
    <field x="8"/>
  </rowFields>
  <rowItems count="7">
    <i>
      <x v="10"/>
    </i>
    <i>
      <x v="16"/>
    </i>
    <i>
      <x v="17"/>
    </i>
    <i>
      <x v="18"/>
    </i>
    <i>
      <x v="19"/>
    </i>
    <i>
      <x v="20"/>
    </i>
    <i t="grand">
      <x/>
    </i>
  </rowItems>
  <colFields count="1">
    <field x="3"/>
  </colFields>
  <colItems count="6">
    <i>
      <x v="4"/>
    </i>
    <i>
      <x v="5"/>
    </i>
    <i>
      <x v="6"/>
    </i>
    <i>
      <x v="7"/>
    </i>
    <i>
      <x v="8"/>
    </i>
    <i t="grand">
      <x/>
    </i>
  </colItems>
  <dataFields count="1">
    <dataField name="Count of #"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17820-B1BC-4A5E-9A48-233B587074A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AA27" firstHeaderRow="1" firstDataRow="2" firstDataCol="1"/>
  <pivotFields count="18">
    <pivotField showAll="0"/>
    <pivotField showAll="0"/>
    <pivotField showAll="0"/>
    <pivotField axis="axisCol" showAll="0">
      <items count="9">
        <item x="2"/>
        <item x="1"/>
        <item x="0"/>
        <item x="6"/>
        <item x="3"/>
        <item x="4"/>
        <item x="5"/>
        <item x="7"/>
        <item t="default"/>
      </items>
    </pivotField>
    <pivotField showAll="0"/>
    <pivotField showAll="0"/>
    <pivotField showAll="0"/>
    <pivotField showAll="0"/>
    <pivotField axis="axisRow" dataField="1" showAll="0">
      <items count="21">
        <item x="1"/>
        <item x="17"/>
        <item x="9"/>
        <item x="0"/>
        <item x="11"/>
        <item x="14"/>
        <item x="16"/>
        <item x="13"/>
        <item x="2"/>
        <item x="3"/>
        <item x="4"/>
        <item x="5"/>
        <item x="6"/>
        <item x="7"/>
        <item x="8"/>
        <item x="10"/>
        <item x="12"/>
        <item x="15"/>
        <item x="18"/>
        <item x="19"/>
        <item t="default"/>
      </items>
    </pivotField>
    <pivotField showAll="0"/>
    <pivotField showAll="0"/>
    <pivotField showAll="0"/>
    <pivotField showAll="0"/>
    <pivotField showAll="0"/>
    <pivotField showAll="0"/>
    <pivotField showAll="0"/>
    <pivotField showAll="0"/>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9">
    <i>
      <x/>
    </i>
    <i>
      <x v="1"/>
    </i>
    <i>
      <x v="2"/>
    </i>
    <i>
      <x v="3"/>
    </i>
    <i>
      <x v="4"/>
    </i>
    <i>
      <x v="5"/>
    </i>
    <i>
      <x v="6"/>
    </i>
    <i>
      <x v="7"/>
    </i>
    <i t="grand">
      <x/>
    </i>
  </colItems>
  <dataFields count="1">
    <dataField name="Count of Sponso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C127B-6C5A-4D82-85BE-30DADB3430C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2:R11" firstHeaderRow="1" firstDataRow="1" firstDataCol="1"/>
  <pivotFields count="1">
    <pivotField axis="axisRow" dataField="1" showAll="0">
      <items count="27">
        <item x="4"/>
        <item x="2"/>
        <item m="1" x="12"/>
        <item x="6"/>
        <item x="3"/>
        <item x="1"/>
        <item x="0"/>
        <item m="1" x="14"/>
        <item m="1" x="25"/>
        <item m="1" x="24"/>
        <item m="1" x="23"/>
        <item m="1" x="11"/>
        <item m="1" x="21"/>
        <item m="1" x="18"/>
        <item m="1" x="22"/>
        <item m="1" x="9"/>
        <item x="5"/>
        <item m="1" x="19"/>
        <item m="1" x="20"/>
        <item m="1" x="17"/>
        <item x="7"/>
        <item m="1" x="16"/>
        <item m="1" x="15"/>
        <item m="1" x="8"/>
        <item m="1" x="13"/>
        <item m="1" x="10"/>
        <item t="default"/>
      </items>
    </pivotField>
  </pivotFields>
  <rowFields count="1">
    <field x="0"/>
  </rowFields>
  <rowItems count="9">
    <i>
      <x/>
    </i>
    <i>
      <x v="1"/>
    </i>
    <i>
      <x v="3"/>
    </i>
    <i>
      <x v="4"/>
    </i>
    <i>
      <x v="5"/>
    </i>
    <i>
      <x v="6"/>
    </i>
    <i>
      <x v="16"/>
    </i>
    <i>
      <x v="20"/>
    </i>
    <i t="grand">
      <x/>
    </i>
  </rowItems>
  <colItems count="1">
    <i/>
  </colItems>
  <dataFields count="1">
    <dataField name="Count of Secto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2ECDD-BD35-4E92-A7EA-38A454F79CF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16" firstHeaderRow="1" firstDataRow="1" firstDataCol="1"/>
  <pivotFields count="1">
    <pivotField axis="axisRow" dataField="1" showAll="0">
      <items count="84">
        <item x="1"/>
        <item m="1" x="82"/>
        <item m="1" x="51"/>
        <item m="1" x="77"/>
        <item m="1" x="79"/>
        <item m="1" x="81"/>
        <item x="0"/>
        <item m="1" x="76"/>
        <item m="1" x="78"/>
        <item m="1" x="80"/>
        <item m="1" x="38"/>
        <item m="1" x="36"/>
        <item m="1" x="75"/>
        <item m="1" x="29"/>
        <item m="1" x="71"/>
        <item m="1" x="72"/>
        <item m="1" x="73"/>
        <item m="1" x="74"/>
        <item m="1" x="65"/>
        <item m="1" x="66"/>
        <item m="1" x="67"/>
        <item m="1" x="68"/>
        <item m="1" x="69"/>
        <item m="1" x="70"/>
        <item m="1" x="63"/>
        <item m="1" x="64"/>
        <item m="1" x="62"/>
        <item m="1" x="56"/>
        <item m="1" x="57"/>
        <item m="1" x="58"/>
        <item m="1" x="60"/>
        <item m="1" x="61"/>
        <item m="1" x="59"/>
        <item m="1" x="54"/>
        <item x="6"/>
        <item m="1" x="55"/>
        <item m="1" x="53"/>
        <item m="1" x="47"/>
        <item m="1" x="48"/>
        <item m="1" x="49"/>
        <item m="1" x="37"/>
        <item m="1" x="50"/>
        <item m="1" x="46"/>
        <item m="1" x="52"/>
        <item m="1" x="41"/>
        <item m="1" x="42"/>
        <item m="1" x="43"/>
        <item m="1" x="44"/>
        <item m="1" x="45"/>
        <item m="1" x="32"/>
        <item m="1" x="21"/>
        <item x="2"/>
        <item m="1" x="33"/>
        <item m="1" x="34"/>
        <item m="1" x="35"/>
        <item m="1" x="22"/>
        <item m="1" x="15"/>
        <item x="3"/>
        <item m="1" x="39"/>
        <item m="1" x="40"/>
        <item m="1" x="28"/>
        <item x="4"/>
        <item m="1" x="18"/>
        <item m="1" x="30"/>
        <item x="13"/>
        <item m="1" x="31"/>
        <item m="1" x="24"/>
        <item m="1" x="25"/>
        <item m="1" x="26"/>
        <item m="1" x="27"/>
        <item m="1" x="23"/>
        <item m="1" x="14"/>
        <item m="1" x="16"/>
        <item m="1" x="17"/>
        <item m="1" x="19"/>
        <item m="1" x="20"/>
        <item x="5"/>
        <item x="7"/>
        <item x="8"/>
        <item x="9"/>
        <item x="10"/>
        <item x="11"/>
        <item x="12"/>
        <item t="default"/>
      </items>
    </pivotField>
  </pivotFields>
  <rowFields count="1">
    <field x="0"/>
  </rowFields>
  <rowItems count="15">
    <i>
      <x/>
    </i>
    <i>
      <x v="6"/>
    </i>
    <i>
      <x v="34"/>
    </i>
    <i>
      <x v="51"/>
    </i>
    <i>
      <x v="57"/>
    </i>
    <i>
      <x v="61"/>
    </i>
    <i>
      <x v="64"/>
    </i>
    <i>
      <x v="76"/>
    </i>
    <i>
      <x v="77"/>
    </i>
    <i>
      <x v="78"/>
    </i>
    <i>
      <x v="79"/>
    </i>
    <i>
      <x v="80"/>
    </i>
    <i>
      <x v="81"/>
    </i>
    <i>
      <x v="82"/>
    </i>
    <i t="grand">
      <x/>
    </i>
  </rowItems>
  <colItems count="1">
    <i/>
  </colItems>
  <dataFields count="1">
    <dataField name="Count of Re-fili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3254DC-C320-4E8D-BE50-23FE449A150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5" firstHeaderRow="1" firstDataRow="1" firstDataCol="1"/>
  <pivotFields count="1">
    <pivotField axis="axisRow" dataField="1" showAll="0">
      <items count="24">
        <item x="2"/>
        <item x="5"/>
        <item x="1"/>
        <item x="6"/>
        <item x="9"/>
        <item m="1" x="11"/>
        <item x="4"/>
        <item x="0"/>
        <item m="1" x="22"/>
        <item x="3"/>
        <item x="7"/>
        <item m="1" x="14"/>
        <item x="10"/>
        <item m="1" x="17"/>
        <item m="1" x="18"/>
        <item m="1" x="19"/>
        <item m="1" x="20"/>
        <item m="1" x="21"/>
        <item m="1" x="13"/>
        <item m="1" x="15"/>
        <item m="1" x="16"/>
        <item m="1" x="12"/>
        <item x="8"/>
        <item t="default"/>
      </items>
    </pivotField>
  </pivotFields>
  <rowFields count="1">
    <field x="0"/>
  </rowFields>
  <rowItems count="12">
    <i>
      <x/>
    </i>
    <i>
      <x v="1"/>
    </i>
    <i>
      <x v="2"/>
    </i>
    <i>
      <x v="3"/>
    </i>
    <i>
      <x v="4"/>
    </i>
    <i>
      <x v="6"/>
    </i>
    <i>
      <x v="7"/>
    </i>
    <i>
      <x v="9"/>
    </i>
    <i>
      <x v="10"/>
    </i>
    <i>
      <x v="12"/>
    </i>
    <i>
      <x v="22"/>
    </i>
    <i t="grand">
      <x/>
    </i>
  </rowItems>
  <colItems count="1">
    <i/>
  </colItems>
  <dataFields count="1">
    <dataField name="Count of Audito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0D836-B4FE-42AB-9CE9-28FD4A322931}" name="Table1" displayName="Table1" ref="A3:R4" totalsRowShown="0">
  <autoFilter ref="A3:R4" xr:uid="{CA60D836-B4FE-42AB-9CE9-28FD4A322931}"/>
  <tableColumns count="18">
    <tableColumn id="1" xr3:uid="{05946594-6817-424C-B81B-7ABDBCAD692C}" name="#"/>
    <tableColumn id="2" xr3:uid="{11F501A0-1052-4255-8867-6A82390E513A}" name="Name of Company"/>
    <tableColumn id="3" xr3:uid="{A30E132E-9B74-4C17-B595-098030518117}" name="Brief description of business"/>
    <tableColumn id="4" xr3:uid="{E02EC860-D92E-4F4B-A09D-527C1216B65E}" name="Sector"/>
    <tableColumn id="5" xr3:uid="{FE2DB349-C4C5-4606-B169-EE150361BABC}" name="Industry"/>
    <tableColumn id="6" xr3:uid="{624815A3-BF09-4545-8CD0-16A6B461993C}" name="Currency"/>
    <tableColumn id="7" xr3:uid="{58F0A217-CC62-4D33-B71B-339757EA99D0}" name="Revenue"/>
    <tableColumn id="8" xr3:uid="{27869FB3-7F05-4A2B-A643-8D53063015CB}" name="Net Profit/(Loss)"/>
    <tableColumn id="9" xr3:uid="{D5B4A485-D08C-4B47-A674-58ED5B8B9D7C}" name="Sponsor"/>
    <tableColumn id="10" xr3:uid="{31E51004-221B-41A8-9F03-E135CE0642DC}" name="Overall coordinator"/>
    <tableColumn id="11" xr3:uid="{B9A283D4-431C-439D-9746-9D0031C37B86}" name="Listing Application Date"/>
    <tableColumn id="12" xr3:uid="{A064F78B-0EAE-4611-8DE3-19173516C302}" name="Controlling Shareholders"/>
    <tableColumn id="13" xr3:uid="{D28D1C6C-6D6B-4B44-A707-1C8744B624B5}" name="Temasek/GIC-Linked"/>
    <tableColumn id="14" xr3:uid="{25B895BC-6650-41E7-A8C5-DEB3A0A79DD5}" name="PE/VC involved"/>
    <tableColumn id="15" xr3:uid="{EFD6E588-5200-4317-8DDD-7681F7BED4D7}" name="CN/HK/GBA"/>
    <tableColumn id="16" xr3:uid="{2B032763-8C75-45F5-A3C2-B996DFABCE4A}" name="Remarks"/>
    <tableColumn id="17" xr3:uid="{DB259C39-2325-4A42-A14E-9F7D2E2166AE}" name="Re-filing?"/>
    <tableColumn id="18" xr3:uid="{F671A946-FC5B-4C1D-93F9-96674A7DAA84}" name="Auditor"/>
  </tableColumns>
  <tableStyleInfo name="TableStyleMedium2"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1-18T03:46:56.67" personId="{DA9C3FEF-E789-4F45-84BE-C8829CDFF5B5}" id="{30625F22-3116-4CF2-9A45-1AA06009EE02}">
    <text>Jan 1 - Jan 4 to be updated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5.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E227-B7D7-48A7-9E4B-21B2DF4365C4}">
  <sheetPr>
    <tabColor theme="7"/>
  </sheetPr>
  <dimension ref="A1:R50"/>
  <sheetViews>
    <sheetView showGridLines="0" tabSelected="1" zoomScale="86" zoomScaleNormal="60" workbookViewId="0">
      <pane xSplit="2" ySplit="3" topLeftCell="C4" activePane="bottomRight" state="frozen"/>
      <selection pane="topRight" activeCell="D3" sqref="D3"/>
      <selection pane="bottomLeft" activeCell="D3" sqref="D3"/>
      <selection pane="bottomRight" activeCell="E13" sqref="E13"/>
    </sheetView>
  </sheetViews>
  <sheetFormatPr baseColWidth="10" defaultColWidth="8.83203125" defaultRowHeight="15"/>
  <cols>
    <col min="1" max="1" width="12.1640625" style="43" customWidth="1"/>
    <col min="2" max="2" width="41.1640625" style="45" customWidth="1"/>
    <col min="3" max="3" width="56" style="43" customWidth="1"/>
    <col min="4" max="4" width="18.5" style="43" customWidth="1"/>
    <col min="5" max="5" width="17.5" style="43" customWidth="1"/>
    <col min="6" max="6" width="11.5" style="43" customWidth="1"/>
    <col min="7" max="7" width="18.1640625" style="43" customWidth="1"/>
    <col min="8" max="8" width="19.1640625" style="43" customWidth="1"/>
    <col min="9" max="9" width="16.83203125" style="43" customWidth="1"/>
    <col min="10" max="10" width="22.83203125" style="43" bestFit="1" customWidth="1"/>
    <col min="11" max="11" width="27.83203125" style="43" bestFit="1" customWidth="1"/>
    <col min="12" max="12" width="62.83203125" style="46" customWidth="1"/>
    <col min="13" max="13" width="15.83203125" style="43" customWidth="1"/>
    <col min="14" max="14" width="98.1640625" style="46" customWidth="1"/>
    <col min="15" max="15" width="14.1640625" style="43" customWidth="1"/>
    <col min="16" max="16" width="17.5" style="43" customWidth="1"/>
    <col min="17" max="17" width="14.5" style="43" customWidth="1"/>
    <col min="18" max="18" width="18.1640625" style="43" customWidth="1"/>
    <col min="19" max="16384" width="8.83203125" style="43"/>
  </cols>
  <sheetData>
    <row r="1" spans="1:18">
      <c r="A1" s="99" t="s">
        <v>0</v>
      </c>
      <c r="B1" s="100" t="s">
        <v>1</v>
      </c>
      <c r="C1" s="99" t="s">
        <v>2</v>
      </c>
      <c r="D1" s="101" t="s">
        <v>3</v>
      </c>
      <c r="E1" s="99" t="s">
        <v>4</v>
      </c>
      <c r="F1" s="99" t="s">
        <v>5</v>
      </c>
      <c r="G1" s="99" t="s">
        <v>6</v>
      </c>
      <c r="H1" s="99" t="s">
        <v>7</v>
      </c>
      <c r="I1" s="101" t="s">
        <v>8</v>
      </c>
      <c r="J1" s="99" t="s">
        <v>9</v>
      </c>
      <c r="K1" s="99" t="s">
        <v>10</v>
      </c>
      <c r="L1" s="99" t="s">
        <v>11</v>
      </c>
      <c r="M1" s="99" t="s">
        <v>12</v>
      </c>
      <c r="N1" s="99" t="s">
        <v>13</v>
      </c>
      <c r="O1" s="99" t="s">
        <v>14</v>
      </c>
      <c r="P1" s="104" t="s">
        <v>15</v>
      </c>
      <c r="Q1" s="99" t="s">
        <v>16</v>
      </c>
      <c r="R1" s="99" t="s">
        <v>80</v>
      </c>
    </row>
    <row r="2" spans="1:18">
      <c r="A2" s="99"/>
      <c r="B2" s="100"/>
      <c r="C2" s="99"/>
      <c r="D2" s="102"/>
      <c r="E2" s="99"/>
      <c r="F2" s="99"/>
      <c r="G2" s="99"/>
      <c r="H2" s="99"/>
      <c r="I2" s="102"/>
      <c r="J2" s="99"/>
      <c r="K2" s="99"/>
      <c r="L2" s="99"/>
      <c r="M2" s="99"/>
      <c r="N2" s="99"/>
      <c r="O2" s="99"/>
      <c r="P2" s="104"/>
      <c r="Q2" s="99"/>
      <c r="R2" s="99"/>
    </row>
    <row r="3" spans="1:18" ht="16">
      <c r="A3" s="99"/>
      <c r="B3" s="100"/>
      <c r="C3" s="99"/>
      <c r="D3" s="103"/>
      <c r="E3" s="99"/>
      <c r="F3" s="99"/>
      <c r="G3" s="42" t="s">
        <v>17</v>
      </c>
      <c r="H3" s="42" t="s">
        <v>17</v>
      </c>
      <c r="I3" s="103"/>
      <c r="J3" s="99"/>
      <c r="K3" s="99"/>
      <c r="L3" s="99"/>
      <c r="M3" s="99"/>
      <c r="N3" s="99"/>
      <c r="O3" s="99"/>
      <c r="P3" s="104"/>
      <c r="Q3" s="99"/>
      <c r="R3" s="99"/>
    </row>
    <row r="4" spans="1:18" s="62" customFormat="1" ht="238" customHeight="1">
      <c r="A4" s="64">
        <v>1</v>
      </c>
      <c r="B4" s="81"/>
      <c r="C4" s="64"/>
      <c r="D4" s="69"/>
      <c r="E4" s="69"/>
      <c r="F4" s="69"/>
      <c r="G4" s="67"/>
      <c r="H4" s="67"/>
      <c r="I4" s="69"/>
      <c r="J4" s="69"/>
      <c r="K4" s="68"/>
      <c r="L4" s="71"/>
      <c r="M4" s="69"/>
      <c r="N4" s="65"/>
      <c r="O4" s="69"/>
      <c r="P4" s="69"/>
      <c r="Q4" s="44"/>
      <c r="R4" s="70"/>
    </row>
    <row r="5" spans="1:18" s="66" customFormat="1">
      <c r="A5" s="64"/>
      <c r="B5" s="71"/>
      <c r="D5" s="69"/>
      <c r="E5" s="69"/>
      <c r="F5" s="69"/>
      <c r="G5" s="67"/>
      <c r="H5" s="67"/>
      <c r="I5" s="69"/>
      <c r="J5" s="69"/>
      <c r="K5" s="68"/>
      <c r="L5" s="71"/>
      <c r="M5" s="69"/>
      <c r="N5" s="65"/>
      <c r="O5" s="69"/>
      <c r="P5" s="69"/>
      <c r="R5" s="70"/>
    </row>
    <row r="6" spans="1:18" s="66" customFormat="1">
      <c r="A6" s="64"/>
      <c r="B6" s="71"/>
      <c r="C6" s="93"/>
      <c r="D6" s="69"/>
      <c r="E6" s="69"/>
      <c r="F6" s="69"/>
      <c r="G6" s="67"/>
      <c r="H6" s="58"/>
      <c r="I6" s="69"/>
      <c r="J6" s="69"/>
      <c r="K6" s="68"/>
      <c r="L6" s="83"/>
      <c r="M6" s="69"/>
      <c r="N6" s="71"/>
      <c r="O6" s="69"/>
      <c r="P6" s="69"/>
      <c r="R6" s="70"/>
    </row>
    <row r="7" spans="1:18">
      <c r="A7" s="64"/>
      <c r="B7" s="89"/>
      <c r="C7" s="52"/>
      <c r="F7" s="69"/>
      <c r="G7" s="58"/>
      <c r="H7" s="58"/>
      <c r="I7" s="69"/>
      <c r="J7" s="69"/>
      <c r="K7" s="68"/>
      <c r="L7" s="51"/>
      <c r="M7" s="69"/>
      <c r="N7" s="83"/>
      <c r="O7" s="69"/>
      <c r="P7" s="69"/>
      <c r="Q7" s="44"/>
      <c r="R7" s="70"/>
    </row>
    <row r="8" spans="1:18">
      <c r="A8" s="64"/>
      <c r="B8" s="82"/>
      <c r="C8" s="48"/>
      <c r="F8" s="69"/>
      <c r="G8" s="58"/>
      <c r="H8" s="58"/>
      <c r="I8" s="48"/>
      <c r="J8" s="48"/>
      <c r="K8" s="68"/>
      <c r="L8" s="83"/>
      <c r="M8" s="69"/>
      <c r="N8" s="88"/>
      <c r="O8" s="69"/>
      <c r="P8" s="69"/>
      <c r="Q8" s="66"/>
      <c r="R8" s="70"/>
    </row>
    <row r="9" spans="1:18">
      <c r="A9" s="64"/>
      <c r="B9" s="82"/>
      <c r="C9" s="48"/>
      <c r="F9" s="69"/>
      <c r="G9" s="58"/>
      <c r="H9" s="58"/>
      <c r="K9" s="68"/>
      <c r="L9" s="83"/>
      <c r="M9" s="69"/>
      <c r="N9" s="83"/>
      <c r="O9" s="69"/>
      <c r="P9" s="69"/>
      <c r="Q9" s="66"/>
      <c r="R9" s="70"/>
    </row>
    <row r="10" spans="1:18">
      <c r="A10" s="64"/>
      <c r="B10" s="50"/>
      <c r="C10" s="48"/>
      <c r="D10" s="48"/>
      <c r="E10" s="48"/>
      <c r="F10" s="69"/>
      <c r="G10" s="58"/>
      <c r="H10" s="58"/>
      <c r="I10" s="48"/>
      <c r="J10" s="48"/>
      <c r="K10" s="68"/>
      <c r="L10" s="83"/>
      <c r="M10" s="69"/>
      <c r="N10" s="88"/>
      <c r="O10" s="49"/>
      <c r="P10" s="69"/>
      <c r="Q10" s="44"/>
      <c r="R10" s="94"/>
    </row>
    <row r="11" spans="1:18">
      <c r="A11" s="64"/>
      <c r="B11" s="50"/>
      <c r="C11" s="48"/>
      <c r="D11" s="48"/>
      <c r="E11" s="48"/>
      <c r="F11" s="69"/>
      <c r="G11" s="90"/>
      <c r="H11" s="58"/>
      <c r="I11" s="48"/>
      <c r="J11" s="48"/>
      <c r="K11" s="68"/>
      <c r="L11" s="83"/>
      <c r="M11" s="69"/>
      <c r="N11" s="83"/>
      <c r="O11" s="49"/>
      <c r="P11" s="69"/>
      <c r="Q11" s="44"/>
      <c r="R11" s="48"/>
    </row>
    <row r="12" spans="1:18">
      <c r="A12" s="64"/>
      <c r="B12" s="91"/>
      <c r="C12" s="48"/>
      <c r="F12" s="69"/>
      <c r="G12" s="58"/>
      <c r="H12" s="58"/>
      <c r="I12" s="48"/>
      <c r="J12" s="48"/>
      <c r="K12" s="68"/>
      <c r="L12" s="83"/>
      <c r="M12" s="69"/>
      <c r="N12" s="83"/>
      <c r="O12" s="49"/>
      <c r="P12" s="69"/>
      <c r="Q12" s="44"/>
      <c r="R12" s="48"/>
    </row>
    <row r="13" spans="1:18">
      <c r="A13" s="64"/>
      <c r="B13" s="50"/>
      <c r="C13" s="48"/>
      <c r="D13" s="49"/>
      <c r="E13" s="48"/>
      <c r="F13" s="69"/>
      <c r="G13" s="58"/>
      <c r="H13" s="58"/>
      <c r="I13" s="48"/>
      <c r="J13" s="48"/>
      <c r="K13" s="68"/>
      <c r="L13" s="83"/>
      <c r="M13" s="49"/>
      <c r="N13" s="83"/>
      <c r="O13" s="49"/>
      <c r="P13" s="49"/>
      <c r="Q13" s="44"/>
      <c r="R13" s="48"/>
    </row>
    <row r="14" spans="1:18">
      <c r="A14" s="64"/>
      <c r="B14" s="59"/>
      <c r="C14" s="52"/>
      <c r="D14" s="49"/>
      <c r="E14" s="48"/>
      <c r="F14" s="69"/>
      <c r="G14" s="58"/>
      <c r="H14" s="58"/>
      <c r="I14" s="48"/>
      <c r="J14" s="48"/>
      <c r="K14" s="68"/>
      <c r="L14" s="83"/>
      <c r="M14" s="49"/>
      <c r="N14" s="83"/>
      <c r="O14" s="48"/>
      <c r="P14" s="49"/>
      <c r="Q14" s="66"/>
      <c r="R14" s="48"/>
    </row>
    <row r="15" spans="1:18">
      <c r="A15" s="64"/>
      <c r="B15" s="59"/>
      <c r="C15" s="52"/>
      <c r="D15" s="49"/>
      <c r="E15" s="48"/>
      <c r="F15" s="69"/>
      <c r="G15" s="58"/>
      <c r="H15" s="58"/>
      <c r="I15" s="48"/>
      <c r="J15" s="48"/>
      <c r="K15" s="68"/>
      <c r="L15" s="83"/>
      <c r="M15" s="49"/>
      <c r="N15" s="83"/>
      <c r="O15" s="48"/>
      <c r="P15" s="48"/>
      <c r="Q15" s="44"/>
      <c r="R15" s="48"/>
    </row>
    <row r="16" spans="1:18">
      <c r="A16" s="64"/>
      <c r="B16" s="59"/>
      <c r="C16" s="52"/>
      <c r="D16" s="48"/>
      <c r="E16" s="48"/>
      <c r="F16" s="69"/>
      <c r="G16" s="58"/>
      <c r="H16" s="58"/>
      <c r="K16" s="68"/>
      <c r="L16" s="83"/>
      <c r="M16" s="49"/>
      <c r="N16" s="83"/>
      <c r="O16" s="48"/>
      <c r="P16" s="53"/>
      <c r="Q16" s="44"/>
      <c r="R16" s="48"/>
    </row>
    <row r="17" spans="1:18">
      <c r="A17" s="64"/>
      <c r="B17" s="59"/>
      <c r="C17" s="52"/>
      <c r="D17" s="48"/>
      <c r="E17" s="48"/>
      <c r="F17" s="69"/>
      <c r="G17" s="58"/>
      <c r="H17" s="58"/>
      <c r="K17" s="68"/>
      <c r="L17" s="51"/>
      <c r="M17" s="49"/>
      <c r="N17" s="83"/>
      <c r="O17" s="48"/>
      <c r="P17" s="53"/>
      <c r="Q17" s="66"/>
      <c r="R17" s="48"/>
    </row>
    <row r="18" spans="1:18">
      <c r="A18" s="64"/>
      <c r="B18" s="59"/>
      <c r="C18" s="52"/>
      <c r="D18" s="48"/>
      <c r="E18" s="48"/>
      <c r="F18" s="69"/>
      <c r="G18" s="58"/>
      <c r="H18" s="58"/>
      <c r="K18" s="68"/>
      <c r="L18" s="83"/>
      <c r="M18" s="49"/>
      <c r="N18" s="83"/>
      <c r="O18" s="48"/>
      <c r="P18" s="44"/>
      <c r="Q18" s="66"/>
      <c r="R18" s="48"/>
    </row>
    <row r="19" spans="1:18">
      <c r="A19" s="64"/>
      <c r="D19" s="48"/>
      <c r="E19" s="48"/>
      <c r="F19" s="69"/>
      <c r="G19" s="58"/>
      <c r="H19" s="58"/>
      <c r="I19" s="48"/>
      <c r="J19" s="48"/>
      <c r="K19" s="68"/>
      <c r="L19" s="51"/>
      <c r="M19" s="49"/>
      <c r="N19" s="83"/>
      <c r="O19" s="48"/>
      <c r="P19" s="48"/>
      <c r="Q19" s="44"/>
      <c r="R19" s="48"/>
    </row>
    <row r="20" spans="1:18">
      <c r="A20" s="64"/>
      <c r="C20" s="48"/>
      <c r="D20" s="48"/>
      <c r="E20" s="48"/>
      <c r="F20" s="49"/>
      <c r="G20" s="58"/>
      <c r="H20" s="58"/>
      <c r="I20" s="48"/>
      <c r="J20" s="48"/>
      <c r="K20" s="68"/>
      <c r="L20" s="51"/>
      <c r="M20" s="49"/>
      <c r="N20" s="83"/>
      <c r="O20" s="48"/>
      <c r="P20" s="48"/>
      <c r="Q20" s="66"/>
      <c r="R20" s="48"/>
    </row>
    <row r="21" spans="1:18">
      <c r="A21" s="64"/>
      <c r="C21" s="48"/>
      <c r="D21" s="48"/>
      <c r="E21" s="48"/>
      <c r="F21" s="49"/>
      <c r="G21" s="58"/>
      <c r="H21" s="58"/>
      <c r="I21" s="48"/>
      <c r="J21" s="48"/>
      <c r="K21" s="68"/>
      <c r="L21" s="51"/>
      <c r="M21" s="49"/>
      <c r="N21" s="83"/>
      <c r="O21" s="48"/>
      <c r="P21" s="48"/>
      <c r="Q21" s="66"/>
      <c r="R21" s="48"/>
    </row>
    <row r="22" spans="1:18">
      <c r="A22" s="64"/>
      <c r="C22" s="80"/>
      <c r="D22" s="44"/>
      <c r="E22" s="48"/>
      <c r="F22" s="49"/>
      <c r="G22" s="58"/>
      <c r="H22" s="58"/>
      <c r="I22" s="48"/>
      <c r="J22" s="48"/>
      <c r="K22" s="68"/>
      <c r="L22" s="51"/>
      <c r="M22" s="49"/>
      <c r="N22" s="83"/>
      <c r="P22" s="48"/>
      <c r="Q22" s="66"/>
      <c r="R22" s="48"/>
    </row>
    <row r="23" spans="1:18">
      <c r="A23" s="64"/>
      <c r="C23" s="80"/>
      <c r="D23" s="44"/>
      <c r="E23" s="48"/>
      <c r="F23" s="49"/>
      <c r="G23" s="58"/>
      <c r="H23" s="58"/>
      <c r="I23" s="48"/>
      <c r="J23" s="48"/>
      <c r="K23" s="68"/>
      <c r="L23" s="51"/>
      <c r="M23" s="49"/>
      <c r="N23" s="51"/>
      <c r="O23" s="48"/>
      <c r="P23" s="48"/>
      <c r="Q23" s="44"/>
      <c r="R23" s="48"/>
    </row>
    <row r="24" spans="1:18">
      <c r="A24" s="64"/>
      <c r="B24" s="50"/>
      <c r="C24" s="48"/>
      <c r="D24" s="44"/>
      <c r="E24" s="48"/>
      <c r="F24" s="49"/>
      <c r="G24" s="84"/>
      <c r="H24" s="58"/>
      <c r="I24" s="48"/>
      <c r="J24" s="48"/>
      <c r="K24" s="68"/>
      <c r="L24" s="54"/>
      <c r="M24" s="49"/>
      <c r="N24" s="83"/>
      <c r="O24" s="48"/>
      <c r="Q24" s="66"/>
      <c r="R24" s="48"/>
    </row>
    <row r="25" spans="1:18">
      <c r="A25" s="64"/>
      <c r="B25" s="50"/>
      <c r="C25" s="85"/>
      <c r="D25" s="48"/>
      <c r="F25" s="49"/>
      <c r="G25" s="84"/>
      <c r="H25" s="58"/>
      <c r="I25" s="48"/>
      <c r="J25" s="48"/>
      <c r="K25" s="68"/>
      <c r="L25" s="51"/>
      <c r="M25" s="49"/>
      <c r="N25" s="51"/>
      <c r="O25" s="48"/>
      <c r="P25" s="48"/>
      <c r="Q25" s="66"/>
      <c r="R25" s="48"/>
    </row>
    <row r="26" spans="1:18">
      <c r="A26" s="47"/>
      <c r="B26" s="50"/>
      <c r="C26" s="48"/>
      <c r="D26" s="48"/>
      <c r="E26" s="48"/>
      <c r="F26" s="49"/>
      <c r="G26" s="58"/>
      <c r="H26" s="58"/>
      <c r="I26" s="48"/>
      <c r="J26" s="48"/>
      <c r="K26" s="68"/>
      <c r="L26" s="51"/>
      <c r="M26" s="49"/>
      <c r="N26" s="83"/>
      <c r="O26" s="48"/>
      <c r="P26" s="48"/>
      <c r="Q26" s="48"/>
      <c r="R26" s="48"/>
    </row>
    <row r="27" spans="1:18">
      <c r="A27" s="64"/>
      <c r="B27" s="50"/>
      <c r="C27" s="48"/>
      <c r="D27" s="48"/>
      <c r="E27" s="48"/>
      <c r="F27" s="49"/>
      <c r="G27" s="58"/>
      <c r="H27" s="58"/>
      <c r="I27" s="48"/>
      <c r="J27" s="48"/>
      <c r="K27" s="68"/>
      <c r="L27" s="55"/>
      <c r="M27" s="49"/>
      <c r="N27" s="83"/>
      <c r="O27" s="48"/>
      <c r="P27" s="48"/>
      <c r="Q27" s="66"/>
      <c r="R27" s="48"/>
    </row>
    <row r="28" spans="1:18">
      <c r="A28" s="64"/>
      <c r="B28" s="82"/>
      <c r="C28" s="57"/>
      <c r="D28" s="48"/>
      <c r="E28" s="48"/>
      <c r="F28" s="49"/>
      <c r="G28" s="58"/>
      <c r="H28" s="58"/>
      <c r="I28" s="48"/>
      <c r="J28" s="48"/>
      <c r="K28" s="68"/>
      <c r="L28" s="51"/>
      <c r="M28" s="49"/>
      <c r="N28" s="51"/>
      <c r="O28" s="48"/>
      <c r="P28" s="53"/>
      <c r="Q28" s="44"/>
      <c r="R28" s="48"/>
    </row>
    <row r="29" spans="1:18">
      <c r="A29" s="47"/>
      <c r="B29" s="82"/>
      <c r="C29" s="52"/>
      <c r="D29" s="48"/>
      <c r="E29" s="48"/>
      <c r="F29" s="49"/>
      <c r="G29" s="58"/>
      <c r="H29" s="58"/>
      <c r="I29" s="48"/>
      <c r="J29" s="48"/>
      <c r="K29" s="68"/>
      <c r="L29" s="55"/>
      <c r="M29" s="49"/>
      <c r="N29" s="51"/>
      <c r="O29" s="48"/>
      <c r="P29" s="48"/>
      <c r="Q29" s="44"/>
      <c r="R29" s="48"/>
    </row>
    <row r="30" spans="1:18">
      <c r="A30" s="64"/>
      <c r="B30" s="82"/>
      <c r="C30" s="52"/>
      <c r="D30" s="48"/>
      <c r="E30" s="48"/>
      <c r="F30" s="49"/>
      <c r="G30" s="58"/>
      <c r="H30" s="58"/>
      <c r="I30" s="48"/>
      <c r="J30" s="48"/>
      <c r="K30" s="68"/>
      <c r="L30" s="51"/>
      <c r="M30" s="49"/>
      <c r="N30" s="56"/>
      <c r="O30" s="48"/>
      <c r="P30" s="53"/>
      <c r="Q30" s="48"/>
      <c r="R30" s="48"/>
    </row>
    <row r="31" spans="1:18">
      <c r="A31" s="64"/>
      <c r="B31" s="82"/>
      <c r="C31" s="52"/>
      <c r="D31" s="48"/>
      <c r="E31" s="48"/>
      <c r="F31" s="49"/>
      <c r="G31" s="58"/>
      <c r="H31" s="58"/>
      <c r="I31" s="48"/>
      <c r="J31" s="48"/>
      <c r="K31" s="68"/>
      <c r="L31" s="51"/>
      <c r="M31" s="49"/>
      <c r="N31" s="51"/>
      <c r="O31" s="48"/>
      <c r="P31" s="48"/>
      <c r="Q31" s="44"/>
      <c r="R31" s="48"/>
    </row>
    <row r="32" spans="1:18">
      <c r="A32" s="47"/>
      <c r="B32" s="50"/>
      <c r="C32" s="48"/>
      <c r="D32" s="48"/>
      <c r="E32" s="48"/>
      <c r="F32" s="48"/>
      <c r="G32" s="58"/>
      <c r="H32" s="58"/>
      <c r="I32" s="48"/>
      <c r="J32" s="48"/>
      <c r="K32" s="68"/>
      <c r="L32" s="51"/>
      <c r="M32" s="48"/>
      <c r="N32" s="51"/>
      <c r="O32" s="48"/>
      <c r="P32" s="48"/>
      <c r="Q32" s="48"/>
      <c r="R32" s="48"/>
    </row>
    <row r="33" spans="1:18">
      <c r="A33" s="64"/>
      <c r="B33" s="50"/>
      <c r="C33" s="48"/>
      <c r="D33" s="48"/>
      <c r="E33" s="48"/>
      <c r="F33" s="49"/>
      <c r="G33" s="58"/>
      <c r="H33" s="58"/>
      <c r="I33" s="48"/>
      <c r="J33" s="48"/>
      <c r="K33" s="68"/>
      <c r="L33" s="51"/>
      <c r="M33" s="48"/>
      <c r="N33" s="51"/>
      <c r="O33" s="48"/>
      <c r="P33" s="48"/>
      <c r="Q33" s="44"/>
      <c r="R33" s="48"/>
    </row>
    <row r="34" spans="1:18">
      <c r="A34" s="64"/>
      <c r="B34" s="50"/>
      <c r="C34" s="48"/>
      <c r="D34" s="48"/>
      <c r="E34" s="48"/>
      <c r="F34" s="48"/>
      <c r="G34" s="58"/>
      <c r="H34" s="58"/>
      <c r="I34" s="48"/>
      <c r="J34" s="48"/>
      <c r="K34" s="68"/>
      <c r="L34" s="51"/>
      <c r="M34" s="48"/>
      <c r="N34" s="51"/>
      <c r="O34" s="48"/>
      <c r="P34" s="53"/>
      <c r="Q34" s="48"/>
      <c r="R34" s="48"/>
    </row>
    <row r="35" spans="1:18">
      <c r="A35" s="47"/>
      <c r="B35" s="50"/>
      <c r="C35" s="48"/>
      <c r="D35" s="48"/>
      <c r="E35" s="48"/>
      <c r="F35" s="49"/>
      <c r="G35" s="58"/>
      <c r="H35" s="58"/>
      <c r="I35" s="48"/>
      <c r="J35" s="48"/>
      <c r="K35" s="68"/>
      <c r="L35" s="51"/>
      <c r="M35" s="48"/>
      <c r="N35" s="51"/>
      <c r="O35" s="48"/>
      <c r="P35" s="48"/>
      <c r="Q35" s="48"/>
      <c r="R35" s="48"/>
    </row>
    <row r="36" spans="1:18">
      <c r="A36" s="64"/>
      <c r="B36" s="50"/>
      <c r="C36" s="48"/>
      <c r="D36" s="48"/>
      <c r="E36" s="48"/>
      <c r="F36" s="48"/>
      <c r="G36" s="58"/>
      <c r="H36" s="58"/>
      <c r="I36" s="48"/>
      <c r="J36" s="48"/>
      <c r="K36" s="68"/>
      <c r="L36" s="51"/>
      <c r="M36" s="48"/>
      <c r="N36" s="51"/>
      <c r="O36" s="48"/>
      <c r="P36" s="48"/>
      <c r="Q36" s="44"/>
      <c r="R36" s="48"/>
    </row>
    <row r="37" spans="1:18">
      <c r="A37" s="64"/>
      <c r="B37" s="50"/>
      <c r="C37" s="48"/>
      <c r="D37" s="44"/>
      <c r="E37" s="48"/>
      <c r="F37" s="49"/>
      <c r="G37" s="58"/>
      <c r="H37" s="58"/>
      <c r="I37" s="48"/>
      <c r="K37" s="68"/>
      <c r="L37" s="51"/>
      <c r="M37" s="48"/>
      <c r="N37" s="51"/>
      <c r="O37" s="48"/>
      <c r="P37" s="48"/>
      <c r="Q37" s="48"/>
      <c r="R37" s="48"/>
    </row>
    <row r="38" spans="1:18">
      <c r="A38" s="47"/>
      <c r="B38" s="50"/>
      <c r="C38" s="48"/>
      <c r="E38" s="48"/>
      <c r="F38" s="48"/>
      <c r="G38" s="58"/>
      <c r="H38" s="58"/>
      <c r="I38" s="48"/>
      <c r="J38" s="48"/>
      <c r="K38" s="68"/>
      <c r="L38" s="51"/>
      <c r="M38" s="48"/>
      <c r="N38" s="51"/>
      <c r="O38" s="48"/>
      <c r="P38" s="48"/>
      <c r="Q38" s="44"/>
      <c r="R38" s="48"/>
    </row>
    <row r="39" spans="1:18">
      <c r="A39" s="64"/>
      <c r="F39" s="48"/>
      <c r="G39" s="58"/>
      <c r="H39" s="58"/>
      <c r="K39" s="68"/>
      <c r="M39" s="48"/>
      <c r="P39" s="48"/>
    </row>
    <row r="40" spans="1:18">
      <c r="A40" s="64"/>
      <c r="F40" s="48"/>
      <c r="G40" s="58"/>
      <c r="H40" s="58"/>
      <c r="K40" s="68"/>
      <c r="Q40" s="44"/>
    </row>
    <row r="41" spans="1:18">
      <c r="A41" s="47"/>
      <c r="F41" s="48"/>
      <c r="G41" s="58"/>
      <c r="H41" s="58"/>
      <c r="K41" s="68"/>
    </row>
    <row r="42" spans="1:18">
      <c r="A42" s="64"/>
      <c r="D42" s="48"/>
      <c r="F42" s="48"/>
      <c r="G42" s="58"/>
      <c r="H42" s="58"/>
      <c r="K42" s="68"/>
      <c r="P42" s="48"/>
      <c r="Q42" s="44"/>
    </row>
    <row r="43" spans="1:18">
      <c r="A43" s="64"/>
      <c r="D43" s="48"/>
      <c r="F43" s="49"/>
      <c r="G43" s="58"/>
      <c r="H43" s="58"/>
      <c r="K43" s="48"/>
      <c r="P43" s="48"/>
    </row>
    <row r="44" spans="1:18">
      <c r="A44" s="47"/>
      <c r="F44" s="48"/>
      <c r="G44" s="58"/>
      <c r="H44" s="58"/>
      <c r="K44" s="48"/>
    </row>
    <row r="45" spans="1:18">
      <c r="A45" s="47"/>
      <c r="F45" s="49"/>
      <c r="G45" s="58"/>
      <c r="H45" s="58"/>
      <c r="K45" s="48"/>
    </row>
    <row r="46" spans="1:18">
      <c r="A46" s="47"/>
      <c r="D46" s="48"/>
      <c r="F46" s="48"/>
      <c r="G46" s="58"/>
      <c r="H46" s="58"/>
      <c r="K46" s="48"/>
      <c r="P46" s="48"/>
    </row>
    <row r="47" spans="1:18">
      <c r="A47" s="47"/>
      <c r="D47" s="44"/>
      <c r="F47" s="49"/>
      <c r="G47" s="58"/>
      <c r="H47" s="58"/>
      <c r="K47" s="48"/>
    </row>
    <row r="48" spans="1:18">
      <c r="A48" s="47"/>
      <c r="D48" s="44"/>
      <c r="F48" s="48"/>
      <c r="G48" s="58"/>
      <c r="H48" s="58"/>
      <c r="K48" s="48"/>
    </row>
    <row r="49" spans="1:11">
      <c r="A49" s="47"/>
      <c r="D49" s="44"/>
      <c r="F49" s="49"/>
      <c r="G49" s="58"/>
      <c r="H49" s="58"/>
      <c r="K49" s="48"/>
    </row>
    <row r="50" spans="1:11">
      <c r="A50" s="47"/>
      <c r="F50" s="48"/>
    </row>
  </sheetData>
  <autoFilter ref="A1:Q54" xr:uid="{6BBDE227-B7D7-48A7-9E4B-21B2DF4365C4}"/>
  <mergeCells count="18">
    <mergeCell ref="N1:N3"/>
    <mergeCell ref="O1:O3"/>
    <mergeCell ref="P1:P3"/>
    <mergeCell ref="Q1:Q3"/>
    <mergeCell ref="R1:R3"/>
    <mergeCell ref="M1:M3"/>
    <mergeCell ref="L1:L3"/>
    <mergeCell ref="A1:A3"/>
    <mergeCell ref="B1:B3"/>
    <mergeCell ref="C1:C3"/>
    <mergeCell ref="D1:D3"/>
    <mergeCell ref="E1:E3"/>
    <mergeCell ref="F1:F3"/>
    <mergeCell ref="G1:G2"/>
    <mergeCell ref="H1:H2"/>
    <mergeCell ref="I1:I3"/>
    <mergeCell ref="J1:J3"/>
    <mergeCell ref="K1:K3"/>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9F7E-C56A-4D95-B18E-B029A162FF30}">
  <dimension ref="A1:R3"/>
  <sheetViews>
    <sheetView workbookViewId="0">
      <selection activeCell="A3" sqref="A3:R4"/>
    </sheetView>
  </sheetViews>
  <sheetFormatPr baseColWidth="10" defaultColWidth="8.83203125" defaultRowHeight="15"/>
  <cols>
    <col min="1" max="1" width="8.83203125" bestFit="1" customWidth="1"/>
    <col min="2" max="2" width="19.1640625" bestFit="1" customWidth="1"/>
    <col min="3" max="3" width="27.83203125" bestFit="1" customWidth="1"/>
    <col min="4" max="4" width="8.83203125" bestFit="1" customWidth="1"/>
    <col min="5" max="5" width="10.1640625" bestFit="1" customWidth="1"/>
    <col min="6" max="7" width="10.83203125" bestFit="1" customWidth="1"/>
    <col min="8" max="8" width="17.5" bestFit="1" customWidth="1"/>
    <col min="9" max="9" width="10.1640625" bestFit="1" customWidth="1"/>
    <col min="10" max="10" width="19.83203125" bestFit="1" customWidth="1"/>
    <col min="11" max="11" width="23.5" bestFit="1" customWidth="1"/>
    <col min="12" max="12" width="24.83203125" bestFit="1" customWidth="1"/>
    <col min="13" max="13" width="21.1640625" bestFit="1" customWidth="1"/>
    <col min="14" max="14" width="16.1640625" bestFit="1" customWidth="1"/>
    <col min="15" max="15" width="13.1640625" bestFit="1" customWidth="1"/>
    <col min="16" max="16" width="10.5" bestFit="1" customWidth="1"/>
    <col min="17" max="17" width="11.5" bestFit="1" customWidth="1"/>
    <col min="18" max="18" width="9.83203125" bestFit="1" customWidth="1"/>
  </cols>
  <sheetData>
    <row r="1" spans="1:18">
      <c r="A1" s="79" t="s">
        <v>115</v>
      </c>
    </row>
    <row r="3" spans="1:18">
      <c r="A3" t="s">
        <v>0</v>
      </c>
      <c r="B3" t="s">
        <v>1</v>
      </c>
      <c r="C3" t="s">
        <v>2</v>
      </c>
      <c r="D3" t="s">
        <v>3</v>
      </c>
      <c r="E3" t="s">
        <v>4</v>
      </c>
      <c r="F3" t="s">
        <v>5</v>
      </c>
      <c r="G3" t="s">
        <v>6</v>
      </c>
      <c r="H3" t="s">
        <v>7</v>
      </c>
      <c r="I3" t="s">
        <v>8</v>
      </c>
      <c r="J3" t="s">
        <v>9</v>
      </c>
      <c r="K3" t="s">
        <v>10</v>
      </c>
      <c r="L3" t="s">
        <v>11</v>
      </c>
      <c r="M3" t="s">
        <v>12</v>
      </c>
      <c r="N3" t="s">
        <v>13</v>
      </c>
      <c r="O3" t="s">
        <v>14</v>
      </c>
      <c r="P3" t="s">
        <v>15</v>
      </c>
      <c r="Q3" t="s">
        <v>16</v>
      </c>
      <c r="R3" t="s">
        <v>80</v>
      </c>
    </row>
  </sheetData>
  <phoneticPr fontId="2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745A-AAD3-477B-AF4A-E0BDC3F8465A}">
  <dimension ref="A3:G11"/>
  <sheetViews>
    <sheetView topLeftCell="A2" workbookViewId="0">
      <selection activeCell="E11" sqref="A3:H16"/>
    </sheetView>
  </sheetViews>
  <sheetFormatPr baseColWidth="10" defaultColWidth="8.83203125" defaultRowHeight="15"/>
  <cols>
    <col min="1" max="1" width="22.5" bestFit="1" customWidth="1"/>
    <col min="2" max="2" width="15.1640625" bestFit="1" customWidth="1"/>
    <col min="3" max="3" width="6.83203125" bestFit="1" customWidth="1"/>
    <col min="4" max="4" width="8.83203125" bestFit="1" customWidth="1"/>
    <col min="5" max="5" width="27.1640625" bestFit="1" customWidth="1"/>
    <col min="6" max="6" width="15.83203125" bestFit="1" customWidth="1"/>
    <col min="7" max="8" width="10.83203125" bestFit="1" customWidth="1"/>
  </cols>
  <sheetData>
    <row r="3" spans="1:7">
      <c r="A3" s="38" t="s">
        <v>116</v>
      </c>
      <c r="B3" s="38" t="s">
        <v>102</v>
      </c>
    </row>
    <row r="4" spans="1:7">
      <c r="A4" s="38" t="s">
        <v>98</v>
      </c>
      <c r="B4" t="s">
        <v>19</v>
      </c>
      <c r="C4" t="s">
        <v>99</v>
      </c>
      <c r="D4" t="s">
        <v>18</v>
      </c>
      <c r="E4" t="s">
        <v>27</v>
      </c>
      <c r="F4" t="s">
        <v>29</v>
      </c>
      <c r="G4" t="s">
        <v>35</v>
      </c>
    </row>
    <row r="5" spans="1:7">
      <c r="A5" s="27" t="s">
        <v>99</v>
      </c>
    </row>
    <row r="6" spans="1:7">
      <c r="A6" s="27" t="s">
        <v>119</v>
      </c>
      <c r="B6">
        <v>1</v>
      </c>
      <c r="G6">
        <v>1</v>
      </c>
    </row>
    <row r="7" spans="1:7">
      <c r="A7" s="27" t="s">
        <v>122</v>
      </c>
      <c r="D7">
        <v>1</v>
      </c>
      <c r="G7">
        <v>1</v>
      </c>
    </row>
    <row r="8" spans="1:7">
      <c r="A8" s="27" t="s">
        <v>120</v>
      </c>
      <c r="F8">
        <v>1</v>
      </c>
      <c r="G8">
        <v>1</v>
      </c>
    </row>
    <row r="9" spans="1:7">
      <c r="A9" s="27" t="s">
        <v>21</v>
      </c>
      <c r="D9">
        <v>1</v>
      </c>
      <c r="G9">
        <v>1</v>
      </c>
    </row>
    <row r="10" spans="1:7">
      <c r="A10" s="27" t="s">
        <v>121</v>
      </c>
      <c r="E10">
        <v>1</v>
      </c>
      <c r="G10">
        <v>1</v>
      </c>
    </row>
    <row r="11" spans="1:7">
      <c r="A11" s="27" t="s">
        <v>35</v>
      </c>
      <c r="B11">
        <v>1</v>
      </c>
      <c r="D11">
        <v>2</v>
      </c>
      <c r="E11">
        <v>1</v>
      </c>
      <c r="F11">
        <v>1</v>
      </c>
      <c r="G11">
        <v>5</v>
      </c>
    </row>
  </sheetData>
  <phoneticPr fontId="2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922E-8F57-461B-AC47-BF0F450094E8}">
  <dimension ref="A1:C12"/>
  <sheetViews>
    <sheetView workbookViewId="0"/>
  </sheetViews>
  <sheetFormatPr baseColWidth="10" defaultColWidth="8.83203125" defaultRowHeight="15"/>
  <cols>
    <col min="1" max="1" width="15.1640625" bestFit="1" customWidth="1"/>
    <col min="2" max="2" width="5.1640625" bestFit="1" customWidth="1"/>
    <col min="3" max="3" width="7.83203125" bestFit="1" customWidth="1"/>
  </cols>
  <sheetData>
    <row r="1" spans="1:3">
      <c r="A1" s="86" t="s">
        <v>124</v>
      </c>
    </row>
    <row r="2" spans="1:3">
      <c r="A2" s="87" t="s">
        <v>125</v>
      </c>
      <c r="B2" s="87" t="s">
        <v>126</v>
      </c>
      <c r="C2" s="87" t="s">
        <v>127</v>
      </c>
    </row>
    <row r="4" spans="1:3">
      <c r="A4" s="86" t="s">
        <v>128</v>
      </c>
    </row>
    <row r="5" spans="1:3">
      <c r="A5" s="87" t="s">
        <v>125</v>
      </c>
      <c r="B5" s="87" t="s">
        <v>129</v>
      </c>
      <c r="C5" s="87" t="s">
        <v>127</v>
      </c>
    </row>
    <row r="8" spans="1:3">
      <c r="A8" s="86" t="s">
        <v>130</v>
      </c>
      <c r="B8" t="s">
        <v>131</v>
      </c>
    </row>
    <row r="9" spans="1:3">
      <c r="B9" t="s">
        <v>132</v>
      </c>
    </row>
    <row r="11" spans="1:3">
      <c r="B11" t="s">
        <v>133</v>
      </c>
    </row>
    <row r="12" spans="1:3">
      <c r="B12" t="s">
        <v>134</v>
      </c>
    </row>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1404-29D7-4DBB-BDD0-46C23997626D}">
  <dimension ref="A1:AA39"/>
  <sheetViews>
    <sheetView zoomScale="85" zoomScaleNormal="85" workbookViewId="0">
      <pane xSplit="1" ySplit="2" topLeftCell="B3" activePane="bottomRight" state="frozen"/>
      <selection pane="topRight" activeCell="B1" sqref="B1"/>
      <selection pane="bottomLeft" activeCell="A3" sqref="A3"/>
      <selection pane="bottomRight" sqref="A1:O34"/>
    </sheetView>
  </sheetViews>
  <sheetFormatPr baseColWidth="10" defaultColWidth="8.83203125" defaultRowHeight="15"/>
  <cols>
    <col min="1" max="1" width="16.1640625" bestFit="1" customWidth="1"/>
    <col min="2" max="2" width="11.5" customWidth="1"/>
    <col min="3" max="3" width="12.5" customWidth="1"/>
    <col min="4" max="4" width="9.83203125" customWidth="1"/>
    <col min="5" max="5" width="9.5" customWidth="1"/>
    <col min="7" max="7" width="12.5" customWidth="1"/>
    <col min="9" max="9" width="14.83203125" customWidth="1"/>
    <col min="10" max="10" width="9.83203125" customWidth="1"/>
    <col min="16" max="16" width="2.5" customWidth="1"/>
    <col min="17" max="17" width="21.33203125" bestFit="1" customWidth="1"/>
    <col min="18" max="18" width="24.6640625" bestFit="1" customWidth="1"/>
    <col min="19" max="19" width="16.83203125" bestFit="1" customWidth="1"/>
    <col min="20" max="20" width="4.6640625" bestFit="1" customWidth="1"/>
    <col min="21" max="21" width="7" bestFit="1" customWidth="1"/>
    <col min="22" max="22" width="27.83203125" bestFit="1" customWidth="1"/>
    <col min="23" max="23" width="9" bestFit="1" customWidth="1"/>
    <col min="24" max="24" width="21.6640625" bestFit="1" customWidth="1"/>
    <col min="25" max="25" width="11.1640625" bestFit="1" customWidth="1"/>
    <col min="26" max="26" width="8.6640625" bestFit="1" customWidth="1"/>
    <col min="27" max="27" width="10.83203125" bestFit="1" customWidth="1"/>
    <col min="28" max="28" width="12.5" bestFit="1" customWidth="1"/>
    <col min="29" max="30" width="11.5" bestFit="1" customWidth="1"/>
  </cols>
  <sheetData>
    <row r="1" spans="1:27" ht="54.75" customHeight="1">
      <c r="A1" s="22" t="s">
        <v>8</v>
      </c>
      <c r="B1" s="22" t="s">
        <v>22</v>
      </c>
      <c r="C1" s="22" t="s">
        <v>28</v>
      </c>
      <c r="D1" s="22" t="s">
        <v>29</v>
      </c>
      <c r="E1" s="22" t="s">
        <v>30</v>
      </c>
      <c r="F1" s="22" t="s">
        <v>23</v>
      </c>
      <c r="G1" s="22" t="s">
        <v>31</v>
      </c>
      <c r="H1" s="22" t="s">
        <v>32</v>
      </c>
      <c r="I1" s="22" t="s">
        <v>27</v>
      </c>
      <c r="J1" s="22" t="s">
        <v>18</v>
      </c>
      <c r="K1" s="22" t="s">
        <v>33</v>
      </c>
      <c r="L1" s="22" t="s">
        <v>26</v>
      </c>
      <c r="M1" s="22" t="s">
        <v>34</v>
      </c>
      <c r="N1" s="22" t="s">
        <v>19</v>
      </c>
      <c r="O1" s="20" t="s">
        <v>35</v>
      </c>
    </row>
    <row r="2" spans="1:27" ht="15" customHeight="1">
      <c r="A2" s="105" t="s">
        <v>36</v>
      </c>
      <c r="B2" s="105"/>
      <c r="C2" s="105"/>
      <c r="D2" s="105"/>
      <c r="E2" s="105"/>
      <c r="F2" s="105"/>
      <c r="G2" s="105"/>
      <c r="H2" s="105"/>
      <c r="I2" s="105"/>
      <c r="J2" s="105"/>
      <c r="K2" s="105"/>
      <c r="L2" s="105"/>
      <c r="M2" s="105"/>
      <c r="N2" s="105"/>
      <c r="O2" s="105"/>
    </row>
    <row r="3" spans="1:27">
      <c r="A3" s="16" t="s">
        <v>37</v>
      </c>
      <c r="B3" s="17">
        <v>1</v>
      </c>
      <c r="C3" s="17"/>
      <c r="D3" s="17">
        <v>1</v>
      </c>
      <c r="E3" s="17"/>
      <c r="F3" s="17"/>
      <c r="G3" s="17"/>
      <c r="H3" s="17">
        <v>1</v>
      </c>
      <c r="I3" s="17">
        <v>1</v>
      </c>
      <c r="J3" s="17">
        <v>2</v>
      </c>
      <c r="K3" s="17"/>
      <c r="L3" s="17">
        <v>1</v>
      </c>
      <c r="M3" s="17"/>
      <c r="N3" s="17">
        <v>5</v>
      </c>
      <c r="O3" s="17">
        <f>SUM(B3:N3)</f>
        <v>12</v>
      </c>
    </row>
    <row r="4" spans="1:27">
      <c r="A4" s="16" t="s">
        <v>38</v>
      </c>
      <c r="B4" s="17">
        <v>1</v>
      </c>
      <c r="C4" s="17">
        <v>3</v>
      </c>
      <c r="D4" s="17"/>
      <c r="E4" s="17"/>
      <c r="F4" s="17"/>
      <c r="G4" s="17"/>
      <c r="H4" s="17">
        <v>1</v>
      </c>
      <c r="I4" s="17">
        <v>1</v>
      </c>
      <c r="J4" s="17"/>
      <c r="K4" s="17"/>
      <c r="L4" s="17"/>
      <c r="M4" s="17"/>
      <c r="N4" s="17">
        <v>1</v>
      </c>
      <c r="O4" s="17">
        <f>SUM(B4:N4)</f>
        <v>7</v>
      </c>
    </row>
    <row r="5" spans="1:27">
      <c r="A5" s="16" t="s">
        <v>39</v>
      </c>
      <c r="B5" s="17"/>
      <c r="C5" s="17"/>
      <c r="D5" s="17"/>
      <c r="E5" s="17"/>
      <c r="F5" s="17"/>
      <c r="G5" s="17"/>
      <c r="H5" s="17"/>
      <c r="I5" s="17"/>
      <c r="J5" s="17"/>
      <c r="K5" s="17"/>
      <c r="L5" s="17"/>
      <c r="M5" s="17"/>
      <c r="N5" s="17">
        <v>1</v>
      </c>
      <c r="O5" s="17">
        <f t="shared" ref="O5:O18" si="0">SUM(B5:N5)</f>
        <v>1</v>
      </c>
      <c r="R5" s="38" t="s">
        <v>135</v>
      </c>
      <c r="S5" s="38" t="s">
        <v>102</v>
      </c>
    </row>
    <row r="6" spans="1:27">
      <c r="A6" s="16" t="s">
        <v>40</v>
      </c>
      <c r="B6" s="17"/>
      <c r="C6" s="17"/>
      <c r="D6" s="17"/>
      <c r="E6" s="17"/>
      <c r="F6" s="17">
        <v>1</v>
      </c>
      <c r="G6" s="17">
        <v>1</v>
      </c>
      <c r="H6" s="17"/>
      <c r="I6" s="17">
        <v>9</v>
      </c>
      <c r="J6" s="17">
        <v>1</v>
      </c>
      <c r="K6" s="17"/>
      <c r="L6" s="17"/>
      <c r="M6" s="17"/>
      <c r="N6" s="17">
        <v>4</v>
      </c>
      <c r="O6" s="17">
        <f t="shared" si="0"/>
        <v>16</v>
      </c>
      <c r="R6" s="38" t="s">
        <v>98</v>
      </c>
      <c r="S6" t="s">
        <v>29</v>
      </c>
      <c r="T6" t="s">
        <v>19</v>
      </c>
      <c r="U6" t="s">
        <v>99</v>
      </c>
      <c r="V6" t="s">
        <v>27</v>
      </c>
      <c r="W6" t="s">
        <v>18</v>
      </c>
      <c r="X6" t="s">
        <v>28</v>
      </c>
      <c r="Y6" t="s">
        <v>22</v>
      </c>
      <c r="Z6" t="s">
        <v>26</v>
      </c>
      <c r="AA6" t="s">
        <v>35</v>
      </c>
    </row>
    <row r="7" spans="1:27">
      <c r="A7" s="16" t="s">
        <v>41</v>
      </c>
      <c r="B7" s="17"/>
      <c r="C7" s="17">
        <v>1</v>
      </c>
      <c r="D7" s="17"/>
      <c r="E7" s="17"/>
      <c r="F7" s="17">
        <v>2</v>
      </c>
      <c r="G7" s="17"/>
      <c r="H7" s="17">
        <v>1</v>
      </c>
      <c r="I7" s="17">
        <v>1</v>
      </c>
      <c r="J7" s="17"/>
      <c r="K7" s="17"/>
      <c r="L7" s="17"/>
      <c r="M7" s="17"/>
      <c r="N7" s="17"/>
      <c r="O7" s="17">
        <f t="shared" si="0"/>
        <v>5</v>
      </c>
      <c r="R7" s="27" t="s">
        <v>24</v>
      </c>
      <c r="T7">
        <v>1</v>
      </c>
      <c r="W7">
        <v>2</v>
      </c>
      <c r="X7">
        <v>1</v>
      </c>
      <c r="AA7">
        <v>4</v>
      </c>
    </row>
    <row r="8" spans="1:27">
      <c r="A8" s="16" t="s">
        <v>42</v>
      </c>
      <c r="B8" s="17"/>
      <c r="C8" s="17">
        <v>1</v>
      </c>
      <c r="D8" s="17"/>
      <c r="E8" s="17"/>
      <c r="F8" s="17"/>
      <c r="G8" s="17"/>
      <c r="H8" s="17"/>
      <c r="I8" s="17"/>
      <c r="J8" s="17"/>
      <c r="K8" s="17"/>
      <c r="L8" s="17"/>
      <c r="M8" s="17"/>
      <c r="N8" s="17"/>
      <c r="O8" s="17">
        <f t="shared" si="0"/>
        <v>1</v>
      </c>
      <c r="R8" s="27" t="s">
        <v>45</v>
      </c>
      <c r="T8">
        <v>1</v>
      </c>
      <c r="AA8">
        <v>1</v>
      </c>
    </row>
    <row r="9" spans="1:27">
      <c r="A9" s="16" t="s">
        <v>21</v>
      </c>
      <c r="B9" s="17"/>
      <c r="C9" s="17">
        <v>1</v>
      </c>
      <c r="D9" s="17">
        <v>2</v>
      </c>
      <c r="E9" s="17"/>
      <c r="F9" s="17">
        <v>4</v>
      </c>
      <c r="G9" s="17"/>
      <c r="H9" s="17">
        <v>1</v>
      </c>
      <c r="I9" s="17">
        <v>1</v>
      </c>
      <c r="J9" s="17">
        <v>3</v>
      </c>
      <c r="K9" s="17"/>
      <c r="L9" s="17"/>
      <c r="M9" s="17"/>
      <c r="N9" s="17">
        <v>11</v>
      </c>
      <c r="O9" s="17">
        <f>SUM(B9:N9)</f>
        <v>23</v>
      </c>
      <c r="R9" s="27" t="s">
        <v>46</v>
      </c>
      <c r="S9">
        <v>1</v>
      </c>
      <c r="AA9">
        <v>1</v>
      </c>
    </row>
    <row r="10" spans="1:27">
      <c r="A10" s="16" t="s">
        <v>24</v>
      </c>
      <c r="B10" s="17">
        <v>2</v>
      </c>
      <c r="C10" s="17">
        <v>14</v>
      </c>
      <c r="D10" s="17">
        <v>3</v>
      </c>
      <c r="E10" s="17"/>
      <c r="F10" s="17">
        <v>5</v>
      </c>
      <c r="G10" s="17"/>
      <c r="H10" s="17">
        <v>2</v>
      </c>
      <c r="I10" s="17">
        <v>12</v>
      </c>
      <c r="J10" s="17">
        <v>17</v>
      </c>
      <c r="K10" s="17"/>
      <c r="L10" s="17"/>
      <c r="M10" s="17"/>
      <c r="N10" s="17">
        <v>28</v>
      </c>
      <c r="O10" s="17">
        <f>SUM(B10:N10)</f>
        <v>83</v>
      </c>
      <c r="R10" s="27" t="s">
        <v>99</v>
      </c>
    </row>
    <row r="11" spans="1:27">
      <c r="A11" s="16" t="s">
        <v>43</v>
      </c>
      <c r="B11" s="17">
        <v>5</v>
      </c>
      <c r="C11" s="17">
        <v>4</v>
      </c>
      <c r="D11" s="17">
        <v>1</v>
      </c>
      <c r="E11" s="17"/>
      <c r="F11" s="17">
        <v>7</v>
      </c>
      <c r="G11" s="17"/>
      <c r="H11" s="17">
        <v>1</v>
      </c>
      <c r="I11" s="17">
        <v>15</v>
      </c>
      <c r="J11" s="17">
        <v>13</v>
      </c>
      <c r="K11" s="17"/>
      <c r="L11" s="17"/>
      <c r="M11" s="17"/>
      <c r="N11" s="17">
        <v>15</v>
      </c>
      <c r="O11" s="17">
        <f t="shared" si="0"/>
        <v>61</v>
      </c>
      <c r="R11" s="27" t="s">
        <v>138</v>
      </c>
      <c r="X11">
        <v>1</v>
      </c>
      <c r="AA11">
        <v>1</v>
      </c>
    </row>
    <row r="12" spans="1:27">
      <c r="A12" s="16" t="s">
        <v>44</v>
      </c>
      <c r="B12" s="17"/>
      <c r="C12" s="17">
        <v>1</v>
      </c>
      <c r="D12" s="17">
        <v>1</v>
      </c>
      <c r="E12" s="17"/>
      <c r="F12" s="17">
        <v>3</v>
      </c>
      <c r="G12" s="17"/>
      <c r="H12" s="17"/>
      <c r="I12" s="17">
        <v>2</v>
      </c>
      <c r="J12" s="17">
        <v>3</v>
      </c>
      <c r="K12" s="17"/>
      <c r="L12" s="17"/>
      <c r="M12" s="17"/>
      <c r="N12" s="17">
        <v>5</v>
      </c>
      <c r="O12" s="17">
        <f t="shared" si="0"/>
        <v>15</v>
      </c>
      <c r="R12" s="27" t="s">
        <v>20</v>
      </c>
      <c r="T12">
        <v>1</v>
      </c>
      <c r="V12">
        <v>1</v>
      </c>
      <c r="AA12">
        <v>2</v>
      </c>
    </row>
    <row r="13" spans="1:27">
      <c r="A13" s="16" t="s">
        <v>45</v>
      </c>
      <c r="B13" s="17">
        <v>1</v>
      </c>
      <c r="C13" s="17"/>
      <c r="D13" s="17">
        <v>2</v>
      </c>
      <c r="E13" s="17"/>
      <c r="F13" s="17">
        <v>3</v>
      </c>
      <c r="G13" s="17"/>
      <c r="H13" s="17"/>
      <c r="I13" s="17">
        <v>4</v>
      </c>
      <c r="J13" s="17">
        <v>1</v>
      </c>
      <c r="K13" s="17"/>
      <c r="L13" s="17"/>
      <c r="M13" s="17"/>
      <c r="N13" s="17">
        <v>6</v>
      </c>
      <c r="O13" s="17">
        <f t="shared" si="0"/>
        <v>17</v>
      </c>
      <c r="R13" s="27" t="s">
        <v>139</v>
      </c>
      <c r="V13">
        <v>1</v>
      </c>
      <c r="AA13">
        <v>1</v>
      </c>
    </row>
    <row r="14" spans="1:27">
      <c r="A14" s="16" t="s">
        <v>20</v>
      </c>
      <c r="B14" s="17">
        <v>2</v>
      </c>
      <c r="C14" s="17">
        <v>1</v>
      </c>
      <c r="D14" s="17"/>
      <c r="E14" s="17"/>
      <c r="F14" s="17">
        <v>4</v>
      </c>
      <c r="G14" s="17"/>
      <c r="H14" s="17"/>
      <c r="I14" s="17">
        <v>2</v>
      </c>
      <c r="J14" s="17">
        <v>6</v>
      </c>
      <c r="K14" s="17"/>
      <c r="L14" s="17"/>
      <c r="M14" s="17"/>
      <c r="N14" s="17">
        <v>7</v>
      </c>
      <c r="O14" s="17">
        <f t="shared" si="0"/>
        <v>22</v>
      </c>
      <c r="R14" s="27" t="s">
        <v>25</v>
      </c>
      <c r="T14">
        <v>1</v>
      </c>
      <c r="W14">
        <v>1</v>
      </c>
      <c r="AA14">
        <v>2</v>
      </c>
    </row>
    <row r="15" spans="1:27">
      <c r="A15" s="16" t="s">
        <v>46</v>
      </c>
      <c r="B15" s="17">
        <v>2</v>
      </c>
      <c r="C15" s="17">
        <v>1</v>
      </c>
      <c r="D15" s="17">
        <v>2</v>
      </c>
      <c r="E15" s="17"/>
      <c r="F15" s="17"/>
      <c r="G15" s="17"/>
      <c r="H15" s="17"/>
      <c r="I15" s="17">
        <v>3</v>
      </c>
      <c r="J15" s="17">
        <v>2</v>
      </c>
      <c r="K15" s="17">
        <v>1</v>
      </c>
      <c r="L15" s="17"/>
      <c r="M15" s="17"/>
      <c r="N15" s="17">
        <v>7</v>
      </c>
      <c r="O15" s="17">
        <f t="shared" si="0"/>
        <v>18</v>
      </c>
      <c r="R15" s="27" t="s">
        <v>141</v>
      </c>
      <c r="S15">
        <v>1</v>
      </c>
      <c r="AA15">
        <v>1</v>
      </c>
    </row>
    <row r="16" spans="1:27">
      <c r="A16" s="16" t="s">
        <v>25</v>
      </c>
      <c r="B16" s="17">
        <v>3</v>
      </c>
      <c r="C16" s="17">
        <v>4</v>
      </c>
      <c r="D16" s="17"/>
      <c r="E16" s="17"/>
      <c r="F16" s="17">
        <v>3</v>
      </c>
      <c r="G16" s="17"/>
      <c r="H16" s="17"/>
      <c r="I16" s="17">
        <v>13</v>
      </c>
      <c r="J16" s="17">
        <v>11</v>
      </c>
      <c r="K16" s="17"/>
      <c r="L16" s="17"/>
      <c r="N16" s="17">
        <v>12</v>
      </c>
      <c r="O16" s="17">
        <f t="shared" si="0"/>
        <v>46</v>
      </c>
      <c r="R16" s="27" t="s">
        <v>142</v>
      </c>
      <c r="W16">
        <v>1</v>
      </c>
      <c r="AA16">
        <v>1</v>
      </c>
    </row>
    <row r="17" spans="1:27">
      <c r="A17" s="16" t="s">
        <v>47</v>
      </c>
      <c r="B17" s="17"/>
      <c r="C17" s="17"/>
      <c r="D17" s="17"/>
      <c r="E17" s="17"/>
      <c r="F17" s="17"/>
      <c r="G17" s="17"/>
      <c r="H17" s="17"/>
      <c r="I17" s="17">
        <v>3</v>
      </c>
      <c r="J17" s="17"/>
      <c r="K17" s="17"/>
      <c r="L17" s="17"/>
      <c r="M17" s="17"/>
      <c r="N17" s="17">
        <v>1</v>
      </c>
      <c r="O17" s="17">
        <f t="shared" si="0"/>
        <v>4</v>
      </c>
      <c r="R17" s="27" t="s">
        <v>143</v>
      </c>
      <c r="W17">
        <v>1</v>
      </c>
      <c r="AA17">
        <v>1</v>
      </c>
    </row>
    <row r="18" spans="1:27">
      <c r="A18" s="16" t="s">
        <v>48</v>
      </c>
      <c r="B18" s="17">
        <v>1</v>
      </c>
      <c r="C18" s="17">
        <v>6</v>
      </c>
      <c r="D18" s="17">
        <v>6</v>
      </c>
      <c r="E18" s="17"/>
      <c r="F18" s="17">
        <v>4</v>
      </c>
      <c r="G18" s="17">
        <v>1</v>
      </c>
      <c r="H18" s="17"/>
      <c r="I18" s="17">
        <v>13</v>
      </c>
      <c r="J18" s="17">
        <v>17</v>
      </c>
      <c r="K18" s="17"/>
      <c r="L18" s="17">
        <v>1</v>
      </c>
      <c r="M18" s="17"/>
      <c r="N18" s="17">
        <v>22</v>
      </c>
      <c r="O18" s="17">
        <f t="shared" si="0"/>
        <v>71</v>
      </c>
      <c r="R18" s="27" t="s">
        <v>145</v>
      </c>
      <c r="T18">
        <v>1</v>
      </c>
      <c r="AA18">
        <v>1</v>
      </c>
    </row>
    <row r="19" spans="1:27" ht="15" customHeight="1">
      <c r="A19" s="106" t="s">
        <v>49</v>
      </c>
      <c r="B19" s="106"/>
      <c r="C19" s="106"/>
      <c r="D19" s="106"/>
      <c r="E19" s="106"/>
      <c r="F19" s="106"/>
      <c r="G19" s="106"/>
      <c r="H19" s="106"/>
      <c r="I19" s="106"/>
      <c r="J19" s="106"/>
      <c r="K19" s="106"/>
      <c r="L19" s="106"/>
      <c r="M19" s="106"/>
      <c r="N19" s="106"/>
      <c r="O19" s="95">
        <f>SUM(O3:O18)</f>
        <v>402</v>
      </c>
      <c r="R19" s="27" t="s">
        <v>146</v>
      </c>
      <c r="T19">
        <v>1</v>
      </c>
      <c r="AA19">
        <v>1</v>
      </c>
    </row>
    <row r="20" spans="1:27" ht="15" customHeight="1">
      <c r="A20" s="105" t="s">
        <v>50</v>
      </c>
      <c r="B20" s="105"/>
      <c r="C20" s="105"/>
      <c r="D20" s="105"/>
      <c r="E20" s="105"/>
      <c r="F20" s="105"/>
      <c r="G20" s="105"/>
      <c r="H20" s="105"/>
      <c r="I20" s="105"/>
      <c r="J20" s="105"/>
      <c r="K20" s="105"/>
      <c r="L20" s="105"/>
      <c r="M20" s="105"/>
      <c r="N20" s="105"/>
      <c r="O20" s="105"/>
      <c r="R20" s="27" t="s">
        <v>147</v>
      </c>
      <c r="W20">
        <v>1</v>
      </c>
      <c r="AA20">
        <v>1</v>
      </c>
    </row>
    <row r="21" spans="1:27">
      <c r="A21" s="16" t="s">
        <v>51</v>
      </c>
      <c r="B21" s="17"/>
      <c r="C21" s="17"/>
      <c r="D21" s="17"/>
      <c r="E21" s="17"/>
      <c r="F21" s="17">
        <v>1</v>
      </c>
      <c r="G21" s="17"/>
      <c r="H21" s="17"/>
      <c r="I21" s="17">
        <v>1</v>
      </c>
      <c r="J21" s="17"/>
      <c r="K21" s="17"/>
      <c r="L21" s="17"/>
      <c r="M21" s="17"/>
      <c r="N21" s="17"/>
      <c r="O21" s="17">
        <f>SUM(B21:N21)</f>
        <v>2</v>
      </c>
      <c r="R21" s="27" t="s">
        <v>148</v>
      </c>
      <c r="S21">
        <v>1</v>
      </c>
      <c r="AA21">
        <v>1</v>
      </c>
    </row>
    <row r="22" spans="1:27">
      <c r="A22" s="16" t="s">
        <v>52</v>
      </c>
      <c r="B22" s="17"/>
      <c r="C22" s="17"/>
      <c r="D22" s="17">
        <v>1</v>
      </c>
      <c r="E22" s="17"/>
      <c r="F22" s="17"/>
      <c r="G22" s="17"/>
      <c r="H22" s="17"/>
      <c r="I22" s="17">
        <v>1</v>
      </c>
      <c r="J22" s="17">
        <v>2</v>
      </c>
      <c r="K22" s="17">
        <v>1</v>
      </c>
      <c r="L22" s="17">
        <v>1</v>
      </c>
      <c r="M22" s="17"/>
      <c r="N22" s="17">
        <v>2</v>
      </c>
      <c r="O22" s="17">
        <f t="shared" ref="O22:O31" si="1">SUM(B22:N22)</f>
        <v>8</v>
      </c>
      <c r="R22" s="27" t="s">
        <v>149</v>
      </c>
      <c r="T22">
        <v>1</v>
      </c>
      <c r="AA22">
        <v>1</v>
      </c>
    </row>
    <row r="23" spans="1:27">
      <c r="A23" s="16" t="s">
        <v>53</v>
      </c>
      <c r="B23" s="17"/>
      <c r="C23" s="17"/>
      <c r="D23" s="17"/>
      <c r="E23" s="17"/>
      <c r="F23" s="17"/>
      <c r="G23" s="17"/>
      <c r="H23" s="17"/>
      <c r="I23" s="17">
        <v>2</v>
      </c>
      <c r="J23" s="17">
        <v>1</v>
      </c>
      <c r="K23" s="17"/>
      <c r="L23" s="17"/>
      <c r="M23" s="17"/>
      <c r="N23" s="17">
        <v>3</v>
      </c>
      <c r="O23" s="17">
        <f t="shared" si="1"/>
        <v>6</v>
      </c>
      <c r="R23" s="27" t="s">
        <v>151</v>
      </c>
      <c r="Y23">
        <v>1</v>
      </c>
      <c r="AA23">
        <v>1</v>
      </c>
    </row>
    <row r="24" spans="1:27">
      <c r="A24" s="16" t="s">
        <v>156</v>
      </c>
      <c r="B24" s="17"/>
      <c r="C24" s="17"/>
      <c r="D24" s="17"/>
      <c r="E24" s="17"/>
      <c r="F24" s="17"/>
      <c r="G24" s="17"/>
      <c r="H24" s="17"/>
      <c r="I24" s="17">
        <v>1</v>
      </c>
      <c r="J24" s="17"/>
      <c r="K24" s="17"/>
      <c r="L24" s="17"/>
      <c r="M24" s="17"/>
      <c r="N24" s="17"/>
      <c r="O24" s="17">
        <f t="shared" si="1"/>
        <v>1</v>
      </c>
      <c r="R24" s="27" t="s">
        <v>152</v>
      </c>
      <c r="V24">
        <v>1</v>
      </c>
      <c r="AA24">
        <v>1</v>
      </c>
    </row>
    <row r="25" spans="1:27">
      <c r="A25" s="16" t="s">
        <v>54</v>
      </c>
      <c r="B25" s="17"/>
      <c r="C25" s="17"/>
      <c r="D25" s="17"/>
      <c r="E25" s="17"/>
      <c r="F25" s="17"/>
      <c r="G25" s="17"/>
      <c r="H25" s="17"/>
      <c r="I25" s="17">
        <v>1</v>
      </c>
      <c r="J25" s="17"/>
      <c r="K25" s="17"/>
      <c r="L25" s="17"/>
      <c r="M25" s="17"/>
      <c r="N25" s="17"/>
      <c r="O25" s="17">
        <f t="shared" si="1"/>
        <v>1</v>
      </c>
      <c r="R25" s="27" t="s">
        <v>153</v>
      </c>
      <c r="X25">
        <v>1</v>
      </c>
      <c r="AA25">
        <v>1</v>
      </c>
    </row>
    <row r="26" spans="1:27">
      <c r="A26" s="16" t="s">
        <v>55</v>
      </c>
      <c r="B26" s="17">
        <v>1</v>
      </c>
      <c r="C26" s="17"/>
      <c r="D26" s="17"/>
      <c r="E26" s="17"/>
      <c r="F26" s="17"/>
      <c r="G26" s="17"/>
      <c r="H26" s="17"/>
      <c r="I26" s="17">
        <v>1</v>
      </c>
      <c r="J26" s="17"/>
      <c r="K26" s="17"/>
      <c r="L26" s="17"/>
      <c r="M26" s="17"/>
      <c r="N26" s="17">
        <v>4</v>
      </c>
      <c r="O26" s="17">
        <f t="shared" si="1"/>
        <v>6</v>
      </c>
      <c r="R26" s="27" t="s">
        <v>154</v>
      </c>
      <c r="Z26">
        <v>1</v>
      </c>
      <c r="AA26">
        <v>1</v>
      </c>
    </row>
    <row r="27" spans="1:27">
      <c r="A27" s="16" t="s">
        <v>56</v>
      </c>
      <c r="B27" s="17"/>
      <c r="C27" s="17">
        <v>1</v>
      </c>
      <c r="D27" s="17"/>
      <c r="E27" s="17"/>
      <c r="F27" s="17">
        <v>1</v>
      </c>
      <c r="G27" s="17"/>
      <c r="H27" s="17"/>
      <c r="I27" s="17">
        <v>4</v>
      </c>
      <c r="J27" s="17">
        <v>2</v>
      </c>
      <c r="K27" s="17">
        <v>1</v>
      </c>
      <c r="L27" s="17">
        <v>1</v>
      </c>
      <c r="M27" s="17"/>
      <c r="N27" s="17">
        <v>2</v>
      </c>
      <c r="O27" s="17">
        <f t="shared" si="1"/>
        <v>12</v>
      </c>
      <c r="R27" s="27" t="s">
        <v>35</v>
      </c>
      <c r="S27">
        <v>3</v>
      </c>
      <c r="T27">
        <v>7</v>
      </c>
      <c r="V27">
        <v>3</v>
      </c>
      <c r="W27">
        <v>6</v>
      </c>
      <c r="X27">
        <v>3</v>
      </c>
      <c r="Y27">
        <v>1</v>
      </c>
      <c r="Z27">
        <v>1</v>
      </c>
      <c r="AA27">
        <v>24</v>
      </c>
    </row>
    <row r="28" spans="1:27">
      <c r="A28" s="16" t="s">
        <v>57</v>
      </c>
      <c r="B28" s="17"/>
      <c r="C28" s="17"/>
      <c r="D28" s="17"/>
      <c r="E28" s="17"/>
      <c r="F28" s="17"/>
      <c r="G28" s="17"/>
      <c r="H28" s="17"/>
      <c r="I28" s="17">
        <v>2</v>
      </c>
      <c r="J28" s="17">
        <v>1</v>
      </c>
      <c r="K28" s="17"/>
      <c r="L28" s="17"/>
      <c r="M28" s="17"/>
      <c r="N28" s="17">
        <v>1</v>
      </c>
      <c r="O28" s="17">
        <f t="shared" si="1"/>
        <v>4</v>
      </c>
    </row>
    <row r="29" spans="1:27">
      <c r="A29" s="16" t="s">
        <v>58</v>
      </c>
      <c r="B29" s="17"/>
      <c r="C29" s="17">
        <v>2</v>
      </c>
      <c r="D29" s="17">
        <v>3</v>
      </c>
      <c r="E29" s="17"/>
      <c r="F29" s="17">
        <v>2</v>
      </c>
      <c r="G29" s="17"/>
      <c r="H29" s="17"/>
      <c r="I29" s="17">
        <v>2</v>
      </c>
      <c r="J29" s="17">
        <v>2</v>
      </c>
      <c r="K29" s="17"/>
      <c r="L29" s="17">
        <v>1</v>
      </c>
      <c r="M29" s="17"/>
      <c r="N29" s="17">
        <v>4</v>
      </c>
      <c r="O29" s="17">
        <f t="shared" si="1"/>
        <v>16</v>
      </c>
    </row>
    <row r="30" spans="1:27">
      <c r="A30" s="16" t="s">
        <v>59</v>
      </c>
      <c r="B30" s="17">
        <v>1</v>
      </c>
      <c r="C30" s="17">
        <v>2</v>
      </c>
      <c r="D30" s="17"/>
      <c r="E30" s="17"/>
      <c r="F30" s="17"/>
      <c r="G30" s="17"/>
      <c r="H30" s="17"/>
      <c r="I30" s="17">
        <v>4</v>
      </c>
      <c r="J30" s="17">
        <v>2</v>
      </c>
      <c r="K30" s="17"/>
      <c r="L30" s="17"/>
      <c r="M30" s="17"/>
      <c r="N30" s="17">
        <v>1</v>
      </c>
      <c r="O30" s="17">
        <f t="shared" si="1"/>
        <v>10</v>
      </c>
    </row>
    <row r="31" spans="1:27">
      <c r="A31" s="16" t="s">
        <v>60</v>
      </c>
      <c r="B31" s="17"/>
      <c r="C31" s="17"/>
      <c r="D31" s="17"/>
      <c r="E31" s="17"/>
      <c r="F31" s="17"/>
      <c r="G31" s="17"/>
      <c r="H31" s="17"/>
      <c r="I31" s="17"/>
      <c r="J31" s="17"/>
      <c r="K31" s="17"/>
      <c r="L31" s="17"/>
      <c r="M31" s="17"/>
      <c r="N31" s="17"/>
      <c r="O31" s="17">
        <f t="shared" si="1"/>
        <v>0</v>
      </c>
    </row>
    <row r="32" spans="1:27">
      <c r="A32" s="16" t="s">
        <v>61</v>
      </c>
      <c r="B32" s="17"/>
      <c r="C32" s="17">
        <v>3</v>
      </c>
      <c r="D32" s="17"/>
      <c r="E32" s="17"/>
      <c r="F32" s="17"/>
      <c r="G32" s="17"/>
      <c r="H32" s="17">
        <v>1</v>
      </c>
      <c r="I32" s="17"/>
      <c r="J32" s="17">
        <v>3</v>
      </c>
      <c r="K32" s="17"/>
      <c r="L32" s="17"/>
      <c r="M32" s="17"/>
      <c r="N32" s="17">
        <v>1</v>
      </c>
      <c r="O32" s="17">
        <f>SUM(B32:N32)</f>
        <v>8</v>
      </c>
    </row>
    <row r="33" spans="1:15">
      <c r="A33" s="16" t="s">
        <v>48</v>
      </c>
      <c r="B33" s="17"/>
      <c r="C33" s="17"/>
      <c r="D33" s="17"/>
      <c r="E33" s="17"/>
      <c r="F33" s="17"/>
      <c r="G33" s="17"/>
      <c r="H33" s="17"/>
      <c r="I33" s="17">
        <v>3</v>
      </c>
      <c r="J33" s="17">
        <v>1</v>
      </c>
      <c r="K33" s="17"/>
      <c r="L33" s="17"/>
      <c r="M33" s="17"/>
      <c r="N33" s="17">
        <v>1</v>
      </c>
      <c r="O33" s="17">
        <f>SUM(B33:N33)</f>
        <v>5</v>
      </c>
    </row>
    <row r="34" spans="1:15" ht="15" customHeight="1">
      <c r="A34" s="106" t="s">
        <v>62</v>
      </c>
      <c r="B34" s="106"/>
      <c r="C34" s="106"/>
      <c r="D34" s="106"/>
      <c r="E34" s="106"/>
      <c r="F34" s="106"/>
      <c r="G34" s="106"/>
      <c r="H34" s="106"/>
      <c r="I34" s="106"/>
      <c r="J34" s="106"/>
      <c r="K34" s="106"/>
      <c r="L34" s="106"/>
      <c r="M34" s="106"/>
      <c r="N34" s="106"/>
      <c r="O34" s="96">
        <f>SUM(O21:O33)</f>
        <v>79</v>
      </c>
    </row>
    <row r="39" spans="1:15">
      <c r="A39" s="28"/>
      <c r="B39" s="29"/>
      <c r="C39" s="29"/>
      <c r="D39" s="29"/>
      <c r="E39" s="29"/>
      <c r="F39" s="29"/>
      <c r="G39" s="29"/>
      <c r="H39" s="29"/>
      <c r="I39" s="29"/>
      <c r="J39" s="29"/>
      <c r="K39" s="29"/>
      <c r="L39" s="29"/>
      <c r="M39" s="29"/>
      <c r="N39" s="29"/>
      <c r="O39" s="30"/>
    </row>
  </sheetData>
  <mergeCells count="4">
    <mergeCell ref="A2:O2"/>
    <mergeCell ref="A19:N19"/>
    <mergeCell ref="A20:O20"/>
    <mergeCell ref="A34:N34"/>
  </mergeCells>
  <phoneticPr fontId="23" type="noConversion"/>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370F-B11A-4B20-A5AD-61C4E9B583AE}">
  <dimension ref="A1:R11"/>
  <sheetViews>
    <sheetView zoomScale="74" zoomScaleNormal="55" workbookViewId="0">
      <selection sqref="A1:O2"/>
    </sheetView>
  </sheetViews>
  <sheetFormatPr baseColWidth="10" defaultColWidth="8.83203125" defaultRowHeight="15"/>
  <cols>
    <col min="1" max="1" width="14.1640625" customWidth="1"/>
    <col min="2" max="8" width="12.5" customWidth="1"/>
    <col min="9" max="9" width="13.1640625" customWidth="1"/>
    <col min="10" max="15" width="12.5" customWidth="1"/>
    <col min="17" max="17" width="27" bestFit="1" customWidth="1"/>
    <col min="18" max="18" width="14.5" bestFit="1" customWidth="1"/>
  </cols>
  <sheetData>
    <row r="1" spans="1:18" ht="33" thickBot="1">
      <c r="A1" s="2" t="s">
        <v>175</v>
      </c>
      <c r="B1" s="2" t="s">
        <v>22</v>
      </c>
      <c r="C1" s="2" t="s">
        <v>28</v>
      </c>
      <c r="D1" s="2" t="s">
        <v>29</v>
      </c>
      <c r="E1" s="2" t="s">
        <v>30</v>
      </c>
      <c r="F1" s="2" t="s">
        <v>23</v>
      </c>
      <c r="G1" s="2" t="s">
        <v>31</v>
      </c>
      <c r="H1" s="2" t="s">
        <v>32</v>
      </c>
      <c r="I1" s="2" t="s">
        <v>27</v>
      </c>
      <c r="J1" s="2" t="s">
        <v>18</v>
      </c>
      <c r="K1" s="2" t="s">
        <v>33</v>
      </c>
      <c r="L1" s="2" t="s">
        <v>26</v>
      </c>
      <c r="M1" s="2" t="s">
        <v>34</v>
      </c>
      <c r="N1" s="2" t="s">
        <v>19</v>
      </c>
      <c r="O1" s="3" t="s">
        <v>35</v>
      </c>
    </row>
    <row r="2" spans="1:18" ht="31.5" customHeight="1">
      <c r="A2" s="41" t="s">
        <v>63</v>
      </c>
      <c r="B2" s="17">
        <v>14</v>
      </c>
      <c r="C2" s="17">
        <v>33</v>
      </c>
      <c r="D2" s="17">
        <v>13</v>
      </c>
      <c r="E2" s="17"/>
      <c r="F2" s="17">
        <v>24</v>
      </c>
      <c r="G2" s="17">
        <v>4</v>
      </c>
      <c r="H2" s="17">
        <v>4</v>
      </c>
      <c r="I2" s="17">
        <v>64</v>
      </c>
      <c r="J2" s="17">
        <v>57</v>
      </c>
      <c r="K2" s="17">
        <v>1</v>
      </c>
      <c r="L2" s="17">
        <v>3</v>
      </c>
      <c r="M2" s="17"/>
      <c r="N2" s="17">
        <v>92</v>
      </c>
      <c r="O2" s="17">
        <f>SUM(B2:N2)</f>
        <v>309</v>
      </c>
      <c r="Q2" s="38" t="s">
        <v>98</v>
      </c>
      <c r="R2" t="s">
        <v>104</v>
      </c>
    </row>
    <row r="3" spans="1:18">
      <c r="Q3" s="27" t="s">
        <v>28</v>
      </c>
      <c r="R3">
        <v>3</v>
      </c>
    </row>
    <row r="4" spans="1:18">
      <c r="Q4" s="27" t="s">
        <v>29</v>
      </c>
      <c r="R4">
        <v>3</v>
      </c>
    </row>
    <row r="5" spans="1:18" ht="27.5" customHeight="1">
      <c r="Q5" s="27" t="s">
        <v>27</v>
      </c>
      <c r="R5">
        <v>3</v>
      </c>
    </row>
    <row r="6" spans="1:18">
      <c r="Q6" s="27" t="s">
        <v>18</v>
      </c>
      <c r="R6">
        <v>6</v>
      </c>
    </row>
    <row r="7" spans="1:18">
      <c r="Q7" s="27" t="s">
        <v>19</v>
      </c>
      <c r="R7">
        <v>7</v>
      </c>
    </row>
    <row r="8" spans="1:18">
      <c r="Q8" s="27" t="s">
        <v>99</v>
      </c>
    </row>
    <row r="9" spans="1:18">
      <c r="Q9" s="27" t="s">
        <v>22</v>
      </c>
      <c r="R9">
        <v>1</v>
      </c>
    </row>
    <row r="10" spans="1:18">
      <c r="Q10" s="27" t="s">
        <v>26</v>
      </c>
      <c r="R10">
        <v>1</v>
      </c>
    </row>
    <row r="11" spans="1:18">
      <c r="Q11" s="27" t="s">
        <v>35</v>
      </c>
      <c r="R11">
        <v>24</v>
      </c>
    </row>
  </sheetData>
  <phoneticPr fontId="2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7354-9CCA-491E-952E-F4217CCD2C87}">
  <dimension ref="A1:L16"/>
  <sheetViews>
    <sheetView zoomScale="120" zoomScaleNormal="130" workbookViewId="0">
      <selection activeCell="A4" sqref="A4"/>
    </sheetView>
  </sheetViews>
  <sheetFormatPr baseColWidth="10" defaultColWidth="8.83203125" defaultRowHeight="15"/>
  <cols>
    <col min="1" max="6" width="8.83203125" customWidth="1"/>
    <col min="8" max="8" width="22.6640625" bestFit="1" customWidth="1"/>
    <col min="9" max="9" width="16.33203125" bestFit="1" customWidth="1"/>
  </cols>
  <sheetData>
    <row r="1" spans="1:12" ht="29.25" customHeight="1" thickBot="1">
      <c r="A1" s="107" t="s">
        <v>173</v>
      </c>
      <c r="B1" s="107"/>
      <c r="C1" s="107" t="s">
        <v>174</v>
      </c>
      <c r="D1" s="107"/>
      <c r="E1" s="107" t="s">
        <v>114</v>
      </c>
      <c r="F1" s="107"/>
      <c r="H1" s="38" t="s">
        <v>98</v>
      </c>
      <c r="I1" t="s">
        <v>103</v>
      </c>
    </row>
    <row r="2" spans="1:12" ht="33" thickBot="1">
      <c r="A2" s="1" t="s">
        <v>64</v>
      </c>
      <c r="B2" s="9" t="s">
        <v>35</v>
      </c>
      <c r="C2" s="33" t="s">
        <v>64</v>
      </c>
      <c r="D2" s="34" t="s">
        <v>35</v>
      </c>
      <c r="E2" s="77" t="s">
        <v>64</v>
      </c>
      <c r="F2" s="78" t="s">
        <v>35</v>
      </c>
      <c r="H2" s="27" t="s">
        <v>101</v>
      </c>
      <c r="I2">
        <v>11</v>
      </c>
    </row>
    <row r="3" spans="1:12">
      <c r="A3" s="21">
        <v>122</v>
      </c>
      <c r="B3" s="21">
        <f>'3.Deals_total'!O2</f>
        <v>309</v>
      </c>
      <c r="C3" s="21">
        <v>30</v>
      </c>
      <c r="D3" s="21">
        <v>113</v>
      </c>
      <c r="E3" s="21">
        <v>197</v>
      </c>
      <c r="F3" s="21">
        <v>549</v>
      </c>
      <c r="H3" s="27" t="s">
        <v>99</v>
      </c>
      <c r="K3" t="s">
        <v>136</v>
      </c>
      <c r="L3">
        <v>12</v>
      </c>
    </row>
    <row r="4" spans="1:12">
      <c r="A4" s="39">
        <f>A3/B3</f>
        <v>0.39482200647249188</v>
      </c>
      <c r="B4" s="39">
        <v>1</v>
      </c>
      <c r="C4" s="39">
        <f>C3/D3</f>
        <v>0.26548672566371684</v>
      </c>
      <c r="D4" s="39">
        <v>1</v>
      </c>
      <c r="E4" s="39">
        <f>E3/F3</f>
        <v>0.35883424408014569</v>
      </c>
      <c r="F4" s="39">
        <v>1</v>
      </c>
      <c r="H4" s="27" t="s">
        <v>140</v>
      </c>
      <c r="I4">
        <v>1</v>
      </c>
      <c r="K4" t="s">
        <v>137</v>
      </c>
      <c r="L4">
        <v>11</v>
      </c>
    </row>
    <row r="5" spans="1:12">
      <c r="A5" s="23"/>
      <c r="B5" s="23"/>
      <c r="C5" s="23"/>
      <c r="D5" s="23"/>
      <c r="E5" s="23"/>
      <c r="F5" s="23"/>
      <c r="H5" s="27" t="s">
        <v>163</v>
      </c>
      <c r="I5">
        <v>1</v>
      </c>
    </row>
    <row r="6" spans="1:12">
      <c r="A6" s="63"/>
      <c r="H6" s="27" t="s">
        <v>164</v>
      </c>
      <c r="I6">
        <v>1</v>
      </c>
    </row>
    <row r="7" spans="1:12">
      <c r="H7" s="27" t="s">
        <v>162</v>
      </c>
      <c r="I7">
        <v>1</v>
      </c>
    </row>
    <row r="8" spans="1:12" ht="15" customHeight="1">
      <c r="H8" s="27" t="s">
        <v>172</v>
      </c>
      <c r="I8">
        <v>1</v>
      </c>
    </row>
    <row r="9" spans="1:12">
      <c r="H9" s="27" t="s">
        <v>165</v>
      </c>
      <c r="I9">
        <v>1</v>
      </c>
    </row>
    <row r="10" spans="1:12">
      <c r="H10" s="27" t="s">
        <v>166</v>
      </c>
      <c r="I10">
        <v>1</v>
      </c>
    </row>
    <row r="11" spans="1:12">
      <c r="H11" s="27" t="s">
        <v>167</v>
      </c>
      <c r="I11">
        <v>2</v>
      </c>
    </row>
    <row r="12" spans="1:12">
      <c r="H12" s="27" t="s">
        <v>168</v>
      </c>
      <c r="I12">
        <v>1</v>
      </c>
    </row>
    <row r="13" spans="1:12">
      <c r="H13" s="27" t="s">
        <v>169</v>
      </c>
      <c r="I13">
        <v>1</v>
      </c>
    </row>
    <row r="14" spans="1:12">
      <c r="H14" s="27" t="s">
        <v>170</v>
      </c>
      <c r="I14">
        <v>1</v>
      </c>
    </row>
    <row r="15" spans="1:12">
      <c r="H15" s="27" t="s">
        <v>171</v>
      </c>
      <c r="I15">
        <v>1</v>
      </c>
    </row>
    <row r="16" spans="1:12">
      <c r="H16" s="27" t="s">
        <v>35</v>
      </c>
      <c r="I16">
        <v>24</v>
      </c>
    </row>
  </sheetData>
  <mergeCells count="3">
    <mergeCell ref="A1:B1"/>
    <mergeCell ref="C1:D1"/>
    <mergeCell ref="E1:F1"/>
  </mergeCells>
  <phoneticPr fontId="8" type="noConversion"/>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EEE1-86E1-4922-B4C6-4FAF78A179EC}">
  <dimension ref="A1:D3"/>
  <sheetViews>
    <sheetView zoomScale="175" zoomScaleNormal="175" workbookViewId="0">
      <selection activeCell="C3" sqref="C3"/>
    </sheetView>
  </sheetViews>
  <sheetFormatPr baseColWidth="10" defaultColWidth="8.83203125" defaultRowHeight="15"/>
  <cols>
    <col min="1" max="1" width="16.83203125" bestFit="1" customWidth="1"/>
  </cols>
  <sheetData>
    <row r="1" spans="1:4" ht="49" thickBot="1">
      <c r="A1" s="10"/>
      <c r="B1" s="1" t="s">
        <v>65</v>
      </c>
      <c r="C1" s="1" t="s">
        <v>66</v>
      </c>
      <c r="D1" s="1" t="s">
        <v>67</v>
      </c>
    </row>
    <row r="2" spans="1:4" ht="16" thickBot="1">
      <c r="A2" s="4" t="s">
        <v>68</v>
      </c>
      <c r="B2" s="72">
        <v>0</v>
      </c>
      <c r="C2" s="21">
        <v>309</v>
      </c>
      <c r="D2" s="21">
        <f>'3.Deals_total'!O2</f>
        <v>309</v>
      </c>
    </row>
    <row r="3" spans="1:4" ht="16" thickBot="1">
      <c r="A3" s="4" t="s">
        <v>69</v>
      </c>
      <c r="B3" s="73">
        <f>B2/D2</f>
        <v>0</v>
      </c>
      <c r="C3" s="73">
        <f>C2/D2</f>
        <v>1</v>
      </c>
      <c r="D3" s="73">
        <f>B3+C3</f>
        <v>1</v>
      </c>
    </row>
  </sheetData>
  <phoneticPr fontId="23"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C172-C8A1-4815-9F67-DFC7C59B1240}">
  <dimension ref="A1:B14"/>
  <sheetViews>
    <sheetView workbookViewId="0">
      <selection activeCell="E13" sqref="E13"/>
    </sheetView>
  </sheetViews>
  <sheetFormatPr baseColWidth="10" defaultColWidth="8.83203125" defaultRowHeight="15"/>
  <cols>
    <col min="1" max="1" width="27" bestFit="1" customWidth="1"/>
    <col min="2" max="2" width="19.5" customWidth="1"/>
  </cols>
  <sheetData>
    <row r="1" spans="1:2" ht="16" thickBot="1">
      <c r="A1" s="5" t="s">
        <v>3</v>
      </c>
      <c r="B1" s="6" t="s">
        <v>70</v>
      </c>
    </row>
    <row r="2" spans="1:2" ht="17" thickBot="1">
      <c r="A2" s="7" t="s">
        <v>18</v>
      </c>
      <c r="B2" s="8"/>
    </row>
    <row r="3" spans="1:2" ht="17" thickBot="1">
      <c r="A3" s="7" t="s">
        <v>71</v>
      </c>
      <c r="B3" s="8"/>
    </row>
    <row r="4" spans="1:2" ht="17" thickBot="1">
      <c r="A4" s="7" t="s">
        <v>29</v>
      </c>
      <c r="B4" s="8"/>
    </row>
    <row r="5" spans="1:2" ht="17" thickBot="1">
      <c r="A5" s="7" t="s">
        <v>33</v>
      </c>
      <c r="B5" s="8"/>
    </row>
    <row r="6" spans="1:2" ht="17" thickBot="1">
      <c r="A6" s="7" t="s">
        <v>26</v>
      </c>
      <c r="B6" s="8"/>
    </row>
    <row r="7" spans="1:2" ht="17" thickBot="1">
      <c r="A7" s="7" t="s">
        <v>23</v>
      </c>
      <c r="B7" s="8"/>
    </row>
    <row r="8" spans="1:2" ht="32" customHeight="1" thickBot="1">
      <c r="A8" s="7" t="s">
        <v>27</v>
      </c>
      <c r="B8" s="8"/>
    </row>
    <row r="9" spans="1:2" ht="17" thickBot="1">
      <c r="A9" s="7" t="s">
        <v>22</v>
      </c>
      <c r="B9" s="8"/>
    </row>
    <row r="10" spans="1:2" ht="17" thickBot="1">
      <c r="A10" s="7" t="s">
        <v>30</v>
      </c>
      <c r="B10" s="8"/>
    </row>
    <row r="11" spans="1:2" ht="17" thickBot="1">
      <c r="A11" s="7" t="s">
        <v>31</v>
      </c>
      <c r="B11" s="8"/>
    </row>
    <row r="12" spans="1:2" ht="17" thickBot="1">
      <c r="A12" s="7" t="s">
        <v>32</v>
      </c>
      <c r="B12" s="8"/>
    </row>
    <row r="13" spans="1:2" ht="17" thickBot="1">
      <c r="A13" s="7" t="s">
        <v>34</v>
      </c>
      <c r="B13" s="8"/>
    </row>
    <row r="14" spans="1:2" ht="17" thickBot="1">
      <c r="A14" s="7" t="s">
        <v>19</v>
      </c>
      <c r="B14" s="8"/>
    </row>
  </sheetData>
  <phoneticPr fontId="2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A9E7-1022-4881-B1AD-9BFB3C5E5083}">
  <sheetPr>
    <tabColor rgb="FFFFC000"/>
  </sheetPr>
  <dimension ref="A1:H26"/>
  <sheetViews>
    <sheetView zoomScaleNormal="130" workbookViewId="0">
      <pane xSplit="2" ySplit="2" topLeftCell="C3" activePane="bottomRight" state="frozen"/>
      <selection pane="topRight" activeCell="C1" sqref="C1"/>
      <selection pane="bottomLeft" activeCell="A3" sqref="A3"/>
      <selection pane="bottomRight" sqref="A1:H12"/>
    </sheetView>
  </sheetViews>
  <sheetFormatPr baseColWidth="10" defaultColWidth="8.83203125" defaultRowHeight="15"/>
  <cols>
    <col min="1" max="1" width="4.1640625" bestFit="1" customWidth="1"/>
    <col min="2" max="2" width="23.5" customWidth="1"/>
    <col min="3" max="3" width="19.83203125" bestFit="1" customWidth="1"/>
    <col min="4" max="4" width="16.1640625" bestFit="1" customWidth="1"/>
    <col min="5" max="5" width="13.83203125" bestFit="1" customWidth="1"/>
    <col min="6" max="6" width="12.83203125" bestFit="1" customWidth="1"/>
    <col min="7" max="7" width="27.83203125" bestFit="1" customWidth="1"/>
    <col min="8" max="8" width="13.83203125" bestFit="1" customWidth="1"/>
    <col min="9" max="9" width="21.5" bestFit="1" customWidth="1"/>
    <col min="10" max="10" width="16.1640625" bestFit="1" customWidth="1"/>
    <col min="11" max="11" width="10.83203125" bestFit="1" customWidth="1"/>
  </cols>
  <sheetData>
    <row r="1" spans="1:8" ht="30" customHeight="1" thickBot="1">
      <c r="A1" s="113"/>
      <c r="B1" s="113"/>
      <c r="C1" s="111" t="s">
        <v>72</v>
      </c>
      <c r="D1" s="11" t="s">
        <v>73</v>
      </c>
      <c r="E1" s="12" t="s">
        <v>74</v>
      </c>
      <c r="F1" s="13" t="s">
        <v>75</v>
      </c>
      <c r="G1" s="13" t="s">
        <v>75</v>
      </c>
      <c r="H1" s="14" t="s">
        <v>74</v>
      </c>
    </row>
    <row r="2" spans="1:8" ht="43.5" customHeight="1" thickBot="1">
      <c r="A2" s="113"/>
      <c r="B2" s="113"/>
      <c r="C2" s="112"/>
      <c r="D2" s="11" t="s">
        <v>76</v>
      </c>
      <c r="E2" s="12" t="s">
        <v>77</v>
      </c>
      <c r="F2" s="13" t="s">
        <v>76</v>
      </c>
      <c r="G2" s="13" t="s">
        <v>78</v>
      </c>
      <c r="H2" s="14" t="s">
        <v>77</v>
      </c>
    </row>
    <row r="3" spans="1:8" ht="16" thickBot="1">
      <c r="A3" s="114" t="s">
        <v>79</v>
      </c>
      <c r="B3" s="15" t="s">
        <v>106</v>
      </c>
      <c r="C3" s="18">
        <v>119</v>
      </c>
      <c r="D3" s="18">
        <v>118</v>
      </c>
      <c r="E3" s="19">
        <f>D3/C3</f>
        <v>0.99159663865546221</v>
      </c>
      <c r="F3" s="18">
        <v>159</v>
      </c>
      <c r="G3" s="18">
        <v>25</v>
      </c>
      <c r="H3" s="19">
        <f>159/(159+25)</f>
        <v>0.86413043478260865</v>
      </c>
    </row>
    <row r="4" spans="1:8" ht="16" thickBot="1">
      <c r="A4" s="114"/>
      <c r="B4" s="15" t="s">
        <v>105</v>
      </c>
      <c r="C4" s="60">
        <v>36</v>
      </c>
      <c r="D4" s="60">
        <v>35</v>
      </c>
      <c r="E4" s="19">
        <f t="shared" ref="E4:E7" si="0">D4/C4</f>
        <v>0.97222222222222221</v>
      </c>
      <c r="F4" s="60">
        <v>52</v>
      </c>
      <c r="G4" s="60">
        <v>13</v>
      </c>
      <c r="H4" s="19">
        <f t="shared" ref="H4:H12" si="1">F4/(F4+G4)</f>
        <v>0.8</v>
      </c>
    </row>
    <row r="5" spans="1:8" ht="16" thickBot="1">
      <c r="A5" s="114" t="s">
        <v>107</v>
      </c>
      <c r="B5" s="15" t="s">
        <v>109</v>
      </c>
      <c r="C5" s="18">
        <v>44</v>
      </c>
      <c r="D5" s="18">
        <v>43</v>
      </c>
      <c r="E5" s="19">
        <f t="shared" si="0"/>
        <v>0.97727272727272729</v>
      </c>
      <c r="F5" s="18">
        <f>208-159</f>
        <v>49</v>
      </c>
      <c r="G5" s="18">
        <v>10</v>
      </c>
      <c r="H5" s="19">
        <f t="shared" si="1"/>
        <v>0.83050847457627119</v>
      </c>
    </row>
    <row r="6" spans="1:8" ht="16" thickBot="1">
      <c r="A6" s="114"/>
      <c r="B6" s="15" t="s">
        <v>110</v>
      </c>
      <c r="C6" s="18">
        <v>18</v>
      </c>
      <c r="D6" s="18">
        <v>18</v>
      </c>
      <c r="E6" s="19">
        <f t="shared" si="0"/>
        <v>1</v>
      </c>
      <c r="F6" s="18">
        <v>27</v>
      </c>
      <c r="G6" s="18">
        <v>9</v>
      </c>
      <c r="H6" s="19">
        <f t="shared" si="1"/>
        <v>0.75</v>
      </c>
    </row>
    <row r="7" spans="1:8" ht="16" thickBot="1">
      <c r="A7" s="116" t="s">
        <v>113</v>
      </c>
      <c r="B7" s="74" t="s">
        <v>117</v>
      </c>
      <c r="C7" s="18">
        <v>75</v>
      </c>
      <c r="D7" s="18">
        <v>74</v>
      </c>
      <c r="E7" s="19">
        <f t="shared" si="0"/>
        <v>0.98666666666666669</v>
      </c>
      <c r="F7" s="18">
        <v>85</v>
      </c>
      <c r="G7" s="18">
        <v>22</v>
      </c>
      <c r="H7" s="19">
        <f t="shared" si="1"/>
        <v>0.79439252336448596</v>
      </c>
    </row>
    <row r="8" spans="1:8" ht="16" thickBot="1">
      <c r="A8" s="117"/>
      <c r="B8" s="74" t="s">
        <v>118</v>
      </c>
      <c r="C8" s="18">
        <v>16</v>
      </c>
      <c r="D8" s="18">
        <v>16</v>
      </c>
      <c r="E8" s="19">
        <f>D8/C8</f>
        <v>1</v>
      </c>
      <c r="F8" s="18">
        <v>33</v>
      </c>
      <c r="G8" s="18">
        <v>5</v>
      </c>
      <c r="H8" s="19">
        <f t="shared" si="1"/>
        <v>0.86842105263157898</v>
      </c>
    </row>
    <row r="9" spans="1:8" ht="16" thickBot="1">
      <c r="A9" s="115" t="s">
        <v>123</v>
      </c>
      <c r="B9" s="74" t="s">
        <v>157</v>
      </c>
      <c r="C9" s="18">
        <v>80</v>
      </c>
      <c r="D9" s="18">
        <v>78</v>
      </c>
      <c r="E9" s="19">
        <f>D9/C9</f>
        <v>0.97499999999999998</v>
      </c>
      <c r="F9" s="18">
        <v>112</v>
      </c>
      <c r="G9" s="18">
        <v>22</v>
      </c>
      <c r="H9" s="19">
        <f t="shared" si="1"/>
        <v>0.83582089552238803</v>
      </c>
    </row>
    <row r="10" spans="1:8" ht="16" thickBot="1">
      <c r="A10" s="115"/>
      <c r="B10" s="74" t="s">
        <v>158</v>
      </c>
      <c r="C10" s="18">
        <v>43</v>
      </c>
      <c r="D10" s="18">
        <v>41</v>
      </c>
      <c r="E10" s="19">
        <f t="shared" ref="E10" si="2">D10/C10</f>
        <v>0.95348837209302328</v>
      </c>
      <c r="F10" s="18">
        <v>66</v>
      </c>
      <c r="G10" s="18">
        <v>14</v>
      </c>
      <c r="H10" s="19">
        <f t="shared" si="1"/>
        <v>0.82499999999999996</v>
      </c>
    </row>
    <row r="11" spans="1:8" ht="16" thickBot="1">
      <c r="A11" s="114" t="s">
        <v>159</v>
      </c>
      <c r="B11" s="15" t="s">
        <v>161</v>
      </c>
      <c r="C11" s="18">
        <v>0</v>
      </c>
      <c r="D11" s="18">
        <v>0</v>
      </c>
      <c r="E11" s="18">
        <v>0</v>
      </c>
      <c r="F11" s="18">
        <v>0</v>
      </c>
      <c r="G11" s="18">
        <v>0</v>
      </c>
      <c r="H11" s="19">
        <v>0</v>
      </c>
    </row>
    <row r="12" spans="1:8" ht="16" thickBot="1">
      <c r="A12" s="114"/>
      <c r="B12" s="15" t="s">
        <v>160</v>
      </c>
      <c r="C12" s="18">
        <v>1</v>
      </c>
      <c r="D12" s="18">
        <v>1</v>
      </c>
      <c r="E12" s="19">
        <f>D12/C12</f>
        <v>1</v>
      </c>
      <c r="F12" s="18">
        <v>1</v>
      </c>
      <c r="G12" s="18">
        <v>0</v>
      </c>
      <c r="H12" s="19">
        <f t="shared" si="1"/>
        <v>1</v>
      </c>
    </row>
    <row r="13" spans="1:8" ht="16" thickBot="1">
      <c r="A13" s="114"/>
      <c r="B13" s="15"/>
      <c r="C13" s="18"/>
      <c r="D13" s="18"/>
      <c r="E13" s="19"/>
      <c r="F13" s="18"/>
      <c r="G13" s="18"/>
      <c r="H13" s="19"/>
    </row>
    <row r="14" spans="1:8" ht="16" thickBot="1">
      <c r="A14" s="114"/>
      <c r="B14" s="15"/>
      <c r="C14" s="25"/>
      <c r="D14" s="25"/>
      <c r="E14" s="26"/>
      <c r="F14" s="25"/>
      <c r="G14" s="25"/>
      <c r="H14" s="19"/>
    </row>
    <row r="15" spans="1:8" ht="16" thickBot="1">
      <c r="A15" s="108"/>
      <c r="B15" s="24"/>
      <c r="C15" s="18"/>
      <c r="D15" s="18"/>
      <c r="E15" s="19"/>
      <c r="F15" s="18"/>
      <c r="G15" s="18"/>
      <c r="H15" s="19"/>
    </row>
    <row r="16" spans="1:8" ht="16" thickBot="1">
      <c r="A16" s="110"/>
      <c r="B16" s="15"/>
      <c r="C16" s="18"/>
      <c r="D16" s="18"/>
      <c r="E16" s="19"/>
      <c r="F16" s="18"/>
      <c r="G16" s="18"/>
      <c r="H16" s="19"/>
    </row>
    <row r="17" spans="1:8" ht="16" thickBot="1">
      <c r="A17" s="108"/>
      <c r="B17" s="15"/>
      <c r="C17" s="31"/>
      <c r="D17" s="31"/>
      <c r="E17" s="32"/>
      <c r="F17" s="31"/>
      <c r="G17" s="31"/>
      <c r="H17" s="19"/>
    </row>
    <row r="18" spans="1:8" ht="16" thickBot="1">
      <c r="A18" s="109"/>
      <c r="B18" s="24"/>
      <c r="C18" s="18"/>
      <c r="D18" s="18"/>
      <c r="E18" s="32"/>
      <c r="F18" s="18"/>
      <c r="G18" s="18"/>
      <c r="H18" s="19"/>
    </row>
    <row r="19" spans="1:8" ht="16" thickBot="1">
      <c r="A19" s="108"/>
      <c r="B19" s="15"/>
      <c r="C19" s="31"/>
      <c r="D19" s="31"/>
      <c r="E19" s="32"/>
      <c r="F19" s="31"/>
      <c r="G19" s="31"/>
      <c r="H19" s="19"/>
    </row>
    <row r="20" spans="1:8" ht="16" thickBot="1">
      <c r="A20" s="109"/>
      <c r="B20" s="15"/>
      <c r="C20" s="18"/>
      <c r="D20" s="18"/>
      <c r="E20" s="32"/>
      <c r="F20" s="18"/>
      <c r="G20" s="18"/>
      <c r="H20" s="19"/>
    </row>
    <row r="21" spans="1:8" ht="16" thickBot="1">
      <c r="A21" s="108"/>
      <c r="B21" s="15"/>
      <c r="C21" s="31"/>
      <c r="D21" s="31"/>
      <c r="E21" s="32"/>
      <c r="F21" s="31"/>
      <c r="G21" s="31"/>
      <c r="H21" s="19"/>
    </row>
    <row r="22" spans="1:8" ht="16" thickBot="1">
      <c r="A22" s="109"/>
      <c r="B22" s="15"/>
      <c r="C22" s="8"/>
      <c r="D22" s="31"/>
      <c r="E22" s="40"/>
      <c r="F22" s="31"/>
      <c r="G22" s="8"/>
      <c r="H22" s="19"/>
    </row>
    <row r="23" spans="1:8" ht="16" thickBot="1">
      <c r="A23" s="108"/>
      <c r="B23" s="15"/>
      <c r="C23" s="31"/>
      <c r="D23" s="31"/>
      <c r="E23" s="32"/>
      <c r="F23" s="31"/>
      <c r="G23" s="31"/>
      <c r="H23" s="19"/>
    </row>
    <row r="24" spans="1:8" ht="16" thickBot="1">
      <c r="A24" s="109"/>
      <c r="B24" s="15"/>
      <c r="C24" s="8"/>
      <c r="D24" s="31"/>
      <c r="E24" s="40"/>
      <c r="F24" s="31"/>
      <c r="G24" s="8"/>
      <c r="H24" s="19"/>
    </row>
    <row r="25" spans="1:8" ht="16" thickBot="1">
      <c r="A25" s="108"/>
      <c r="B25" s="15"/>
      <c r="C25" s="31"/>
      <c r="D25" s="31"/>
      <c r="E25" s="32"/>
      <c r="F25" s="31"/>
      <c r="G25" s="31"/>
      <c r="H25" s="19"/>
    </row>
    <row r="26" spans="1:8" ht="16" thickBot="1">
      <c r="A26" s="109"/>
      <c r="B26" s="15"/>
      <c r="C26" s="8"/>
      <c r="D26" s="31"/>
      <c r="E26" s="40"/>
      <c r="F26" s="31"/>
      <c r="G26" s="8"/>
      <c r="H26" s="19"/>
    </row>
  </sheetData>
  <mergeCells count="14">
    <mergeCell ref="A15:A16"/>
    <mergeCell ref="C1:C2"/>
    <mergeCell ref="A1:B2"/>
    <mergeCell ref="A3:A4"/>
    <mergeCell ref="A13:A14"/>
    <mergeCell ref="A11:A12"/>
    <mergeCell ref="A9:A10"/>
    <mergeCell ref="A7:A8"/>
    <mergeCell ref="A5:A6"/>
    <mergeCell ref="A23:A24"/>
    <mergeCell ref="A25:A26"/>
    <mergeCell ref="A21:A22"/>
    <mergeCell ref="A19:A20"/>
    <mergeCell ref="A17:A18"/>
  </mergeCells>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7C64-E03D-4EED-9950-4D517FADDC86}">
  <dimension ref="A1:E29"/>
  <sheetViews>
    <sheetView topLeftCell="A2" zoomScale="99" zoomScaleNormal="100" workbookViewId="0">
      <selection activeCell="C32" sqref="C32:D33"/>
    </sheetView>
  </sheetViews>
  <sheetFormatPr baseColWidth="10" defaultColWidth="8.83203125" defaultRowHeight="15"/>
  <cols>
    <col min="1" max="1" width="33.1640625" customWidth="1"/>
    <col min="2" max="2" width="36.5" customWidth="1"/>
    <col min="4" max="4" width="20.5" bestFit="1" customWidth="1"/>
    <col min="5" max="5" width="15" bestFit="1" customWidth="1"/>
    <col min="6" max="9" width="2.1640625" bestFit="1" customWidth="1"/>
    <col min="10" max="10" width="3.1640625" bestFit="1" customWidth="1"/>
    <col min="11" max="11" width="10.83203125" bestFit="1" customWidth="1"/>
    <col min="12" max="12" width="4.83203125" bestFit="1" customWidth="1"/>
    <col min="13" max="13" width="10.1640625" bestFit="1" customWidth="1"/>
    <col min="14" max="14" width="10" bestFit="1" customWidth="1"/>
    <col min="15" max="15" width="27.1640625" bestFit="1" customWidth="1"/>
    <col min="16" max="16" width="10.83203125" bestFit="1" customWidth="1"/>
  </cols>
  <sheetData>
    <row r="1" spans="1:5" ht="33" customHeight="1" thickBot="1">
      <c r="A1" s="35" t="s">
        <v>81</v>
      </c>
      <c r="B1" s="36" t="s">
        <v>112</v>
      </c>
    </row>
    <row r="2" spans="1:5" ht="18" thickBot="1">
      <c r="A2" s="37" t="s">
        <v>86</v>
      </c>
      <c r="B2" s="31">
        <v>17</v>
      </c>
    </row>
    <row r="3" spans="1:5" ht="18" thickBot="1">
      <c r="A3" s="37" t="s">
        <v>91</v>
      </c>
      <c r="B3" s="31"/>
      <c r="D3" s="38" t="s">
        <v>98</v>
      </c>
      <c r="E3" t="s">
        <v>100</v>
      </c>
    </row>
    <row r="4" spans="1:5" ht="18" thickBot="1">
      <c r="A4" s="37" t="s">
        <v>94</v>
      </c>
      <c r="B4" s="31">
        <v>7</v>
      </c>
      <c r="D4" s="27" t="s">
        <v>94</v>
      </c>
      <c r="E4">
        <v>1</v>
      </c>
    </row>
    <row r="5" spans="1:5" ht="18" thickBot="1">
      <c r="A5" s="37" t="s">
        <v>92</v>
      </c>
      <c r="B5" s="31"/>
      <c r="D5" s="27" t="s">
        <v>85</v>
      </c>
      <c r="E5">
        <v>2</v>
      </c>
    </row>
    <row r="6" spans="1:5" ht="18" thickBot="1">
      <c r="A6" s="37" t="s">
        <v>85</v>
      </c>
      <c r="B6" s="31">
        <v>30</v>
      </c>
      <c r="D6" s="27" t="s">
        <v>82</v>
      </c>
      <c r="E6">
        <v>13</v>
      </c>
    </row>
    <row r="7" spans="1:5" ht="18" thickBot="1">
      <c r="A7" s="37" t="s">
        <v>93</v>
      </c>
      <c r="B7" s="75"/>
      <c r="D7" s="27" t="s">
        <v>83</v>
      </c>
      <c r="E7">
        <v>2</v>
      </c>
    </row>
    <row r="8" spans="1:5" ht="18" thickBot="1">
      <c r="A8" s="37" t="s">
        <v>82</v>
      </c>
      <c r="B8" s="31">
        <v>73</v>
      </c>
      <c r="D8" s="27" t="s">
        <v>84</v>
      </c>
      <c r="E8">
        <v>1</v>
      </c>
    </row>
    <row r="9" spans="1:5" ht="18" thickBot="1">
      <c r="A9" s="37" t="s">
        <v>95</v>
      </c>
      <c r="B9" s="31">
        <v>4</v>
      </c>
      <c r="D9" s="27" t="s">
        <v>144</v>
      </c>
      <c r="E9">
        <v>1</v>
      </c>
    </row>
    <row r="10" spans="1:5" ht="18" thickBot="1">
      <c r="A10" s="37" t="s">
        <v>87</v>
      </c>
      <c r="B10" s="31">
        <v>1</v>
      </c>
      <c r="D10" s="27" t="s">
        <v>99</v>
      </c>
    </row>
    <row r="11" spans="1:5" ht="18" thickBot="1">
      <c r="A11" s="37" t="s">
        <v>97</v>
      </c>
      <c r="B11" s="31">
        <v>1</v>
      </c>
      <c r="D11" s="27" t="s">
        <v>87</v>
      </c>
      <c r="E11">
        <v>1</v>
      </c>
    </row>
    <row r="12" spans="1:5" ht="18" thickBot="1">
      <c r="A12" s="37" t="s">
        <v>83</v>
      </c>
      <c r="B12" s="31">
        <v>40</v>
      </c>
      <c r="D12" s="27" t="s">
        <v>86</v>
      </c>
      <c r="E12">
        <v>1</v>
      </c>
    </row>
    <row r="13" spans="1:5" ht="18" thickBot="1">
      <c r="A13" s="37" t="s">
        <v>89</v>
      </c>
      <c r="B13" s="31"/>
      <c r="D13" s="27" t="s">
        <v>155</v>
      </c>
      <c r="E13">
        <v>1</v>
      </c>
    </row>
    <row r="14" spans="1:5" ht="18" thickBot="1">
      <c r="A14" s="37" t="s">
        <v>84</v>
      </c>
      <c r="B14" s="76">
        <v>20</v>
      </c>
      <c r="D14" s="27" t="s">
        <v>150</v>
      </c>
      <c r="E14">
        <v>1</v>
      </c>
    </row>
    <row r="15" spans="1:5" ht="18" thickBot="1">
      <c r="A15" s="37" t="s">
        <v>96</v>
      </c>
      <c r="B15" s="31">
        <v>11</v>
      </c>
      <c r="D15" s="27" t="s">
        <v>35</v>
      </c>
      <c r="E15">
        <v>24</v>
      </c>
    </row>
    <row r="16" spans="1:5" ht="18" thickBot="1">
      <c r="A16" s="37" t="s">
        <v>90</v>
      </c>
      <c r="B16" s="31">
        <v>4</v>
      </c>
      <c r="D16" s="27"/>
    </row>
    <row r="17" spans="1:4" ht="18" thickBot="1">
      <c r="A17" s="37" t="s">
        <v>88</v>
      </c>
      <c r="B17" s="31"/>
      <c r="D17" s="27"/>
    </row>
    <row r="18" spans="1:4" ht="18" thickBot="1">
      <c r="A18" s="61" t="s">
        <v>108</v>
      </c>
      <c r="B18" s="97">
        <v>2</v>
      </c>
      <c r="D18" s="27"/>
    </row>
    <row r="19" spans="1:4" ht="18" thickBot="1">
      <c r="A19" s="98" t="s">
        <v>111</v>
      </c>
      <c r="B19" s="92">
        <v>2</v>
      </c>
      <c r="D19" s="27"/>
    </row>
    <row r="20" spans="1:4" ht="18" thickBot="1">
      <c r="A20" s="98" t="s">
        <v>150</v>
      </c>
      <c r="B20" s="18">
        <v>1</v>
      </c>
      <c r="D20" s="27"/>
    </row>
    <row r="21" spans="1:4">
      <c r="D21" s="27"/>
    </row>
    <row r="22" spans="1:4">
      <c r="D22" s="27"/>
    </row>
    <row r="23" spans="1:4">
      <c r="D23" s="27"/>
    </row>
    <row r="24" spans="1:4">
      <c r="D24" s="27"/>
    </row>
    <row r="25" spans="1:4">
      <c r="D25" s="27"/>
    </row>
    <row r="26" spans="1:4">
      <c r="D26" s="27"/>
    </row>
    <row r="27" spans="1:4">
      <c r="D27" s="27"/>
    </row>
    <row r="28" spans="1:4">
      <c r="D28" s="27"/>
    </row>
    <row r="29" spans="1:4">
      <c r="D29" s="27"/>
    </row>
  </sheetData>
  <sortState xmlns:xlrd2="http://schemas.microsoft.com/office/spreadsheetml/2017/richdata2" ref="A2:B18">
    <sortCondition ref="A2:A18"/>
  </sortState>
  <phoneticPr fontId="23" type="noConversion"/>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44B7434887FE47B5C76A44D552D845" ma:contentTypeVersion="14" ma:contentTypeDescription="Create a new document." ma:contentTypeScope="" ma:versionID="f88cadb1cbbe3cfaace38c72a3bf1ac1">
  <xsd:schema xmlns:xsd="http://www.w3.org/2001/XMLSchema" xmlns:xs="http://www.w3.org/2001/XMLSchema" xmlns:p="http://schemas.microsoft.com/office/2006/metadata/properties" xmlns:ns3="3fdc548c-9527-4c06-95a3-6b31b33499bb" xmlns:ns4="5f28956e-7651-44b6-8883-827cb26a07a4" targetNamespace="http://schemas.microsoft.com/office/2006/metadata/properties" ma:root="true" ma:fieldsID="0c57ca82b7b2f2ba4c30e0b194a27cc4" ns3:_="" ns4:_="">
    <xsd:import namespace="3fdc548c-9527-4c06-95a3-6b31b33499bb"/>
    <xsd:import namespace="5f28956e-7651-44b6-8883-827cb26a07a4"/>
    <xsd:element name="properties">
      <xsd:complexType>
        <xsd:sequence>
          <xsd:element name="documentManagement">
            <xsd:complexType>
              <xsd:all>
                <xsd:element ref="ns3:_activity" minOccurs="0"/>
                <xsd:element ref="ns4:SharedWithDetails" minOccurs="0"/>
                <xsd:element ref="ns4:SharingHintHash" minOccurs="0"/>
                <xsd:element ref="ns4:SharedWithUser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dc548c-9527-4c06-95a3-6b31b33499b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f28956e-7651-44b6-8883-827cb26a07a4" elementFormDefault="qualified">
    <xsd:import namespace="http://schemas.microsoft.com/office/2006/documentManagement/types"/>
    <xsd:import namespace="http://schemas.microsoft.com/office/infopath/2007/PartnerControls"/>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fdc548c-9527-4c06-95a3-6b31b33499bb" xsi:nil="true"/>
  </documentManagement>
</p:properties>
</file>

<file path=customXml/itemProps1.xml><?xml version="1.0" encoding="utf-8"?>
<ds:datastoreItem xmlns:ds="http://schemas.openxmlformats.org/officeDocument/2006/customXml" ds:itemID="{4E127F18-5AF9-40DA-99F7-90AF96059F41}">
  <ds:schemaRefs>
    <ds:schemaRef ds:uri="http://schemas.microsoft.com/sharepoint/v3/contenttype/forms"/>
  </ds:schemaRefs>
</ds:datastoreItem>
</file>

<file path=customXml/itemProps2.xml><?xml version="1.0" encoding="utf-8"?>
<ds:datastoreItem xmlns:ds="http://schemas.openxmlformats.org/officeDocument/2006/customXml" ds:itemID="{577C564F-CC4E-463F-A81D-C84B20E67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dc548c-9527-4c06-95a3-6b31b33499bb"/>
    <ds:schemaRef ds:uri="5f28956e-7651-44b6-8883-827cb26a0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C3857F-340C-427F-ABB2-95946E63DF66}">
  <ds:schemaRefs>
    <ds:schemaRef ds:uri="http://schemas.microsoft.com/office/2006/documentManagement/types"/>
    <ds:schemaRef ds:uri="http://www.w3.org/XML/1998/namespace"/>
    <ds:schemaRef ds:uri="http://purl.org/dc/dcmitype/"/>
    <ds:schemaRef ds:uri="5f28956e-7651-44b6-8883-827cb26a07a4"/>
    <ds:schemaRef ds:uri="http://purl.org/dc/terms/"/>
    <ds:schemaRef ds:uri="http://schemas.microsoft.com/office/2006/metadata/properties"/>
    <ds:schemaRef ds:uri="http://schemas.microsoft.com/office/infopath/2007/PartnerControls"/>
    <ds:schemaRef ds:uri="http://schemas.openxmlformats.org/package/2006/metadata/core-properties"/>
    <ds:schemaRef ds:uri="3fdc548c-9527-4c06-95a3-6b31b33499bb"/>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1.Summary</vt:lpstr>
      <vt:lpstr>Detail1</vt:lpstr>
      <vt:lpstr>Sheet1</vt:lpstr>
      <vt:lpstr>Sheet2</vt:lpstr>
      <vt:lpstr>2.Sponsors_summary</vt:lpstr>
      <vt:lpstr>3.Deals_total</vt:lpstr>
      <vt:lpstr>4.Re-filings</vt:lpstr>
      <vt:lpstr>5.GBA</vt:lpstr>
      <vt:lpstr>6.GBA-detail</vt:lpstr>
      <vt:lpstr>7.CN_banks_involved</vt:lpstr>
      <vt:lpstr>8. Auditor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Jayson</dc:creator>
  <cp:keywords/>
  <dc:description/>
  <cp:lastModifiedBy>生 陆</cp:lastModifiedBy>
  <cp:revision/>
  <dcterms:created xsi:type="dcterms:W3CDTF">2024-03-15T01:49:46Z</dcterms:created>
  <dcterms:modified xsi:type="dcterms:W3CDTF">2026-05-10T13:08:11Z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0x0101005844B7434887FE47B5C76A44D552D845</vt:lpwstr>
  </property>
</Properties>
</file>