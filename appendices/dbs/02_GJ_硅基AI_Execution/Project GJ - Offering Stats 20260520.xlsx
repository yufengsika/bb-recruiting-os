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tsonwzyzhang\Desktop\Project GJ\03. Due Diligence\E. Profit Forecast\Model\Refile\"/>
    </mc:Choice>
  </mc:AlternateContent>
  <xr:revisionPtr revIDLastSave="0" documentId="13_ncr:1_{651FB062-EF0E-482E-A3F4-7CE86D3D038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tats" sheetId="1" r:id="rId1"/>
    <sheet name="发行前后股权结构" sheetId="5" r:id="rId2"/>
    <sheet name="Comps" sheetId="2" r:id="rId3"/>
    <sheet name="UOP" sheetId="3" r:id="rId4"/>
  </sheets>
  <definedNames>
    <definedName name="_xlnm.Print_Area" localSheetId="0">Stats!$A$1:$N$39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12" i="3"/>
  <c r="G3" i="3" s="1"/>
  <c r="I3" i="1"/>
  <c r="C23" i="5" l="1"/>
  <c r="C40" i="1"/>
  <c r="E21" i="1"/>
  <c r="C11" i="1"/>
  <c r="C9" i="1"/>
  <c r="C12" i="1" s="1"/>
  <c r="H26" i="1" s="1"/>
  <c r="H29" i="1" l="1"/>
  <c r="C21" i="1"/>
  <c r="H12" i="1"/>
  <c r="C13" i="1"/>
  <c r="F25" i="1" s="1"/>
  <c r="D21" i="1"/>
  <c r="H13" i="1"/>
  <c r="F26" i="1"/>
  <c r="F29" i="1" s="1"/>
  <c r="C14" i="1"/>
  <c r="C15" i="1" s="1"/>
  <c r="G26" i="1"/>
  <c r="G29" i="1" s="1"/>
  <c r="K1" i="3"/>
  <c r="F28" i="1" l="1"/>
  <c r="F21" i="1" s="1"/>
  <c r="J21" i="1" s="1"/>
  <c r="C16" i="1"/>
  <c r="H25" i="1"/>
  <c r="H28" i="1" s="1"/>
  <c r="G25" i="1"/>
  <c r="G28" i="1" s="1"/>
  <c r="G21" i="1" s="1"/>
  <c r="K21" i="1" s="1"/>
  <c r="D7" i="2"/>
  <c r="H21" i="1" l="1"/>
  <c r="L21" i="1" s="1"/>
  <c r="M21" i="1"/>
  <c r="G4" i="5"/>
  <c r="G5" i="5"/>
  <c r="G7" i="5"/>
  <c r="G6" i="5"/>
  <c r="G8" i="5"/>
  <c r="G9" i="5"/>
  <c r="G10" i="5"/>
  <c r="G14" i="5"/>
  <c r="G12" i="5"/>
  <c r="G13" i="5"/>
  <c r="G11" i="5"/>
  <c r="G15" i="5"/>
  <c r="G16" i="5"/>
  <c r="G18" i="5"/>
  <c r="G19" i="5"/>
  <c r="G20" i="5"/>
  <c r="G17" i="5"/>
  <c r="G21" i="5"/>
  <c r="G3" i="5"/>
  <c r="E4" i="5"/>
  <c r="E5" i="5"/>
  <c r="E7" i="5"/>
  <c r="E6" i="5"/>
  <c r="E8" i="5"/>
  <c r="E9" i="5"/>
  <c r="E10" i="5"/>
  <c r="E14" i="5"/>
  <c r="E12" i="5"/>
  <c r="E13" i="5"/>
  <c r="E11" i="5"/>
  <c r="E15" i="5"/>
  <c r="E16" i="5"/>
  <c r="E18" i="5"/>
  <c r="E19" i="5"/>
  <c r="E20" i="5"/>
  <c r="E17" i="5"/>
  <c r="E21" i="5"/>
  <c r="E3" i="5"/>
  <c r="H4" i="2"/>
  <c r="C7" i="2"/>
  <c r="H3" i="2" s="1"/>
  <c r="C32" i="1"/>
  <c r="D20" i="1"/>
  <c r="D22" i="5" l="1"/>
  <c r="D3" i="5"/>
  <c r="D4" i="5"/>
  <c r="D11" i="5"/>
  <c r="D12" i="5"/>
  <c r="D21" i="5"/>
  <c r="D20" i="5"/>
  <c r="D7" i="5"/>
  <c r="D15" i="5"/>
  <c r="D13" i="5"/>
  <c r="D10" i="5"/>
  <c r="D9" i="5"/>
  <c r="D17" i="5"/>
  <c r="D6" i="5"/>
  <c r="D19" i="5"/>
  <c r="D18" i="5"/>
  <c r="D5" i="5"/>
  <c r="D14" i="5"/>
  <c r="D8" i="5"/>
  <c r="D16" i="5"/>
  <c r="D23" i="5" l="1"/>
  <c r="C33" i="1"/>
  <c r="D33" i="1" l="1"/>
  <c r="C36" i="1"/>
  <c r="F33" i="1"/>
  <c r="O21" i="1" l="1"/>
  <c r="D34" i="1" l="1"/>
  <c r="D36" i="1" s="1"/>
  <c r="D13" i="1"/>
  <c r="D12" i="1"/>
  <c r="E22" i="5"/>
  <c r="F34" i="1" l="1"/>
  <c r="F36" i="1" s="1"/>
  <c r="G22" i="5"/>
  <c r="E23" i="5"/>
  <c r="F22" i="5" s="1"/>
  <c r="J28" i="1"/>
  <c r="E33" i="1"/>
  <c r="K28" i="1" l="1"/>
  <c r="K29" i="1"/>
  <c r="J29" i="1"/>
  <c r="F5" i="5"/>
  <c r="F20" i="5"/>
  <c r="F8" i="5"/>
  <c r="F10" i="5"/>
  <c r="F13" i="5"/>
  <c r="F16" i="5"/>
  <c r="F14" i="5"/>
  <c r="F12" i="5"/>
  <c r="F3" i="5"/>
  <c r="F17" i="5"/>
  <c r="F6" i="5"/>
  <c r="F4" i="5"/>
  <c r="F19" i="5"/>
  <c r="F9" i="5"/>
  <c r="F7" i="5"/>
  <c r="F11" i="5"/>
  <c r="F21" i="5"/>
  <c r="F18" i="5"/>
  <c r="F15" i="5"/>
  <c r="K23" i="1"/>
  <c r="J23" i="1"/>
  <c r="L23" i="1"/>
  <c r="L28" i="1"/>
  <c r="L29" i="1"/>
  <c r="G23" i="5"/>
  <c r="E34" i="1"/>
  <c r="E36" i="1" s="1"/>
  <c r="G33" i="1"/>
  <c r="J26" i="1" l="1"/>
  <c r="J25" i="1"/>
  <c r="L26" i="1"/>
  <c r="L11" i="1" s="1"/>
  <c r="L25" i="1"/>
  <c r="K26" i="1"/>
  <c r="K25" i="1"/>
  <c r="L9" i="1"/>
  <c r="L8" i="1"/>
  <c r="G34" i="1"/>
  <c r="G36" i="1" s="1"/>
  <c r="I12" i="3"/>
  <c r="H12" i="3"/>
  <c r="H17" i="5"/>
  <c r="H14" i="5"/>
  <c r="H7" i="5"/>
  <c r="H18" i="5"/>
  <c r="H12" i="5"/>
  <c r="H9" i="5"/>
  <c r="H20" i="5"/>
  <c r="H8" i="5"/>
  <c r="H10" i="5"/>
  <c r="H4" i="5"/>
  <c r="H6" i="5"/>
  <c r="H19" i="5"/>
  <c r="H5" i="5"/>
  <c r="H21" i="5"/>
  <c r="H11" i="5"/>
  <c r="H15" i="5"/>
  <c r="H16" i="5"/>
  <c r="H13" i="5"/>
  <c r="H3" i="5"/>
  <c r="L13" i="1"/>
  <c r="L12" i="1"/>
  <c r="H22" i="5"/>
  <c r="D12" i="3"/>
  <c r="E12" i="3"/>
  <c r="F12" i="3"/>
  <c r="F23" i="5"/>
  <c r="D4" i="3" l="1"/>
  <c r="D8" i="3"/>
  <c r="D3" i="3"/>
  <c r="D11" i="3"/>
  <c r="D10" i="3"/>
  <c r="D6" i="3"/>
  <c r="D7" i="3"/>
  <c r="D5" i="3"/>
  <c r="D9" i="3"/>
  <c r="G5" i="3"/>
  <c r="G4" i="3"/>
  <c r="G8" i="3"/>
  <c r="G10" i="3"/>
  <c r="G9" i="3"/>
  <c r="G7" i="3"/>
  <c r="G11" i="3"/>
  <c r="G6" i="3"/>
  <c r="F10" i="3"/>
  <c r="F3" i="3"/>
  <c r="F9" i="3"/>
  <c r="F4" i="3"/>
  <c r="F11" i="3"/>
  <c r="F8" i="3"/>
  <c r="F6" i="3"/>
  <c r="F7" i="3"/>
  <c r="F5" i="3"/>
  <c r="E5" i="3"/>
  <c r="E10" i="3"/>
  <c r="E6" i="3"/>
  <c r="E7" i="3"/>
  <c r="E8" i="3"/>
  <c r="E3" i="3"/>
  <c r="E11" i="3"/>
  <c r="E4" i="3"/>
  <c r="E9" i="3"/>
  <c r="M8" i="1"/>
  <c r="H5" i="3"/>
  <c r="H10" i="3"/>
  <c r="H6" i="3"/>
  <c r="H3" i="3"/>
  <c r="H9" i="3"/>
  <c r="H8" i="3"/>
  <c r="H7" i="3"/>
  <c r="H4" i="3"/>
  <c r="H11" i="3"/>
  <c r="H23" i="5"/>
  <c r="M9" i="1"/>
  <c r="I11" i="3"/>
  <c r="I10" i="3"/>
  <c r="I7" i="3"/>
  <c r="I8" i="3"/>
  <c r="I6" i="3"/>
  <c r="I9" i="3"/>
  <c r="I5" i="3"/>
  <c r="I4" i="3"/>
  <c r="I3" i="3"/>
</calcChain>
</file>

<file path=xl/sharedStrings.xml><?xml version="1.0" encoding="utf-8"?>
<sst xmlns="http://schemas.openxmlformats.org/spreadsheetml/2006/main" count="137" uniqueCount="117">
  <si>
    <t>RMB</t>
  </si>
  <si>
    <t>=</t>
  </si>
  <si>
    <t>HKD</t>
  </si>
  <si>
    <t>Domestic Unlisted Shares in issue
内资股</t>
  </si>
  <si>
    <t>Nominal value (RMB)
面值</t>
  </si>
  <si>
    <t>Enlarged capital in IPO (before OAO)
股本增加比例</t>
  </si>
  <si>
    <t>H Shares to be converted from Domestic Unlisted Shares 
内资股转换至H股股数</t>
  </si>
  <si>
    <t>H Shares to be issued under Global Offering (before OAO)
根据全球发售发行的H股（假设超额配售股权未获行使）</t>
  </si>
  <si>
    <t>Shares in total （Before OAO)
总计（假设超额配售股权未获行使）</t>
  </si>
  <si>
    <t>Over-allotment Option 
超额配售权或行使</t>
  </si>
  <si>
    <t>Global Offering with OAO
根据全球发售发行的H股（假设超额配售股权获行使）</t>
  </si>
  <si>
    <t>Shares in total with OAO
总计（假设超额配售股权获行使）</t>
  </si>
  <si>
    <t>Before OAO
超额配售股权行使前</t>
  </si>
  <si>
    <t>After OAO
超额配售股权行使后</t>
  </si>
  <si>
    <t>Price per share
每股股价</t>
  </si>
  <si>
    <t>Shares in issue  
before Global Offering
全球公开发售发行前的内资股股数</t>
  </si>
  <si>
    <t>Par value (RMB)
面值</t>
  </si>
  <si>
    <t xml:space="preserve">Low-end
低位
</t>
  </si>
  <si>
    <t xml:space="preserve">Mid-point
中位
</t>
  </si>
  <si>
    <t xml:space="preserve">High-end
高位
</t>
  </si>
  <si>
    <t>High-end vs low end</t>
  </si>
  <si>
    <t>GL90-18 price range check</t>
  </si>
  <si>
    <t>H shares in issue as of the date of prospectus
于招股书日期的H股股数</t>
  </si>
  <si>
    <t>Price (HKD)
股价（港币）</t>
  </si>
  <si>
    <t>Market Cap (HKD)
市值（港币）</t>
  </si>
  <si>
    <t>Gross proceeds (HKD)
集资总额（港币）</t>
  </si>
  <si>
    <t>Market Cap (RMB)
市值（人民币）</t>
  </si>
  <si>
    <t>Gross proceeds (RMB)
集资总额（人民币）</t>
  </si>
  <si>
    <t>Shareholding %
股本百分比</t>
  </si>
  <si>
    <t>After Global Offering
(before OAO)
全球发售发行后
（假设超额配售股权未获行使）</t>
  </si>
  <si>
    <t>After Global Offering
(after OAO)
全球发售发行后
（假设超额配售股权获行使）</t>
  </si>
  <si>
    <t>Other H Shares Public Shareholders
其他H股公众股东</t>
  </si>
  <si>
    <t>Total 总计</t>
  </si>
  <si>
    <t>Board Lot:
每手买卖单位</t>
  </si>
  <si>
    <t>Project GJ</t>
  </si>
  <si>
    <t>Issued share capital (RMB, before listing)
注册股本(发行前)</t>
  </si>
  <si>
    <t>Nanjing Sillicon Intelligence 
硅基智能</t>
  </si>
  <si>
    <t>PB</t>
  </si>
  <si>
    <t>序号</t>
  </si>
  <si>
    <t>可比公司</t>
  </si>
  <si>
    <t>云知声</t>
  </si>
  <si>
    <t>出门问问</t>
  </si>
  <si>
    <t>商汤</t>
  </si>
  <si>
    <t>第四范式</t>
  </si>
  <si>
    <t>PS（TTM）</t>
  </si>
  <si>
    <t>截至20250930</t>
  </si>
  <si>
    <t>硅基智能</t>
  </si>
  <si>
    <t>均值</t>
  </si>
  <si>
    <t>营业收入</t>
  </si>
  <si>
    <t>净资产</t>
  </si>
  <si>
    <t>2024年度/20241231</t>
  </si>
  <si>
    <t>单位：亿元人民币</t>
  </si>
  <si>
    <t>对应估值</t>
  </si>
  <si>
    <t>每手交易价格</t>
  </si>
  <si>
    <t>投向</t>
  </si>
  <si>
    <t>比例</t>
  </si>
  <si>
    <t>汇率</t>
  </si>
  <si>
    <t>研发能力的提升</t>
  </si>
  <si>
    <t>算力采购及租赁</t>
  </si>
  <si>
    <t>研发人员招聘</t>
  </si>
  <si>
    <t>委外研发</t>
  </si>
  <si>
    <t>商机开拓</t>
  </si>
  <si>
    <t>宣传推广</t>
  </si>
  <si>
    <t>销售人员招聘</t>
  </si>
  <si>
    <t>战略合作与收购</t>
  </si>
  <si>
    <t>补流</t>
  </si>
  <si>
    <t>合计</t>
  </si>
  <si>
    <t>1-1</t>
  </si>
  <si>
    <t>1-2</t>
  </si>
  <si>
    <t>1-3</t>
  </si>
  <si>
    <t>2-1</t>
  </si>
  <si>
    <t>2-2</t>
  </si>
  <si>
    <t>对应金额（元人民币）</t>
  </si>
  <si>
    <t>对应金额（元港币）</t>
  </si>
  <si>
    <t>完成本次发行上市后（未行使超额配售权）</t>
  </si>
  <si>
    <t>完成本次发行上市后（行使超额配售权）</t>
  </si>
  <si>
    <t>股比</t>
  </si>
  <si>
    <t>发行前</t>
  </si>
  <si>
    <t>司马华鹏</t>
  </si>
  <si>
    <t>员工持股实体</t>
  </si>
  <si>
    <t>招银电信</t>
  </si>
  <si>
    <t>招银永祥</t>
  </si>
  <si>
    <t>中财奇虎</t>
  </si>
  <si>
    <t>澎湃资本</t>
  </si>
  <si>
    <t>陆剑锋</t>
  </si>
  <si>
    <t>招银永吉</t>
  </si>
  <si>
    <t>招银共赢</t>
  </si>
  <si>
    <t>新业广州</t>
  </si>
  <si>
    <t>股数（股）</t>
  </si>
  <si>
    <t>新增H股股东</t>
  </si>
  <si>
    <t>腾讯投资</t>
  </si>
  <si>
    <t>国新投资</t>
  </si>
  <si>
    <t>嘉兴高投</t>
  </si>
  <si>
    <t>嘉兴海松</t>
  </si>
  <si>
    <t>招银现代</t>
  </si>
  <si>
    <t>杭州好望角</t>
  </si>
  <si>
    <t>红杉智盛</t>
  </si>
  <si>
    <t>苏州和益</t>
  </si>
  <si>
    <t>上海熠云</t>
  </si>
  <si>
    <t>股东姓名/名称</t>
  </si>
  <si>
    <t>HK offering</t>
  </si>
  <si>
    <t>Global offering</t>
  </si>
  <si>
    <t>发行结构（初）</t>
  </si>
  <si>
    <t>不向下取可被20整除原数</t>
  </si>
  <si>
    <t>全部全流通</t>
  </si>
  <si>
    <t>high-mid</t>
  </si>
  <si>
    <t>mid-low</t>
  </si>
  <si>
    <t>With OAO</t>
  </si>
  <si>
    <t>Without OAO</t>
  </si>
  <si>
    <t>With OAO - without OAO</t>
  </si>
  <si>
    <t>high</t>
  </si>
  <si>
    <t>low</t>
  </si>
  <si>
    <t>mid</t>
  </si>
  <si>
    <t>listing expense</t>
  </si>
  <si>
    <t>下限-44.39亿人民币</t>
  </si>
  <si>
    <t>中位数-49.21亿人民币</t>
  </si>
  <si>
    <t>上限-54.04亿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</si>
</sst>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%"/>
    <numFmt numFmtId="166" formatCode="0.0000"/>
    <numFmt numFmtId="167" formatCode="#,##0.0000"/>
    <numFmt numFmtId="168" formatCode="_(* #,##0_);_(* \(#,##0\);_(* &quot;-&quot;??_);_(@_)"/>
    <numFmt numFmtId="169" formatCode="_(* #,##0.0000_);_(* \(#,##0.0000\);_(* &quot;-&quot;??_);_(@_)"/>
    <numFmt numFmtId="171" formatCode="0.0000%"/>
    <numFmt numFmtId="179" formatCode="_(* #,##0.000000000000_);_(* \(#,##0.000000000000\);_(* &quot;-&quot;??_);_(@_)"/>
  </numFmts>
  <fonts count="19"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charset val="136"/>
      <scheme val="minor"/>
    </font>
    <font>
      <sz val="11"/>
      <name val="Calibri"/>
      <family val="2"/>
      <charset val="136"/>
      <scheme val="minor"/>
    </font>
    <font>
      <b/>
      <sz val="11"/>
      <color rgb="FF0000FF"/>
      <name val="Calibri"/>
      <family val="2"/>
      <scheme val="minor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rgb="FF000000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3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3" fontId="2" fillId="0" borderId="0" xfId="0" applyNumberFormat="1" applyFont="1">
      <alignment vertical="center"/>
    </xf>
    <xf numFmtId="165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65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 wrapText="1"/>
    </xf>
    <xf numFmtId="3" fontId="2" fillId="3" borderId="2" xfId="0" applyNumberFormat="1" applyFont="1" applyFill="1" applyBorder="1">
      <alignment vertical="center"/>
    </xf>
    <xf numFmtId="3" fontId="2" fillId="3" borderId="3" xfId="0" applyNumberFormat="1" applyFont="1" applyFill="1" applyBorder="1">
      <alignment vertical="center"/>
    </xf>
    <xf numFmtId="165" fontId="0" fillId="0" borderId="0" xfId="1" applyNumberFormat="1" applyFont="1" applyAlignment="1">
      <alignment vertical="center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9" fontId="0" fillId="0" borderId="0" xfId="0" applyNumberFormat="1">
      <alignment vertical="center"/>
    </xf>
    <xf numFmtId="167" fontId="2" fillId="3" borderId="2" xfId="0" applyNumberFormat="1" applyFont="1" applyFill="1" applyBorder="1">
      <alignment vertical="center"/>
    </xf>
    <xf numFmtId="167" fontId="2" fillId="3" borderId="3" xfId="0" applyNumberFormat="1" applyFont="1" applyFill="1" applyBorder="1">
      <alignment vertical="center"/>
    </xf>
    <xf numFmtId="10" fontId="0" fillId="0" borderId="0" xfId="0" applyNumberFormat="1">
      <alignment vertical="center"/>
    </xf>
    <xf numFmtId="4" fontId="2" fillId="3" borderId="2" xfId="0" applyNumberFormat="1" applyFont="1" applyFill="1" applyBorder="1">
      <alignment vertical="center"/>
    </xf>
    <xf numFmtId="4" fontId="2" fillId="3" borderId="3" xfId="0" applyNumberFormat="1" applyFont="1" applyFill="1" applyBorder="1">
      <alignment vertical="center"/>
    </xf>
    <xf numFmtId="4" fontId="2" fillId="3" borderId="10" xfId="0" applyNumberFormat="1" applyFont="1" applyFill="1" applyBorder="1">
      <alignment vertical="center"/>
    </xf>
    <xf numFmtId="4" fontId="2" fillId="3" borderId="11" xfId="0" applyNumberFormat="1" applyFont="1" applyFill="1" applyBorder="1">
      <alignment vertical="center"/>
    </xf>
    <xf numFmtId="4" fontId="2" fillId="3" borderId="12" xfId="0" applyNumberFormat="1" applyFont="1" applyFill="1" applyBorder="1">
      <alignment vertical="center"/>
    </xf>
    <xf numFmtId="4" fontId="0" fillId="0" borderId="11" xfId="0" applyNumberFormat="1" applyBorder="1">
      <alignment vertical="center"/>
    </xf>
    <xf numFmtId="166" fontId="5" fillId="2" borderId="0" xfId="0" applyNumberFormat="1" applyFont="1" applyFill="1">
      <alignment vertical="center"/>
    </xf>
    <xf numFmtId="165" fontId="2" fillId="0" borderId="0" xfId="1" applyNumberFormat="1" applyFont="1" applyAlignment="1">
      <alignment vertical="center"/>
    </xf>
    <xf numFmtId="3" fontId="6" fillId="0" borderId="0" xfId="0" applyNumberFormat="1" applyFont="1" applyAlignment="1">
      <alignment vertical="top"/>
    </xf>
    <xf numFmtId="0" fontId="0" fillId="0" borderId="0" xfId="0" applyAlignment="1">
      <alignment horizontal="right" vertical="center"/>
    </xf>
    <xf numFmtId="166" fontId="6" fillId="0" borderId="0" xfId="0" applyNumberFormat="1" applyFont="1" applyAlignment="1">
      <alignment vertical="top"/>
    </xf>
    <xf numFmtId="168" fontId="0" fillId="0" borderId="0" xfId="2" applyNumberFormat="1" applyFont="1" applyFill="1" applyAlignment="1">
      <alignment vertical="center"/>
    </xf>
    <xf numFmtId="10" fontId="6" fillId="0" borderId="0" xfId="1" applyNumberFormat="1" applyFont="1" applyFill="1" applyAlignment="1">
      <alignment vertical="top"/>
    </xf>
    <xf numFmtId="168" fontId="0" fillId="0" borderId="0" xfId="0" applyNumberFormat="1">
      <alignment vertical="center"/>
    </xf>
    <xf numFmtId="3" fontId="6" fillId="0" borderId="0" xfId="0" applyNumberFormat="1" applyFont="1">
      <alignment vertical="center"/>
    </xf>
    <xf numFmtId="168" fontId="0" fillId="0" borderId="0" xfId="0" applyNumberFormat="1" applyAlignment="1">
      <alignment vertical="top"/>
    </xf>
    <xf numFmtId="9" fontId="6" fillId="0" borderId="0" xfId="0" applyNumberFormat="1" applyFont="1" applyAlignment="1">
      <alignment vertical="top"/>
    </xf>
    <xf numFmtId="0" fontId="2" fillId="0" borderId="1" xfId="0" applyFont="1" applyBorder="1">
      <alignment vertical="center"/>
    </xf>
    <xf numFmtId="168" fontId="6" fillId="0" borderId="0" xfId="2" applyNumberFormat="1" applyFont="1" applyFill="1" applyAlignment="1">
      <alignment vertical="center"/>
    </xf>
    <xf numFmtId="164" fontId="0" fillId="0" borderId="0" xfId="0" applyNumberFormat="1">
      <alignment vertical="center"/>
    </xf>
    <xf numFmtId="9" fontId="0" fillId="0" borderId="0" xfId="0" applyNumberFormat="1" applyAlignment="1">
      <alignment vertical="top" wrapText="1"/>
    </xf>
    <xf numFmtId="166" fontId="6" fillId="0" borderId="0" xfId="0" applyNumberFormat="1" applyFont="1">
      <alignment vertical="center"/>
    </xf>
    <xf numFmtId="3" fontId="7" fillId="0" borderId="0" xfId="0" applyNumberFormat="1" applyFont="1">
      <alignment vertical="center"/>
    </xf>
    <xf numFmtId="164" fontId="0" fillId="0" borderId="0" xfId="2" applyFont="1" applyAlignment="1">
      <alignment vertical="center"/>
    </xf>
    <xf numFmtId="49" fontId="0" fillId="0" borderId="0" xfId="0" applyNumberFormat="1">
      <alignment vertical="center"/>
    </xf>
    <xf numFmtId="10" fontId="9" fillId="0" borderId="13" xfId="0" applyNumberFormat="1" applyFont="1" applyBorder="1" applyAlignment="1">
      <alignment horizontal="right" vertical="center" wrapText="1"/>
    </xf>
    <xf numFmtId="168" fontId="9" fillId="0" borderId="13" xfId="0" applyNumberFormat="1" applyFont="1" applyBorder="1" applyAlignment="1">
      <alignment horizontal="right" vertical="center" wrapText="1"/>
    </xf>
    <xf numFmtId="10" fontId="10" fillId="0" borderId="13" xfId="0" applyNumberFormat="1" applyFont="1" applyBorder="1" applyAlignment="1">
      <alignment horizontal="right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49" fontId="10" fillId="0" borderId="15" xfId="0" applyNumberFormat="1" applyFont="1" applyBorder="1" applyAlignment="1">
      <alignment horizontal="center" vertical="center" wrapText="1"/>
    </xf>
    <xf numFmtId="49" fontId="9" fillId="0" borderId="17" xfId="0" applyNumberFormat="1" applyFont="1" applyBorder="1" applyAlignment="1">
      <alignment horizontal="center" vertical="center" wrapText="1"/>
    </xf>
    <xf numFmtId="10" fontId="9" fillId="0" borderId="18" xfId="0" applyNumberFormat="1" applyFont="1" applyBorder="1" applyAlignment="1">
      <alignment horizontal="right" vertical="center" wrapText="1"/>
    </xf>
    <xf numFmtId="168" fontId="9" fillId="0" borderId="18" xfId="0" applyNumberFormat="1" applyFont="1" applyBorder="1" applyAlignment="1">
      <alignment horizontal="right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0" xfId="0" applyFont="1" applyAlignment="1"/>
    <xf numFmtId="0" fontId="9" fillId="0" borderId="13" xfId="0" applyFont="1" applyBorder="1" applyAlignment="1">
      <alignment horizontal="left" vertical="center" wrapText="1"/>
    </xf>
    <xf numFmtId="168" fontId="11" fillId="0" borderId="13" xfId="2" applyNumberFormat="1" applyFont="1" applyBorder="1" applyAlignment="1"/>
    <xf numFmtId="168" fontId="11" fillId="0" borderId="16" xfId="2" applyNumberFormat="1" applyFont="1" applyBorder="1" applyAlignment="1"/>
    <xf numFmtId="0" fontId="10" fillId="0" borderId="13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8" fontId="12" fillId="0" borderId="18" xfId="2" applyNumberFormat="1" applyFont="1" applyBorder="1" applyAlignment="1"/>
    <xf numFmtId="0" fontId="12" fillId="0" borderId="0" xfId="0" applyFont="1" applyAlignment="1"/>
    <xf numFmtId="0" fontId="13" fillId="0" borderId="0" xfId="0" applyFont="1">
      <alignment vertical="center"/>
    </xf>
    <xf numFmtId="168" fontId="12" fillId="0" borderId="13" xfId="2" applyNumberFormat="1" applyFont="1" applyBorder="1" applyAlignment="1"/>
    <xf numFmtId="168" fontId="12" fillId="0" borderId="16" xfId="2" applyNumberFormat="1" applyFont="1" applyBorder="1" applyAlignment="1"/>
    <xf numFmtId="0" fontId="9" fillId="0" borderId="23" xfId="0" applyFont="1" applyBorder="1" applyAlignment="1">
      <alignment horizontal="center" vertical="center" wrapText="1"/>
    </xf>
    <xf numFmtId="168" fontId="10" fillId="0" borderId="13" xfId="0" applyNumberFormat="1" applyFont="1" applyBorder="1" applyAlignment="1">
      <alignment horizontal="right" vertical="center" wrapText="1"/>
    </xf>
    <xf numFmtId="169" fontId="0" fillId="0" borderId="0" xfId="2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3" fontId="14" fillId="0" borderId="13" xfId="0" applyNumberFormat="1" applyFont="1" applyBorder="1" applyAlignment="1">
      <alignment horizontal="right" vertical="center"/>
    </xf>
    <xf numFmtId="10" fontId="14" fillId="0" borderId="13" xfId="1" applyNumberFormat="1" applyFont="1" applyBorder="1" applyAlignment="1">
      <alignment vertical="center"/>
    </xf>
    <xf numFmtId="3" fontId="14" fillId="0" borderId="13" xfId="0" applyNumberFormat="1" applyFont="1" applyBorder="1">
      <alignment vertical="center"/>
    </xf>
    <xf numFmtId="10" fontId="14" fillId="0" borderId="16" xfId="1" applyNumberFormat="1" applyFont="1" applyBorder="1" applyAlignment="1">
      <alignment vertical="center"/>
    </xf>
    <xf numFmtId="164" fontId="14" fillId="0" borderId="13" xfId="2" applyFont="1" applyBorder="1" applyAlignment="1">
      <alignment horizontal="right" vertical="center"/>
    </xf>
    <xf numFmtId="0" fontId="14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3" fontId="15" fillId="0" borderId="18" xfId="0" applyNumberFormat="1" applyFont="1" applyBorder="1" applyAlignment="1">
      <alignment horizontal="right" vertical="center"/>
    </xf>
    <xf numFmtId="10" fontId="15" fillId="0" borderId="18" xfId="1" applyNumberFormat="1" applyFont="1" applyBorder="1" applyAlignment="1">
      <alignment horizontal="right" vertical="center"/>
    </xf>
    <xf numFmtId="10" fontId="0" fillId="0" borderId="0" xfId="1" applyNumberFormat="1" applyFont="1" applyAlignment="1">
      <alignment vertical="center"/>
    </xf>
    <xf numFmtId="165" fontId="7" fillId="0" borderId="0" xfId="1" applyNumberFormat="1" applyFont="1" applyFill="1" applyAlignment="1">
      <alignment vertical="center"/>
    </xf>
    <xf numFmtId="9" fontId="3" fillId="0" borderId="0" xfId="1" applyFont="1" applyFill="1" applyAlignment="1">
      <alignment vertical="center"/>
    </xf>
    <xf numFmtId="3" fontId="3" fillId="0" borderId="0" xfId="0" applyNumberFormat="1" applyFont="1">
      <alignment vertical="center"/>
    </xf>
    <xf numFmtId="9" fontId="3" fillId="0" borderId="0" xfId="1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2" fillId="3" borderId="4" xfId="0" applyNumberFormat="1" applyFont="1" applyFill="1" applyBorder="1">
      <alignment vertical="center"/>
    </xf>
    <xf numFmtId="3" fontId="2" fillId="3" borderId="5" xfId="0" applyNumberFormat="1" applyFont="1" applyFill="1" applyBorder="1">
      <alignment vertical="center"/>
    </xf>
    <xf numFmtId="3" fontId="2" fillId="3" borderId="6" xfId="0" applyNumberFormat="1" applyFont="1" applyFill="1" applyBorder="1">
      <alignment vertical="center"/>
    </xf>
    <xf numFmtId="3" fontId="2" fillId="3" borderId="0" xfId="0" applyNumberFormat="1" applyFont="1" applyFill="1">
      <alignment vertical="center"/>
    </xf>
    <xf numFmtId="167" fontId="2" fillId="3" borderId="0" xfId="0" applyNumberFormat="1" applyFont="1" applyFill="1">
      <alignment vertical="center"/>
    </xf>
    <xf numFmtId="167" fontId="0" fillId="0" borderId="10" xfId="0" applyNumberFormat="1" applyBorder="1" applyAlignment="1">
      <alignment vertical="center" wrapText="1"/>
    </xf>
    <xf numFmtId="4" fontId="2" fillId="3" borderId="0" xfId="0" applyNumberFormat="1" applyFont="1" applyFill="1">
      <alignment vertical="center"/>
    </xf>
    <xf numFmtId="167" fontId="0" fillId="0" borderId="0" xfId="0" applyNumberFormat="1">
      <alignment vertical="center"/>
    </xf>
    <xf numFmtId="4" fontId="0" fillId="0" borderId="0" xfId="0" applyNumberFormat="1">
      <alignment vertical="center"/>
    </xf>
    <xf numFmtId="167" fontId="0" fillId="0" borderId="0" xfId="0" applyNumberFormat="1" applyAlignment="1">
      <alignment vertical="center" wrapText="1"/>
    </xf>
    <xf numFmtId="168" fontId="12" fillId="0" borderId="24" xfId="2" applyNumberFormat="1" applyFont="1" applyBorder="1" applyAlignment="1"/>
    <xf numFmtId="0" fontId="16" fillId="0" borderId="0" xfId="0" applyFont="1" applyAlignment="1">
      <alignment horizontal="left" vertical="center" wrapText="1"/>
    </xf>
    <xf numFmtId="171" fontId="14" fillId="0" borderId="13" xfId="1" applyNumberFormat="1" applyFont="1" applyBorder="1" applyAlignment="1">
      <alignment vertical="center"/>
    </xf>
    <xf numFmtId="171" fontId="14" fillId="0" borderId="13" xfId="2" applyNumberFormat="1" applyFont="1" applyBorder="1" applyAlignment="1">
      <alignment vertical="center"/>
    </xf>
    <xf numFmtId="171" fontId="15" fillId="0" borderId="18" xfId="1" applyNumberFormat="1" applyFont="1" applyBorder="1" applyAlignment="1">
      <alignment horizontal="right" vertical="center"/>
    </xf>
    <xf numFmtId="4" fontId="8" fillId="3" borderId="10" xfId="0" applyNumberFormat="1" applyFont="1" applyFill="1" applyBorder="1">
      <alignment vertical="center"/>
    </xf>
    <xf numFmtId="4" fontId="8" fillId="3" borderId="11" xfId="0" applyNumberFormat="1" applyFont="1" applyFill="1" applyBorder="1">
      <alignment vertical="center"/>
    </xf>
    <xf numFmtId="4" fontId="8" fillId="3" borderId="12" xfId="0" applyNumberFormat="1" applyFont="1" applyFill="1" applyBorder="1">
      <alignment vertical="center"/>
    </xf>
    <xf numFmtId="3" fontId="18" fillId="3" borderId="2" xfId="0" applyNumberFormat="1" applyFont="1" applyFill="1" applyBorder="1">
      <alignment vertical="center"/>
    </xf>
    <xf numFmtId="3" fontId="18" fillId="3" borderId="0" xfId="0" applyNumberFormat="1" applyFont="1" applyFill="1">
      <alignment vertical="center"/>
    </xf>
    <xf numFmtId="3" fontId="18" fillId="3" borderId="3" xfId="0" applyNumberFormat="1" applyFont="1" applyFill="1" applyBorder="1">
      <alignment vertical="center"/>
    </xf>
    <xf numFmtId="2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49" fontId="9" fillId="0" borderId="19" xfId="0" applyNumberFormat="1" applyFont="1" applyBorder="1" applyAlignment="1">
      <alignment horizontal="center" vertical="center" wrapText="1"/>
    </xf>
    <xf numFmtId="49" fontId="9" fillId="0" borderId="20" xfId="0" applyNumberFormat="1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179" fontId="11" fillId="0" borderId="0" xfId="2" applyNumberFormat="1" applyFont="1" applyAlignment="1"/>
    <xf numFmtId="0" fontId="0" fillId="0" borderId="13" xfId="0" applyBorder="1">
      <alignment vertical="center"/>
    </xf>
    <xf numFmtId="168" fontId="0" fillId="0" borderId="13" xfId="2" applyNumberFormat="1" applyFont="1" applyBorder="1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00FF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40"/>
  <sheetViews>
    <sheetView topLeftCell="C1" zoomScale="77" zoomScaleNormal="80" zoomScaleSheetLayoutView="90" workbookViewId="0">
      <selection activeCell="I2" sqref="I2"/>
    </sheetView>
  </sheetViews>
  <sheetFormatPr defaultColWidth="8.81640625" defaultRowHeight="14.5"/>
  <cols>
    <col min="1" max="1" width="1.453125" customWidth="1"/>
    <col min="2" max="2" width="56.6328125" customWidth="1"/>
    <col min="3" max="3" width="27.36328125" bestFit="1" customWidth="1"/>
    <col min="4" max="4" width="32.81640625" bestFit="1" customWidth="1"/>
    <col min="5" max="5" width="21.6328125" bestFit="1" customWidth="1"/>
    <col min="6" max="6" width="30.453125" bestFit="1" customWidth="1"/>
    <col min="7" max="7" width="19.6328125" customWidth="1"/>
    <col min="8" max="8" width="19.36328125" bestFit="1" customWidth="1"/>
    <col min="9" max="9" width="12.36328125" customWidth="1"/>
    <col min="10" max="11" width="19.36328125" bestFit="1" customWidth="1"/>
    <col min="12" max="12" width="28.1796875" bestFit="1" customWidth="1"/>
    <col min="13" max="13" width="19.81640625" bestFit="1" customWidth="1"/>
    <col min="14" max="14" width="23.6328125" bestFit="1" customWidth="1"/>
    <col min="15" max="16" width="5.36328125" bestFit="1" customWidth="1"/>
  </cols>
  <sheetData>
    <row r="2" spans="2:13">
      <c r="B2" s="6" t="s">
        <v>34</v>
      </c>
      <c r="C2" s="7"/>
      <c r="D2" s="7"/>
      <c r="E2" s="7"/>
      <c r="F2" s="7">
        <v>1</v>
      </c>
      <c r="G2" s="7" t="s">
        <v>0</v>
      </c>
      <c r="H2" s="7" t="s">
        <v>1</v>
      </c>
      <c r="I2" s="29">
        <f>1/0.87408</f>
        <v>1.1440600402709136</v>
      </c>
      <c r="J2" s="7" t="s">
        <v>2</v>
      </c>
    </row>
    <row r="3" spans="2:13">
      <c r="I3">
        <f>1/0.87408</f>
        <v>1.1440600402709136</v>
      </c>
    </row>
    <row r="4" spans="2:13">
      <c r="B4" s="16"/>
      <c r="C4" s="31"/>
      <c r="D4" s="31"/>
      <c r="E4" s="16"/>
      <c r="G4" s="32"/>
      <c r="H4" s="32"/>
      <c r="I4" s="32"/>
    </row>
    <row r="5" spans="2:13">
      <c r="B5" s="16"/>
      <c r="E5" s="16"/>
    </row>
    <row r="6" spans="2:13" ht="29">
      <c r="B6" s="18" t="s">
        <v>3</v>
      </c>
      <c r="C6" s="37">
        <v>17084745</v>
      </c>
      <c r="D6" s="31"/>
      <c r="E6" s="16"/>
    </row>
    <row r="7" spans="2:13">
      <c r="B7" s="16"/>
      <c r="C7" s="1"/>
      <c r="D7" s="17"/>
      <c r="E7" s="16"/>
      <c r="L7" t="s">
        <v>108</v>
      </c>
      <c r="M7" t="s">
        <v>107</v>
      </c>
    </row>
    <row r="8" spans="2:13" ht="29">
      <c r="B8" s="18" t="s">
        <v>4</v>
      </c>
      <c r="C8" s="44">
        <v>1</v>
      </c>
      <c r="D8" s="33"/>
      <c r="E8" s="16"/>
      <c r="K8" t="s">
        <v>105</v>
      </c>
      <c r="L8" s="1">
        <f>H26-G26</f>
        <v>136962345</v>
      </c>
      <c r="M8" s="1">
        <f>L26-K26</f>
        <v>157506336</v>
      </c>
    </row>
    <row r="9" spans="2:13" ht="29">
      <c r="B9" s="18" t="s">
        <v>35</v>
      </c>
      <c r="C9" s="34">
        <f>C6*C8</f>
        <v>17084745</v>
      </c>
      <c r="D9" s="34"/>
      <c r="E9" s="16"/>
      <c r="F9" s="1"/>
      <c r="K9" t="s">
        <v>106</v>
      </c>
      <c r="L9" s="1">
        <f>G26-F26</f>
        <v>136962345</v>
      </c>
      <c r="M9" s="1">
        <f>K26-J26</f>
        <v>157506336</v>
      </c>
    </row>
    <row r="10" spans="2:13" ht="29">
      <c r="B10" s="18" t="s">
        <v>5</v>
      </c>
      <c r="C10" s="86">
        <v>0.25</v>
      </c>
      <c r="D10" s="35"/>
      <c r="E10" s="16"/>
      <c r="G10" s="36"/>
      <c r="L10" t="s">
        <v>109</v>
      </c>
      <c r="M10" s="85"/>
    </row>
    <row r="11" spans="2:13" ht="29">
      <c r="B11" s="18" t="s">
        <v>6</v>
      </c>
      <c r="C11" s="37">
        <f>C6</f>
        <v>17084745</v>
      </c>
      <c r="D11" t="s">
        <v>104</v>
      </c>
      <c r="E11" t="s">
        <v>103</v>
      </c>
      <c r="F11" s="36"/>
      <c r="G11" s="2" t="s">
        <v>102</v>
      </c>
      <c r="K11" t="s">
        <v>110</v>
      </c>
      <c r="L11" s="1">
        <f>L26-H26</f>
        <v>230092699.20000005</v>
      </c>
    </row>
    <row r="12" spans="2:13" ht="29">
      <c r="B12" s="18" t="s">
        <v>7</v>
      </c>
      <c r="C12" s="37">
        <f>FLOOR(C10*C9/(1-C10),20)</f>
        <v>5694900</v>
      </c>
      <c r="D12" s="43">
        <f>C12/C13</f>
        <v>0.24999950613804561</v>
      </c>
      <c r="E12" s="1">
        <v>5694915</v>
      </c>
      <c r="G12" s="87" t="s">
        <v>100</v>
      </c>
      <c r="H12" s="88">
        <f>CEILING(ROUND(I12*C12,0),20)</f>
        <v>569500</v>
      </c>
      <c r="I12" s="89">
        <v>0.1</v>
      </c>
      <c r="K12" s="103" t="s">
        <v>112</v>
      </c>
      <c r="L12" s="1">
        <f>K26-G26</f>
        <v>209548708.20000005</v>
      </c>
    </row>
    <row r="13" spans="2:13" ht="29">
      <c r="B13" s="18" t="s">
        <v>8</v>
      </c>
      <c r="C13" s="45">
        <f>C12+C9</f>
        <v>22779645</v>
      </c>
      <c r="D13" s="38">
        <f>SUM(C12+C9)</f>
        <v>22779645</v>
      </c>
      <c r="G13" s="88" t="s">
        <v>101</v>
      </c>
      <c r="H13" s="88">
        <f>FLOOR(ROUND(I13*C12,0),20)</f>
        <v>5125400</v>
      </c>
      <c r="I13" s="89">
        <v>0.9</v>
      </c>
      <c r="K13" t="s">
        <v>111</v>
      </c>
      <c r="L13" s="1">
        <f>J26-F26</f>
        <v>189004717.20000005</v>
      </c>
    </row>
    <row r="14" spans="2:13" ht="29">
      <c r="B14" s="18" t="s">
        <v>9</v>
      </c>
      <c r="C14" s="1">
        <f>FLOOR(C12*D14,20)</f>
        <v>854220</v>
      </c>
      <c r="D14" s="39">
        <v>0.15</v>
      </c>
      <c r="E14" s="16"/>
      <c r="F14" s="1"/>
      <c r="G14" s="1"/>
      <c r="H14" s="1"/>
    </row>
    <row r="15" spans="2:13" ht="29">
      <c r="B15" s="18" t="s">
        <v>10</v>
      </c>
      <c r="C15" s="1">
        <f>C12+C14</f>
        <v>6549120</v>
      </c>
      <c r="D15" s="17"/>
      <c r="E15" s="16"/>
      <c r="G15" s="1"/>
      <c r="H15" s="1"/>
      <c r="I15" s="1"/>
    </row>
    <row r="16" spans="2:13" ht="29">
      <c r="B16" s="18" t="s">
        <v>11</v>
      </c>
      <c r="C16" s="1">
        <f>C13+C14</f>
        <v>23633865</v>
      </c>
      <c r="D16" s="17"/>
      <c r="E16" s="16"/>
      <c r="G16" s="114"/>
      <c r="H16" s="114"/>
      <c r="I16" s="114"/>
      <c r="K16" s="114"/>
      <c r="L16" s="114"/>
    </row>
    <row r="17" spans="2:15" ht="15" thickBot="1">
      <c r="B17" s="3"/>
      <c r="C17" s="1"/>
      <c r="F17" s="8"/>
      <c r="G17" s="8"/>
      <c r="H17" s="8"/>
      <c r="J17" s="8"/>
      <c r="K17" s="8"/>
      <c r="L17" s="8"/>
    </row>
    <row r="18" spans="2:15">
      <c r="B18" s="3"/>
      <c r="C18" s="1"/>
      <c r="F18" s="117" t="s">
        <v>12</v>
      </c>
      <c r="G18" s="118"/>
      <c r="H18" s="119"/>
      <c r="J18" s="117" t="s">
        <v>13</v>
      </c>
      <c r="K18" s="118"/>
      <c r="L18" s="119"/>
    </row>
    <row r="19" spans="2:15">
      <c r="B19" s="3"/>
      <c r="C19" s="1"/>
      <c r="F19" s="115" t="s">
        <v>14</v>
      </c>
      <c r="G19" s="114"/>
      <c r="H19" s="116"/>
      <c r="J19" s="115" t="s">
        <v>14</v>
      </c>
      <c r="K19" s="114"/>
      <c r="L19" s="116"/>
    </row>
    <row r="20" spans="2:15" ht="58">
      <c r="B20" s="40"/>
      <c r="C20" s="9" t="s">
        <v>15</v>
      </c>
      <c r="D20" s="9" t="str">
        <f>B12</f>
        <v>H Shares to be issued under Global Offering (before OAO)
根据全球发售发行的H股（假设超额配售股权未获行使）</v>
      </c>
      <c r="E20" s="12" t="s">
        <v>16</v>
      </c>
      <c r="F20" s="90" t="s">
        <v>17</v>
      </c>
      <c r="G20" s="12" t="s">
        <v>18</v>
      </c>
      <c r="H20" s="91" t="s">
        <v>19</v>
      </c>
      <c r="J20" s="90" t="s">
        <v>17</v>
      </c>
      <c r="K20" s="12" t="s">
        <v>18</v>
      </c>
      <c r="L20" s="91" t="s">
        <v>19</v>
      </c>
      <c r="M20" s="12" t="s">
        <v>20</v>
      </c>
      <c r="N20" s="12" t="s">
        <v>21</v>
      </c>
    </row>
    <row r="21" spans="2:15" ht="29">
      <c r="B21" s="3" t="s">
        <v>22</v>
      </c>
      <c r="C21" s="1">
        <f>C9</f>
        <v>17084745</v>
      </c>
      <c r="D21" s="1">
        <f>C12</f>
        <v>5694900</v>
      </c>
      <c r="E21" s="99">
        <f>C8</f>
        <v>1</v>
      </c>
      <c r="F21" s="23">
        <f>ROUND(F28/$C$13,2)</f>
        <v>193.4</v>
      </c>
      <c r="G21" s="98">
        <f>ROUND(G28/$C$13,2)</f>
        <v>214.42</v>
      </c>
      <c r="H21" s="24">
        <f>ROUND(H28/$C$13,2)</f>
        <v>235.44</v>
      </c>
      <c r="I21" s="100"/>
      <c r="J21" s="23">
        <f>F21</f>
        <v>193.4</v>
      </c>
      <c r="K21" s="98">
        <f>G21</f>
        <v>214.42</v>
      </c>
      <c r="L21" s="24">
        <f>H21</f>
        <v>235.44</v>
      </c>
      <c r="M21" s="22">
        <f>(H28-F28)/F28</f>
        <v>0.2173913043478263</v>
      </c>
      <c r="N21" s="19">
        <v>0.3</v>
      </c>
      <c r="O21" t="b">
        <f>M21&lt;N21</f>
        <v>1</v>
      </c>
    </row>
    <row r="22" spans="2:15" ht="15" thickBot="1">
      <c r="C22" s="1"/>
      <c r="D22" s="1"/>
      <c r="E22" s="99"/>
      <c r="F22" s="23"/>
      <c r="G22" s="98"/>
      <c r="H22" s="24"/>
      <c r="I22" s="100"/>
      <c r="J22" s="23"/>
      <c r="K22" s="98"/>
      <c r="L22" s="24"/>
      <c r="M22" s="22"/>
      <c r="N22" s="19"/>
    </row>
    <row r="23" spans="2:15" ht="29.5" thickBot="1">
      <c r="C23" s="1"/>
      <c r="D23" s="1"/>
      <c r="E23" s="97" t="s">
        <v>23</v>
      </c>
      <c r="F23" s="107">
        <v>221.26</v>
      </c>
      <c r="G23" s="108">
        <v>245.31</v>
      </c>
      <c r="H23" s="109">
        <v>269.36</v>
      </c>
      <c r="I23" s="28"/>
      <c r="J23" s="25">
        <f>F23</f>
        <v>221.26</v>
      </c>
      <c r="K23" s="26">
        <f t="shared" ref="K23:L23" si="0">G23</f>
        <v>245.31</v>
      </c>
      <c r="L23" s="27">
        <f t="shared" si="0"/>
        <v>269.36</v>
      </c>
      <c r="M23" s="22"/>
      <c r="N23" s="19"/>
    </row>
    <row r="24" spans="2:15">
      <c r="C24" s="1"/>
      <c r="D24" s="1"/>
      <c r="E24" s="99"/>
      <c r="F24" s="20"/>
      <c r="G24" s="96"/>
      <c r="H24" s="21"/>
      <c r="J24" s="20"/>
      <c r="K24" s="96"/>
      <c r="L24" s="21"/>
      <c r="M24" s="22"/>
      <c r="N24" s="19"/>
    </row>
    <row r="25" spans="2:15" ht="29">
      <c r="C25" s="1"/>
      <c r="D25" s="1"/>
      <c r="E25" s="101" t="s">
        <v>24</v>
      </c>
      <c r="F25" s="13">
        <f>F23*$C$13</f>
        <v>5040224252.6999998</v>
      </c>
      <c r="G25" s="95">
        <f>G23*$C$13</f>
        <v>5588074714.9499998</v>
      </c>
      <c r="H25" s="14">
        <f>H23*$C$13</f>
        <v>6135925177.2000008</v>
      </c>
      <c r="J25" s="13">
        <f>J23*C16</f>
        <v>5229228969.8999996</v>
      </c>
      <c r="K25" s="95">
        <f>K23*C16</f>
        <v>5797623423.1499996</v>
      </c>
      <c r="L25" s="14">
        <f>L23*C16</f>
        <v>6366017876.4000006</v>
      </c>
      <c r="M25" s="22"/>
      <c r="N25" s="19"/>
    </row>
    <row r="26" spans="2:15" ht="29">
      <c r="C26" s="1"/>
      <c r="D26" s="1"/>
      <c r="E26" s="101" t="s">
        <v>25</v>
      </c>
      <c r="F26" s="13">
        <f>F23*$C$12</f>
        <v>1260053574</v>
      </c>
      <c r="G26" s="95">
        <f>G23*$C$12</f>
        <v>1397015919</v>
      </c>
      <c r="H26" s="14">
        <f>H23*$C$12</f>
        <v>1533978264</v>
      </c>
      <c r="J26" s="13">
        <f>J23*C15</f>
        <v>1449058291.2</v>
      </c>
      <c r="K26" s="95">
        <f>K23*C15</f>
        <v>1606564627.2</v>
      </c>
      <c r="L26" s="14">
        <f>L23*C15</f>
        <v>1764070963.2</v>
      </c>
      <c r="M26" s="70"/>
      <c r="N26" s="19"/>
    </row>
    <row r="27" spans="2:15">
      <c r="C27" s="1"/>
      <c r="D27" s="1"/>
      <c r="E27" s="99"/>
      <c r="F27" s="20"/>
      <c r="G27" s="96"/>
      <c r="H27" s="21"/>
      <c r="J27" s="20"/>
      <c r="K27" s="96"/>
      <c r="L27" s="21"/>
      <c r="M27" s="22"/>
      <c r="N27" s="19"/>
    </row>
    <row r="28" spans="2:15" ht="29">
      <c r="C28" s="1"/>
      <c r="D28" s="1"/>
      <c r="E28" s="101" t="s">
        <v>26</v>
      </c>
      <c r="F28" s="110">
        <f t="shared" ref="F28:H29" si="1">F25/$I$2</f>
        <v>4405559214.8000154</v>
      </c>
      <c r="G28" s="111">
        <f t="shared" si="1"/>
        <v>4884424346.8434954</v>
      </c>
      <c r="H28" s="112">
        <f t="shared" si="1"/>
        <v>5363289478.8869762</v>
      </c>
      <c r="J28" s="13">
        <f>J21*$C$16</f>
        <v>4570789491</v>
      </c>
      <c r="K28" s="95">
        <f>K21*C16</f>
        <v>5067573333.2999992</v>
      </c>
      <c r="L28" s="14">
        <f>L21*C16</f>
        <v>5564357175.6000004</v>
      </c>
    </row>
    <row r="29" spans="2:15" ht="29.5" thickBot="1">
      <c r="C29" s="1"/>
      <c r="D29" s="1"/>
      <c r="E29" s="101" t="s">
        <v>27</v>
      </c>
      <c r="F29" s="92">
        <f t="shared" si="1"/>
        <v>1101387627.9619198</v>
      </c>
      <c r="G29" s="93">
        <f t="shared" si="1"/>
        <v>1221103674.4795198</v>
      </c>
      <c r="H29" s="94">
        <f t="shared" si="1"/>
        <v>1340819720.9971199</v>
      </c>
      <c r="J29" s="92">
        <f>J21*$C$15</f>
        <v>1266599808</v>
      </c>
      <c r="K29" s="93">
        <f>K21*$C$15</f>
        <v>1404262310.3999999</v>
      </c>
      <c r="L29" s="94">
        <f>L21*$C$15</f>
        <v>1541924812.8</v>
      </c>
    </row>
    <row r="30" spans="2:15">
      <c r="E30" s="1"/>
    </row>
    <row r="31" spans="2:15">
      <c r="F31" s="1"/>
    </row>
    <row r="32" spans="2:15" ht="58">
      <c r="B32" s="10"/>
      <c r="C32" s="9" t="str">
        <f>C20</f>
        <v>Shares in issue  
before Global Offering
全球公开发售发行前的内资股股数</v>
      </c>
      <c r="D32" s="9" t="s">
        <v>29</v>
      </c>
      <c r="E32" s="9" t="s">
        <v>28</v>
      </c>
      <c r="F32" s="9" t="s">
        <v>30</v>
      </c>
      <c r="G32" s="9" t="s">
        <v>28</v>
      </c>
    </row>
    <row r="33" spans="2:7" ht="29">
      <c r="B33" s="3" t="s">
        <v>36</v>
      </c>
      <c r="C33" s="1">
        <f>C6</f>
        <v>17084745</v>
      </c>
      <c r="D33" s="1">
        <f>C33</f>
        <v>17084745</v>
      </c>
      <c r="E33" s="5">
        <f>D33/$D$36</f>
        <v>0.75000049386195444</v>
      </c>
      <c r="F33" s="1">
        <f>D33</f>
        <v>17084745</v>
      </c>
      <c r="G33" s="15">
        <f>F33/F36</f>
        <v>0.72289255269927288</v>
      </c>
    </row>
    <row r="34" spans="2:7" ht="29">
      <c r="B34" s="3" t="s">
        <v>31</v>
      </c>
      <c r="C34" s="1">
        <v>0</v>
      </c>
      <c r="D34" s="1">
        <f>C12</f>
        <v>5694900</v>
      </c>
      <c r="E34" s="5">
        <f>D34/$D$36</f>
        <v>0.24999950613804561</v>
      </c>
      <c r="F34" s="1">
        <f>C15</f>
        <v>6549120</v>
      </c>
      <c r="G34" s="15">
        <f>F34/F36</f>
        <v>0.27710744730072717</v>
      </c>
    </row>
    <row r="35" spans="2:7">
      <c r="C35" s="1"/>
      <c r="D35" s="1"/>
      <c r="E35" s="5"/>
      <c r="G35" s="15"/>
    </row>
    <row r="36" spans="2:7">
      <c r="B36" s="2" t="s">
        <v>32</v>
      </c>
      <c r="C36" s="4">
        <f>SUM(C33:C34)</f>
        <v>17084745</v>
      </c>
      <c r="D36" s="4">
        <f>SUM(D33:D34)</f>
        <v>22779645</v>
      </c>
      <c r="E36" s="11">
        <f>SUM(E33:E34)</f>
        <v>1</v>
      </c>
      <c r="F36" s="4">
        <f>SUM(F33:F34)</f>
        <v>23633865</v>
      </c>
      <c r="G36" s="30">
        <f>SUM(G33:G34)</f>
        <v>1</v>
      </c>
    </row>
    <row r="38" spans="2:7" ht="29">
      <c r="B38" s="3" t="s">
        <v>33</v>
      </c>
      <c r="C38" s="41">
        <v>20</v>
      </c>
      <c r="D38" s="34"/>
      <c r="G38" s="34"/>
    </row>
    <row r="39" spans="2:7">
      <c r="G39" s="1"/>
    </row>
    <row r="40" spans="2:7">
      <c r="B40" t="s">
        <v>53</v>
      </c>
      <c r="C40" s="42">
        <f>C38*H23</f>
        <v>5387.2000000000007</v>
      </c>
      <c r="D40" s="42" t="s">
        <v>2</v>
      </c>
      <c r="G40" s="42"/>
    </row>
  </sheetData>
  <mergeCells count="6">
    <mergeCell ref="G16:I16"/>
    <mergeCell ref="K16:L16"/>
    <mergeCell ref="F19:H19"/>
    <mergeCell ref="J19:L19"/>
    <mergeCell ref="F18:H18"/>
    <mergeCell ref="J18:L18"/>
  </mergeCells>
  <phoneticPr fontId="1" type="noConversion"/>
  <pageMargins left="0.7" right="0.7" top="0.75" bottom="0.75" header="0.3" footer="0.3"/>
  <pageSetup paperSize="9" scale="3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5065-ECC2-9241-A211-D3A7D558F95F}">
  <dimension ref="A1:H23"/>
  <sheetViews>
    <sheetView zoomScale="110" zoomScaleNormal="110" workbookViewId="0">
      <selection activeCell="E31" sqref="E31"/>
    </sheetView>
  </sheetViews>
  <sheetFormatPr defaultColWidth="33.81640625" defaultRowHeight="14.5"/>
  <cols>
    <col min="1" max="1" width="5.08984375" style="71" bestFit="1" customWidth="1"/>
    <col min="2" max="2" width="13.6328125" bestFit="1" customWidth="1"/>
    <col min="3" max="3" width="11.08984375" bestFit="1" customWidth="1"/>
    <col min="4" max="4" width="14.6328125" customWidth="1"/>
    <col min="5" max="8" width="15.6328125" customWidth="1"/>
  </cols>
  <sheetData>
    <row r="1" spans="1:8" ht="31" customHeight="1">
      <c r="A1" s="122" t="s">
        <v>38</v>
      </c>
      <c r="B1" s="120" t="s">
        <v>99</v>
      </c>
      <c r="C1" s="120" t="s">
        <v>77</v>
      </c>
      <c r="D1" s="120"/>
      <c r="E1" s="120" t="s">
        <v>74</v>
      </c>
      <c r="F1" s="120"/>
      <c r="G1" s="120" t="s">
        <v>75</v>
      </c>
      <c r="H1" s="121"/>
    </row>
    <row r="2" spans="1:8" s="71" customFormat="1" ht="30">
      <c r="A2" s="123"/>
      <c r="B2" s="124"/>
      <c r="C2" s="72" t="s">
        <v>88</v>
      </c>
      <c r="D2" s="72" t="s">
        <v>76</v>
      </c>
      <c r="E2" s="72" t="s">
        <v>88</v>
      </c>
      <c r="F2" s="72" t="s">
        <v>76</v>
      </c>
      <c r="G2" s="72" t="s">
        <v>88</v>
      </c>
      <c r="H2" s="73" t="s">
        <v>76</v>
      </c>
    </row>
    <row r="3" spans="1:8" ht="15.5">
      <c r="A3" s="74">
        <v>1</v>
      </c>
      <c r="B3" s="75" t="s">
        <v>78</v>
      </c>
      <c r="C3" s="76">
        <v>4533683</v>
      </c>
      <c r="D3" s="104">
        <f>C3/$C$23</f>
        <v>0.26536439379106919</v>
      </c>
      <c r="E3" s="78">
        <f>C3</f>
        <v>4533683</v>
      </c>
      <c r="F3" s="77">
        <f t="shared" ref="F3:F22" si="0">E3/$E$23</f>
        <v>0.19902342639668003</v>
      </c>
      <c r="G3" s="78">
        <f>C3</f>
        <v>4533683</v>
      </c>
      <c r="H3" s="79">
        <f t="shared" ref="H3:H22" si="1">G3/$G$23</f>
        <v>0.19182994402312106</v>
      </c>
    </row>
    <row r="4" spans="1:8" ht="15.5">
      <c r="A4" s="74">
        <v>2</v>
      </c>
      <c r="B4" s="75" t="s">
        <v>90</v>
      </c>
      <c r="C4" s="76">
        <v>2834130</v>
      </c>
      <c r="D4" s="104">
        <f t="shared" ref="D4:D22" si="2">C4/$C$23</f>
        <v>0.16588658478660348</v>
      </c>
      <c r="E4" s="78">
        <f t="shared" ref="E4:E21" si="3">C4</f>
        <v>2834130</v>
      </c>
      <c r="F4" s="77">
        <f t="shared" si="0"/>
        <v>0.12441502051502558</v>
      </c>
      <c r="G4" s="78">
        <f t="shared" ref="G4:G21" si="4">C4</f>
        <v>2834130</v>
      </c>
      <c r="H4" s="79">
        <f t="shared" si="1"/>
        <v>0.11991817673495216</v>
      </c>
    </row>
    <row r="5" spans="1:8" ht="15.5">
      <c r="A5" s="74">
        <v>3</v>
      </c>
      <c r="B5" s="75" t="s">
        <v>79</v>
      </c>
      <c r="C5" s="76">
        <v>1756039</v>
      </c>
      <c r="D5" s="104">
        <f t="shared" si="2"/>
        <v>0.10278403335841418</v>
      </c>
      <c r="E5" s="78">
        <f t="shared" si="3"/>
        <v>1756039</v>
      </c>
      <c r="F5" s="77">
        <f t="shared" si="0"/>
        <v>7.7088075779934234E-2</v>
      </c>
      <c r="G5" s="78">
        <f t="shared" si="4"/>
        <v>1756039</v>
      </c>
      <c r="H5" s="79">
        <f t="shared" si="1"/>
        <v>7.4301812251191243E-2</v>
      </c>
    </row>
    <row r="6" spans="1:8" ht="15.5">
      <c r="A6" s="74">
        <v>4</v>
      </c>
      <c r="B6" s="75" t="s">
        <v>91</v>
      </c>
      <c r="C6" s="76">
        <v>1150757</v>
      </c>
      <c r="D6" s="104">
        <f t="shared" si="2"/>
        <v>6.7355819475210188E-2</v>
      </c>
      <c r="E6" s="78">
        <f>C6</f>
        <v>1150757</v>
      </c>
      <c r="F6" s="77">
        <f t="shared" si="0"/>
        <v>5.0516897870884293E-2</v>
      </c>
      <c r="G6" s="78">
        <f>C6</f>
        <v>1150757</v>
      </c>
      <c r="H6" s="79">
        <f t="shared" si="1"/>
        <v>4.8691020279586092E-2</v>
      </c>
    </row>
    <row r="7" spans="1:8" ht="15.5">
      <c r="A7" s="74">
        <v>5</v>
      </c>
      <c r="B7" s="75" t="s">
        <v>92</v>
      </c>
      <c r="C7" s="76">
        <v>1084746</v>
      </c>
      <c r="D7" s="104">
        <f t="shared" si="2"/>
        <v>6.3492080215420243E-2</v>
      </c>
      <c r="E7" s="78">
        <f t="shared" si="3"/>
        <v>1084746</v>
      </c>
      <c r="F7" s="77">
        <f t="shared" si="0"/>
        <v>4.7619091517888013E-2</v>
      </c>
      <c r="G7" s="78">
        <f t="shared" si="4"/>
        <v>1084746</v>
      </c>
      <c r="H7" s="79">
        <f t="shared" si="1"/>
        <v>4.5897951943112143E-2</v>
      </c>
    </row>
    <row r="8" spans="1:8" ht="15.5">
      <c r="A8" s="74">
        <v>6</v>
      </c>
      <c r="B8" s="75" t="s">
        <v>93</v>
      </c>
      <c r="C8" s="76">
        <v>1006719</v>
      </c>
      <c r="D8" s="104">
        <f t="shared" si="2"/>
        <v>5.892502346391474E-2</v>
      </c>
      <c r="E8" s="78">
        <f t="shared" si="3"/>
        <v>1006719</v>
      </c>
      <c r="F8" s="77">
        <f t="shared" si="0"/>
        <v>4.4193796698763305E-2</v>
      </c>
      <c r="G8" s="78">
        <f t="shared" si="4"/>
        <v>1006719</v>
      </c>
      <c r="H8" s="79">
        <f t="shared" si="1"/>
        <v>4.2596460629693876E-2</v>
      </c>
    </row>
    <row r="9" spans="1:8" ht="15.5">
      <c r="A9" s="74">
        <v>7</v>
      </c>
      <c r="B9" s="75" t="s">
        <v>94</v>
      </c>
      <c r="C9" s="76">
        <v>744754</v>
      </c>
      <c r="D9" s="104">
        <f t="shared" si="2"/>
        <v>4.3591753930187424E-2</v>
      </c>
      <c r="E9" s="78">
        <f t="shared" si="3"/>
        <v>744754</v>
      </c>
      <c r="F9" s="77">
        <f t="shared" si="0"/>
        <v>3.269383697594936E-2</v>
      </c>
      <c r="G9" s="78">
        <f t="shared" si="4"/>
        <v>744754</v>
      </c>
      <c r="H9" s="79">
        <f t="shared" si="1"/>
        <v>3.1512154275231748E-2</v>
      </c>
    </row>
    <row r="10" spans="1:8" ht="15.5">
      <c r="A10" s="74">
        <v>8</v>
      </c>
      <c r="B10" s="75" t="s">
        <v>80</v>
      </c>
      <c r="C10" s="76">
        <v>744754</v>
      </c>
      <c r="D10" s="104">
        <f t="shared" si="2"/>
        <v>4.3591753930187424E-2</v>
      </c>
      <c r="E10" s="78">
        <f t="shared" si="3"/>
        <v>744754</v>
      </c>
      <c r="F10" s="77">
        <f t="shared" si="0"/>
        <v>3.269383697594936E-2</v>
      </c>
      <c r="G10" s="78">
        <f t="shared" si="4"/>
        <v>744754</v>
      </c>
      <c r="H10" s="79">
        <f t="shared" si="1"/>
        <v>3.1512154275231748E-2</v>
      </c>
    </row>
    <row r="11" spans="1:8" ht="15.5">
      <c r="A11" s="74">
        <v>9</v>
      </c>
      <c r="B11" s="75" t="s">
        <v>95</v>
      </c>
      <c r="C11" s="76">
        <v>593730</v>
      </c>
      <c r="D11" s="104">
        <f t="shared" si="2"/>
        <v>3.4752055122859601E-2</v>
      </c>
      <c r="E11" s="78">
        <f>C11</f>
        <v>593730</v>
      </c>
      <c r="F11" s="77">
        <f t="shared" si="0"/>
        <v>2.6064058504862566E-2</v>
      </c>
      <c r="G11" s="78">
        <f>C11</f>
        <v>593730</v>
      </c>
      <c r="H11" s="79">
        <f t="shared" si="1"/>
        <v>2.5122001839309821E-2</v>
      </c>
    </row>
    <row r="12" spans="1:8" ht="15.5">
      <c r="A12" s="74">
        <v>10</v>
      </c>
      <c r="B12" s="75" t="s">
        <v>82</v>
      </c>
      <c r="C12" s="76">
        <v>572749</v>
      </c>
      <c r="D12" s="104">
        <f t="shared" si="2"/>
        <v>3.3524000504543676E-2</v>
      </c>
      <c r="E12" s="78">
        <f>C12</f>
        <v>572749</v>
      </c>
      <c r="F12" s="77">
        <f t="shared" si="0"/>
        <v>2.5143016934636164E-2</v>
      </c>
      <c r="G12" s="78">
        <f>C12</f>
        <v>572749</v>
      </c>
      <c r="H12" s="79">
        <f t="shared" si="1"/>
        <v>2.4234250301421286E-2</v>
      </c>
    </row>
    <row r="13" spans="1:8" ht="15.5">
      <c r="A13" s="74">
        <v>11</v>
      </c>
      <c r="B13" s="75" t="s">
        <v>96</v>
      </c>
      <c r="C13" s="76">
        <v>508247</v>
      </c>
      <c r="D13" s="104">
        <f t="shared" si="2"/>
        <v>2.9748585653458684E-2</v>
      </c>
      <c r="E13" s="78">
        <f>C13</f>
        <v>508247</v>
      </c>
      <c r="F13" s="77">
        <f t="shared" si="0"/>
        <v>2.2311453931788666E-2</v>
      </c>
      <c r="G13" s="78">
        <f>C13</f>
        <v>508247</v>
      </c>
      <c r="H13" s="79">
        <f t="shared" si="1"/>
        <v>2.1505031022221715E-2</v>
      </c>
    </row>
    <row r="14" spans="1:8" ht="15.5">
      <c r="A14" s="74">
        <v>12</v>
      </c>
      <c r="B14" s="75" t="s">
        <v>81</v>
      </c>
      <c r="C14" s="76">
        <v>351539</v>
      </c>
      <c r="D14" s="104">
        <f t="shared" si="2"/>
        <v>2.0576192386833985E-2</v>
      </c>
      <c r="E14" s="78">
        <f t="shared" si="3"/>
        <v>351539</v>
      </c>
      <c r="F14" s="77">
        <f t="shared" si="0"/>
        <v>1.5432154451924075E-2</v>
      </c>
      <c r="G14" s="78">
        <f t="shared" si="4"/>
        <v>351539</v>
      </c>
      <c r="H14" s="79">
        <f t="shared" si="1"/>
        <v>1.4874376239349764E-2</v>
      </c>
    </row>
    <row r="15" spans="1:8" ht="15.5">
      <c r="A15" s="74">
        <v>13</v>
      </c>
      <c r="B15" s="75" t="s">
        <v>83</v>
      </c>
      <c r="C15" s="76">
        <v>317983</v>
      </c>
      <c r="D15" s="104">
        <f t="shared" si="2"/>
        <v>1.8612101029310067E-2</v>
      </c>
      <c r="E15" s="78">
        <f t="shared" si="3"/>
        <v>317983</v>
      </c>
      <c r="F15" s="77">
        <f t="shared" si="0"/>
        <v>1.3959084963791139E-2</v>
      </c>
      <c r="G15" s="78">
        <f t="shared" si="4"/>
        <v>317983</v>
      </c>
      <c r="H15" s="79">
        <f t="shared" si="1"/>
        <v>1.3454549224174717E-2</v>
      </c>
    </row>
    <row r="16" spans="1:8" ht="15.5">
      <c r="A16" s="74">
        <v>14</v>
      </c>
      <c r="B16" s="75" t="s">
        <v>84</v>
      </c>
      <c r="C16" s="76">
        <v>224788</v>
      </c>
      <c r="D16" s="104">
        <f t="shared" si="2"/>
        <v>1.3157234714360677E-2</v>
      </c>
      <c r="E16" s="78">
        <f t="shared" si="3"/>
        <v>224788</v>
      </c>
      <c r="F16" s="77">
        <f t="shared" si="0"/>
        <v>9.8679325336281584E-3</v>
      </c>
      <c r="G16" s="78">
        <f t="shared" si="4"/>
        <v>224788</v>
      </c>
      <c r="H16" s="79">
        <f t="shared" si="1"/>
        <v>9.5112669891276782E-3</v>
      </c>
    </row>
    <row r="17" spans="1:8" ht="15.5">
      <c r="A17" s="74">
        <v>15</v>
      </c>
      <c r="B17" s="75" t="s">
        <v>97</v>
      </c>
      <c r="C17" s="76">
        <v>213545</v>
      </c>
      <c r="D17" s="104">
        <f t="shared" si="2"/>
        <v>1.2499162264347522E-2</v>
      </c>
      <c r="E17" s="78">
        <f>C17</f>
        <v>213545</v>
      </c>
      <c r="F17" s="77">
        <f t="shared" si="0"/>
        <v>9.3743778711213449E-3</v>
      </c>
      <c r="G17" s="78">
        <f>C17</f>
        <v>213545</v>
      </c>
      <c r="H17" s="79">
        <f t="shared" si="1"/>
        <v>9.0355513158766037E-3</v>
      </c>
    </row>
    <row r="18" spans="1:8" ht="15.5">
      <c r="A18" s="74">
        <v>16</v>
      </c>
      <c r="B18" s="75" t="s">
        <v>85</v>
      </c>
      <c r="C18" s="76">
        <v>175983</v>
      </c>
      <c r="D18" s="104">
        <f t="shared" si="2"/>
        <v>1.0300592721752651E-2</v>
      </c>
      <c r="E18" s="78">
        <f t="shared" si="3"/>
        <v>175983</v>
      </c>
      <c r="F18" s="77">
        <f t="shared" si="0"/>
        <v>7.7254496283853417E-3</v>
      </c>
      <c r="G18" s="78">
        <f t="shared" si="4"/>
        <v>175983</v>
      </c>
      <c r="H18" s="79">
        <f t="shared" si="1"/>
        <v>7.4462217669433251E-3</v>
      </c>
    </row>
    <row r="19" spans="1:8" ht="15.5">
      <c r="A19" s="74">
        <v>17</v>
      </c>
      <c r="B19" s="75" t="s">
        <v>98</v>
      </c>
      <c r="C19" s="76">
        <v>164916</v>
      </c>
      <c r="D19" s="104">
        <f t="shared" si="2"/>
        <v>9.6528218595009763E-3</v>
      </c>
      <c r="E19" s="78">
        <f t="shared" si="3"/>
        <v>164916</v>
      </c>
      <c r="F19" s="77">
        <f t="shared" si="0"/>
        <v>7.2396211617872007E-3</v>
      </c>
      <c r="G19" s="78">
        <f t="shared" si="4"/>
        <v>164916</v>
      </c>
      <c r="H19" s="79">
        <f t="shared" si="1"/>
        <v>6.977953034766002E-3</v>
      </c>
    </row>
    <row r="20" spans="1:8" ht="15.5">
      <c r="A20" s="74">
        <v>18</v>
      </c>
      <c r="B20" s="75" t="s">
        <v>86</v>
      </c>
      <c r="C20" s="76">
        <v>94841</v>
      </c>
      <c r="D20" s="104">
        <f t="shared" si="2"/>
        <v>5.5512095732186814E-3</v>
      </c>
      <c r="E20" s="78">
        <f t="shared" si="3"/>
        <v>94841</v>
      </c>
      <c r="F20" s="77">
        <f t="shared" si="0"/>
        <v>4.1634099214452203E-3</v>
      </c>
      <c r="G20" s="78">
        <f t="shared" si="4"/>
        <v>94841</v>
      </c>
      <c r="H20" s="79">
        <f t="shared" si="1"/>
        <v>4.0129280589526932E-3</v>
      </c>
    </row>
    <row r="21" spans="1:8" ht="15.5">
      <c r="A21" s="74">
        <v>19</v>
      </c>
      <c r="B21" s="75" t="s">
        <v>87</v>
      </c>
      <c r="C21" s="76">
        <v>10842</v>
      </c>
      <c r="D21" s="104">
        <f t="shared" si="2"/>
        <v>6.3460121880660201E-4</v>
      </c>
      <c r="E21" s="78">
        <f t="shared" si="3"/>
        <v>10842</v>
      </c>
      <c r="F21" s="77">
        <f t="shared" si="0"/>
        <v>4.7595122751034971E-4</v>
      </c>
      <c r="G21" s="78">
        <f t="shared" si="4"/>
        <v>10842</v>
      </c>
      <c r="H21" s="79">
        <f t="shared" si="1"/>
        <v>4.5874849500917431E-4</v>
      </c>
    </row>
    <row r="22" spans="1:8" ht="15.5">
      <c r="A22" s="74">
        <v>20</v>
      </c>
      <c r="B22" s="75" t="s">
        <v>89</v>
      </c>
      <c r="C22" s="80">
        <v>0</v>
      </c>
      <c r="D22" s="105">
        <f t="shared" si="2"/>
        <v>0</v>
      </c>
      <c r="E22" s="78">
        <f>Stats!C12</f>
        <v>5694900</v>
      </c>
      <c r="F22" s="77">
        <f t="shared" si="0"/>
        <v>0.24999950613804561</v>
      </c>
      <c r="G22" s="78">
        <f>Stats!C15</f>
        <v>6549120</v>
      </c>
      <c r="H22" s="79">
        <f t="shared" si="1"/>
        <v>0.27710744730072717</v>
      </c>
    </row>
    <row r="23" spans="1:8" ht="16" thickBot="1">
      <c r="A23" s="81"/>
      <c r="B23" s="82" t="s">
        <v>66</v>
      </c>
      <c r="C23" s="83">
        <f>SUM(C3:C22)</f>
        <v>17084745</v>
      </c>
      <c r="D23" s="106">
        <f t="shared" ref="D23:H23" si="5">SUM(D3:D22)</f>
        <v>1</v>
      </c>
      <c r="E23" s="83">
        <f t="shared" si="5"/>
        <v>22779645</v>
      </c>
      <c r="F23" s="84">
        <f t="shared" si="5"/>
        <v>1.0000000000000002</v>
      </c>
      <c r="G23" s="83">
        <f t="shared" si="5"/>
        <v>23633865</v>
      </c>
      <c r="H23" s="84">
        <f t="shared" si="5"/>
        <v>1</v>
      </c>
    </row>
  </sheetData>
  <mergeCells count="5">
    <mergeCell ref="C1:D1"/>
    <mergeCell ref="E1:F1"/>
    <mergeCell ref="G1:H1"/>
    <mergeCell ref="A1:A2"/>
    <mergeCell ref="B1:B2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F3C4-1FF9-4C83-9C02-E730A9EB2B5D}">
  <dimension ref="A1:H7"/>
  <sheetViews>
    <sheetView workbookViewId="0">
      <selection activeCell="B9" sqref="B9"/>
    </sheetView>
  </sheetViews>
  <sheetFormatPr defaultColWidth="8.81640625" defaultRowHeight="14.5"/>
  <cols>
    <col min="1" max="1" width="12.81640625" bestFit="1" customWidth="1"/>
    <col min="2" max="2" width="8.81640625" bestFit="1" customWidth="1"/>
    <col min="3" max="3" width="10.453125" bestFit="1" customWidth="1"/>
    <col min="4" max="4" width="7.36328125" bestFit="1" customWidth="1"/>
    <col min="6" max="6" width="17" bestFit="1" customWidth="1"/>
    <col min="7" max="7" width="17.81640625" bestFit="1" customWidth="1"/>
    <col min="8" max="8" width="8.81640625" bestFit="1" customWidth="1"/>
  </cols>
  <sheetData>
    <row r="1" spans="1:8">
      <c r="A1" t="s">
        <v>45</v>
      </c>
      <c r="F1" t="s">
        <v>51</v>
      </c>
    </row>
    <row r="2" spans="1:8">
      <c r="A2" t="s">
        <v>38</v>
      </c>
      <c r="B2" t="s">
        <v>39</v>
      </c>
      <c r="C2" t="s">
        <v>44</v>
      </c>
      <c r="D2" t="s">
        <v>37</v>
      </c>
      <c r="F2" t="s">
        <v>46</v>
      </c>
      <c r="G2" t="s">
        <v>50</v>
      </c>
      <c r="H2" t="s">
        <v>52</v>
      </c>
    </row>
    <row r="3" spans="1:8">
      <c r="A3">
        <v>1</v>
      </c>
      <c r="B3" t="s">
        <v>40</v>
      </c>
      <c r="C3" s="46">
        <v>34.363799999999998</v>
      </c>
      <c r="D3" s="46">
        <v>-12.8528</v>
      </c>
      <c r="F3" t="s">
        <v>48</v>
      </c>
      <c r="G3">
        <v>6.56</v>
      </c>
      <c r="H3" s="42">
        <f>G3*C7</f>
        <v>107.40343599999999</v>
      </c>
    </row>
    <row r="4" spans="1:8">
      <c r="A4">
        <v>2</v>
      </c>
      <c r="B4" t="s">
        <v>41</v>
      </c>
      <c r="C4" s="46">
        <v>2.4521999999999999</v>
      </c>
      <c r="D4" s="46">
        <v>3.3271000000000002</v>
      </c>
      <c r="F4" t="s">
        <v>49</v>
      </c>
      <c r="G4">
        <v>2.92</v>
      </c>
      <c r="H4" s="42">
        <f>G4*D7</f>
        <v>13.949521333333333</v>
      </c>
    </row>
    <row r="5" spans="1:8">
      <c r="A5">
        <v>3</v>
      </c>
      <c r="B5" t="s">
        <v>42</v>
      </c>
      <c r="C5" s="46">
        <v>23.2149</v>
      </c>
      <c r="D5" s="46">
        <v>4.4116999999999997</v>
      </c>
    </row>
    <row r="6" spans="1:8">
      <c r="A6">
        <v>4</v>
      </c>
      <c r="B6" t="s">
        <v>43</v>
      </c>
      <c r="C6" s="46">
        <v>5.4589999999999996</v>
      </c>
      <c r="D6" s="46">
        <v>6.5929000000000002</v>
      </c>
    </row>
    <row r="7" spans="1:8">
      <c r="B7" t="s">
        <v>47</v>
      </c>
      <c r="C7" s="46">
        <f>AVERAGE(C3:C6)</f>
        <v>16.372474999999998</v>
      </c>
      <c r="D7" s="46">
        <f>AVERAGE(D4:D6)</f>
        <v>4.7772333333333332</v>
      </c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93D9-DA99-B043-A570-3C6867DFAF3F}">
  <dimension ref="A1:K26"/>
  <sheetViews>
    <sheetView tabSelected="1" zoomScale="68" zoomScaleNormal="90" workbookViewId="0">
      <selection activeCell="H17" sqref="H17"/>
    </sheetView>
  </sheetViews>
  <sheetFormatPr defaultColWidth="46" defaultRowHeight="14.5"/>
  <cols>
    <col min="1" max="1" width="4.81640625" style="47" bestFit="1" customWidth="1"/>
    <col min="2" max="2" width="14" bestFit="1" customWidth="1"/>
    <col min="3" max="3" width="8.453125" bestFit="1" customWidth="1"/>
    <col min="4" max="4" width="22.54296875" customWidth="1"/>
    <col min="5" max="5" width="19.6328125" customWidth="1"/>
    <col min="6" max="7" width="19.6328125" bestFit="1" customWidth="1"/>
    <col min="8" max="8" width="23.36328125" customWidth="1"/>
    <col min="9" max="9" width="19.6328125" bestFit="1" customWidth="1"/>
    <col min="10" max="10" width="5.08984375" bestFit="1" customWidth="1"/>
    <col min="11" max="11" width="17.54296875" bestFit="1" customWidth="1"/>
  </cols>
  <sheetData>
    <row r="1" spans="1:11" ht="27">
      <c r="A1" s="128" t="s">
        <v>38</v>
      </c>
      <c r="B1" s="130" t="s">
        <v>54</v>
      </c>
      <c r="C1" s="130" t="s">
        <v>55</v>
      </c>
      <c r="D1" s="56" t="s">
        <v>72</v>
      </c>
      <c r="E1" s="56" t="s">
        <v>73</v>
      </c>
      <c r="F1" s="56" t="s">
        <v>72</v>
      </c>
      <c r="G1" s="56" t="s">
        <v>73</v>
      </c>
      <c r="H1" s="56" t="s">
        <v>72</v>
      </c>
      <c r="I1" s="68" t="s">
        <v>73</v>
      </c>
      <c r="J1" s="57" t="s">
        <v>56</v>
      </c>
      <c r="K1" s="132">
        <f>Stats!I2</f>
        <v>1.1440600402709136</v>
      </c>
    </row>
    <row r="2" spans="1:11" ht="15.5">
      <c r="A2" s="129"/>
      <c r="B2" s="131"/>
      <c r="C2" s="131"/>
      <c r="D2" s="125" t="s">
        <v>114</v>
      </c>
      <c r="E2" s="125"/>
      <c r="F2" s="126" t="s">
        <v>115</v>
      </c>
      <c r="G2" s="126"/>
      <c r="H2" s="126" t="s">
        <v>116</v>
      </c>
      <c r="I2" s="127"/>
      <c r="J2" s="57"/>
      <c r="K2" s="57"/>
    </row>
    <row r="3" spans="1:11" s="65" customFormat="1" ht="27">
      <c r="A3" s="51">
        <v>1</v>
      </c>
      <c r="B3" s="58" t="s">
        <v>57</v>
      </c>
      <c r="C3" s="48">
        <v>0.5</v>
      </c>
      <c r="D3" s="49">
        <f>C3*$D$12</f>
        <v>501847052.85026866</v>
      </c>
      <c r="E3" s="66">
        <f>C3*$E$12</f>
        <v>574143159.49371767</v>
      </c>
      <c r="F3" s="66">
        <f>$F$12*C3</f>
        <v>559006377.13044572</v>
      </c>
      <c r="G3" s="66">
        <f>C3*$G$12</f>
        <v>639536858.33155513</v>
      </c>
      <c r="H3" s="66">
        <f>C3*$H$12</f>
        <v>616165701.41062272</v>
      </c>
      <c r="I3" s="67">
        <f>C3*$I$12</f>
        <v>704930557.1693927</v>
      </c>
      <c r="J3" s="64"/>
      <c r="K3" s="64"/>
    </row>
    <row r="4" spans="1:11" ht="27">
      <c r="A4" s="52" t="s">
        <v>67</v>
      </c>
      <c r="B4" s="61" t="s">
        <v>58</v>
      </c>
      <c r="C4" s="50">
        <v>0.35</v>
      </c>
      <c r="D4" s="69">
        <f t="shared" ref="D4:D11" si="0">C4*$D$12</f>
        <v>351292936.99518806</v>
      </c>
      <c r="E4" s="59">
        <f t="shared" ref="E4:E11" si="1">C4*$E$12</f>
        <v>401900211.64560235</v>
      </c>
      <c r="F4" s="59">
        <f t="shared" ref="F4:F11" si="2">$F$12*C4</f>
        <v>391304463.99131197</v>
      </c>
      <c r="G4" s="59">
        <f t="shared" ref="G4:G11" si="3">C4*$G$12</f>
        <v>447675800.83208859</v>
      </c>
      <c r="H4" s="59">
        <f t="shared" ref="H4:H11" si="4">C4*$H$12</f>
        <v>431315990.98743588</v>
      </c>
      <c r="I4" s="60">
        <f t="shared" ref="I4:I11" si="5">C4*$I$12</f>
        <v>493451390.01857483</v>
      </c>
      <c r="J4" s="57"/>
      <c r="K4" s="57"/>
    </row>
    <row r="5" spans="1:11" ht="15.5">
      <c r="A5" s="52" t="s">
        <v>68</v>
      </c>
      <c r="B5" s="61" t="s">
        <v>59</v>
      </c>
      <c r="C5" s="50">
        <v>0.1</v>
      </c>
      <c r="D5" s="69">
        <f t="shared" si="0"/>
        <v>100369410.57005374</v>
      </c>
      <c r="E5" s="59">
        <f t="shared" si="1"/>
        <v>114828631.89874354</v>
      </c>
      <c r="F5" s="59">
        <f t="shared" si="2"/>
        <v>111801275.42608915</v>
      </c>
      <c r="G5" s="59">
        <f t="shared" si="3"/>
        <v>127907371.66631103</v>
      </c>
      <c r="H5" s="59">
        <f t="shared" si="4"/>
        <v>123233140.28212455</v>
      </c>
      <c r="I5" s="60">
        <f t="shared" si="5"/>
        <v>140986111.43387854</v>
      </c>
      <c r="J5" s="57"/>
      <c r="K5" s="57"/>
    </row>
    <row r="6" spans="1:11" ht="15.5">
      <c r="A6" s="52" t="s">
        <v>69</v>
      </c>
      <c r="B6" s="61" t="s">
        <v>60</v>
      </c>
      <c r="C6" s="50">
        <v>0.05</v>
      </c>
      <c r="D6" s="69">
        <f t="shared" si="0"/>
        <v>50184705.285026871</v>
      </c>
      <c r="E6" s="59">
        <f t="shared" si="1"/>
        <v>57414315.94937177</v>
      </c>
      <c r="F6" s="59">
        <f t="shared" si="2"/>
        <v>55900637.713044576</v>
      </c>
      <c r="G6" s="59">
        <f t="shared" si="3"/>
        <v>63953685.833155513</v>
      </c>
      <c r="H6" s="59">
        <f t="shared" si="4"/>
        <v>61616570.141062275</v>
      </c>
      <c r="I6" s="60">
        <f t="shared" si="5"/>
        <v>70493055.71693927</v>
      </c>
      <c r="J6" s="57"/>
      <c r="K6" s="57"/>
    </row>
    <row r="7" spans="1:11" s="65" customFormat="1" ht="15">
      <c r="A7" s="51">
        <v>2</v>
      </c>
      <c r="B7" s="58" t="s">
        <v>61</v>
      </c>
      <c r="C7" s="48">
        <v>0.25</v>
      </c>
      <c r="D7" s="49">
        <f t="shared" si="0"/>
        <v>250923526.42513433</v>
      </c>
      <c r="E7" s="66">
        <f t="shared" si="1"/>
        <v>287071579.74685884</v>
      </c>
      <c r="F7" s="66">
        <f t="shared" si="2"/>
        <v>279503188.56522286</v>
      </c>
      <c r="G7" s="66">
        <f t="shared" si="3"/>
        <v>319768429.16577756</v>
      </c>
      <c r="H7" s="66">
        <f t="shared" si="4"/>
        <v>308082850.70531136</v>
      </c>
      <c r="I7" s="67">
        <f t="shared" si="5"/>
        <v>352465278.58469635</v>
      </c>
      <c r="J7" s="64"/>
      <c r="K7" s="64"/>
    </row>
    <row r="8" spans="1:11" ht="15.5">
      <c r="A8" s="52" t="s">
        <v>70</v>
      </c>
      <c r="B8" s="61" t="s">
        <v>62</v>
      </c>
      <c r="C8" s="50">
        <v>0.2</v>
      </c>
      <c r="D8" s="69">
        <f t="shared" si="0"/>
        <v>200738821.14010748</v>
      </c>
      <c r="E8" s="59">
        <f t="shared" si="1"/>
        <v>229657263.79748708</v>
      </c>
      <c r="F8" s="59">
        <f t="shared" si="2"/>
        <v>223602550.85217831</v>
      </c>
      <c r="G8" s="59">
        <f t="shared" si="3"/>
        <v>255814743.33262205</v>
      </c>
      <c r="H8" s="59">
        <f t="shared" si="4"/>
        <v>246466280.5642491</v>
      </c>
      <c r="I8" s="60">
        <f t="shared" si="5"/>
        <v>281972222.86775708</v>
      </c>
      <c r="J8" s="57"/>
      <c r="K8" s="57"/>
    </row>
    <row r="9" spans="1:11" ht="15.5">
      <c r="A9" s="52" t="s">
        <v>71</v>
      </c>
      <c r="B9" s="61" t="s">
        <v>63</v>
      </c>
      <c r="C9" s="50">
        <v>0.05</v>
      </c>
      <c r="D9" s="69">
        <f t="shared" si="0"/>
        <v>50184705.285026871</v>
      </c>
      <c r="E9" s="59">
        <f t="shared" si="1"/>
        <v>57414315.94937177</v>
      </c>
      <c r="F9" s="59">
        <f t="shared" si="2"/>
        <v>55900637.713044576</v>
      </c>
      <c r="G9" s="59">
        <f t="shared" si="3"/>
        <v>63953685.833155513</v>
      </c>
      <c r="H9" s="59">
        <f t="shared" si="4"/>
        <v>61616570.141062275</v>
      </c>
      <c r="I9" s="60">
        <f t="shared" si="5"/>
        <v>70493055.71693927</v>
      </c>
      <c r="J9" s="57"/>
      <c r="K9" s="57"/>
    </row>
    <row r="10" spans="1:11" s="65" customFormat="1" ht="27">
      <c r="A10" s="51">
        <v>3</v>
      </c>
      <c r="B10" s="58" t="s">
        <v>64</v>
      </c>
      <c r="C10" s="48">
        <v>0.15</v>
      </c>
      <c r="D10" s="49">
        <f t="shared" si="0"/>
        <v>150554115.8550806</v>
      </c>
      <c r="E10" s="66">
        <f t="shared" si="1"/>
        <v>172242947.8481153</v>
      </c>
      <c r="F10" s="66">
        <f t="shared" si="2"/>
        <v>167701913.13913372</v>
      </c>
      <c r="G10" s="66">
        <f t="shared" si="3"/>
        <v>191861057.49946654</v>
      </c>
      <c r="H10" s="66">
        <f t="shared" si="4"/>
        <v>184849710.42318681</v>
      </c>
      <c r="I10" s="67">
        <f t="shared" si="5"/>
        <v>211479167.15081781</v>
      </c>
      <c r="J10" s="64"/>
      <c r="K10" s="64"/>
    </row>
    <row r="11" spans="1:11" ht="15.5">
      <c r="A11" s="51">
        <v>4</v>
      </c>
      <c r="B11" s="58" t="s">
        <v>65</v>
      </c>
      <c r="C11" s="48">
        <v>0.1</v>
      </c>
      <c r="D11" s="49">
        <f t="shared" si="0"/>
        <v>100369410.57005374</v>
      </c>
      <c r="E11" s="66">
        <f t="shared" si="1"/>
        <v>114828631.89874354</v>
      </c>
      <c r="F11" s="66">
        <f t="shared" si="2"/>
        <v>111801275.42608915</v>
      </c>
      <c r="G11" s="66">
        <f t="shared" si="3"/>
        <v>127907371.66631103</v>
      </c>
      <c r="H11" s="66">
        <f t="shared" si="4"/>
        <v>123233140.28212455</v>
      </c>
      <c r="I11" s="67">
        <f t="shared" si="5"/>
        <v>140986111.43387854</v>
      </c>
      <c r="J11" s="57"/>
      <c r="K11" s="57"/>
    </row>
    <row r="12" spans="1:11" s="65" customFormat="1" ht="15.5" thickBot="1">
      <c r="A12" s="53"/>
      <c r="B12" s="62" t="s">
        <v>66</v>
      </c>
      <c r="C12" s="54">
        <v>1</v>
      </c>
      <c r="D12" s="55">
        <f>Stats!F29-D15/Stats!I2</f>
        <v>1003694105.7005373</v>
      </c>
      <c r="E12" s="63">
        <f>Stats!F26-D15</f>
        <v>1148286318.9874353</v>
      </c>
      <c r="F12" s="63">
        <f>Stats!G29-D16/Stats!I2</f>
        <v>1118012754.2608914</v>
      </c>
      <c r="G12" s="63">
        <f>Stats!G26-D16</f>
        <v>1279073716.6631103</v>
      </c>
      <c r="H12" s="63">
        <f>Stats!H29-D17/Stats!I2</f>
        <v>1232331402.8212454</v>
      </c>
      <c r="I12" s="102">
        <f>Stats!H26-D17</f>
        <v>1409861114.3387854</v>
      </c>
      <c r="J12" s="64"/>
      <c r="K12" s="64"/>
    </row>
    <row r="15" spans="1:11">
      <c r="B15" t="s">
        <v>113</v>
      </c>
      <c r="C15" s="133" t="s">
        <v>111</v>
      </c>
      <c r="D15" s="134">
        <v>111767255.01256466</v>
      </c>
    </row>
    <row r="16" spans="1:11">
      <c r="C16" s="133" t="s">
        <v>112</v>
      </c>
      <c r="D16" s="134">
        <v>117942202.33688965</v>
      </c>
      <c r="E16" s="113"/>
      <c r="F16" s="113"/>
    </row>
    <row r="17" spans="3:7">
      <c r="C17" s="133" t="s">
        <v>110</v>
      </c>
      <c r="D17" s="134">
        <v>124117149.66121465</v>
      </c>
    </row>
    <row r="26" spans="3:7">
      <c r="G26" s="46"/>
    </row>
  </sheetData>
  <mergeCells count="6">
    <mergeCell ref="D2:E2"/>
    <mergeCell ref="F2:G2"/>
    <mergeCell ref="H2:I2"/>
    <mergeCell ref="A1:A2"/>
    <mergeCell ref="B1:B2"/>
    <mergeCell ref="C1:C2"/>
  </mergeCells>
  <phoneticPr fontId="17" type="noConversion"/>
  <pageMargins left="0.7" right="0.7" top="0.75" bottom="0.75" header="0.3" footer="0.3"/>
  <ignoredErrors>
    <ignoredError sqref="F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ece9de-2e42-4e84-b2e6-f70b1482ff80" xsi:nil="true"/>
    <lcf76f155ced4ddcb4097134ff3c332f xmlns="92b0d9ab-8f7a-473a-8291-8838e1c085e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B56714D579F478C19C5F19612549C" ma:contentTypeVersion="22" ma:contentTypeDescription="Create a new document." ma:contentTypeScope="" ma:versionID="93bd340cacde07fe2917e7e223c02af2">
  <xsd:schema xmlns:xsd="http://www.w3.org/2001/XMLSchema" xmlns:xs="http://www.w3.org/2001/XMLSchema" xmlns:p="http://schemas.microsoft.com/office/2006/metadata/properties" xmlns:ns2="92b0d9ab-8f7a-473a-8291-8838e1c085e9" xmlns:ns3="d9ece9de-2e42-4e84-b2e6-f70b1482ff80" targetNamespace="http://schemas.microsoft.com/office/2006/metadata/properties" ma:root="true" ma:fieldsID="3688a4bc2e70aad66961a3981a0c0cad" ns2:_="" ns3:_="">
    <xsd:import namespace="92b0d9ab-8f7a-473a-8291-8838e1c085e9"/>
    <xsd:import namespace="d9ece9de-2e42-4e84-b2e6-f70b1482f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0d9ab-8f7a-473a-8291-8838e1c08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5afc53d-a465-4c37-9d87-7482417fd6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ece9de-2e42-4e84-b2e6-f70b1482f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54a85d1-65e9-4cd2-8582-19aaa32d319c}" ma:internalName="TaxCatchAll" ma:showField="CatchAllData" ma:web="d9ece9de-2e42-4e84-b2e6-f70b1482f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5FC1D8-2D66-4306-B873-3009CE406C9C}">
  <ds:schemaRefs>
    <ds:schemaRef ds:uri="http://schemas.microsoft.com/office/2006/metadata/properties"/>
    <ds:schemaRef ds:uri="http://schemas.microsoft.com/office/infopath/2007/PartnerControls"/>
    <ds:schemaRef ds:uri="d9ece9de-2e42-4e84-b2e6-f70b1482ff80"/>
    <ds:schemaRef ds:uri="92b0d9ab-8f7a-473a-8291-8838e1c085e9"/>
  </ds:schemaRefs>
</ds:datastoreItem>
</file>

<file path=customXml/itemProps2.xml><?xml version="1.0" encoding="utf-8"?>
<ds:datastoreItem xmlns:ds="http://schemas.openxmlformats.org/officeDocument/2006/customXml" ds:itemID="{3CE6B8F8-420E-4332-8EAE-E5F76F00AD45}"/>
</file>

<file path=customXml/itemProps3.xml><?xml version="1.0" encoding="utf-8"?>
<ds:datastoreItem xmlns:ds="http://schemas.openxmlformats.org/officeDocument/2006/customXml" ds:itemID="{6D98B79C-C4DE-429F-9EEB-A70D20E525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Stats</vt:lpstr>
      <vt:lpstr>发行前后股权结构</vt:lpstr>
      <vt:lpstr>Comps</vt:lpstr>
      <vt:lpstr>UOP</vt:lpstr>
      <vt:lpstr>Stats!Print_Area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DBS</dc:creator>
  <cp:keywords/>
  <dc:description/>
  <cp:lastModifiedBy>DBS_Watson</cp:lastModifiedBy>
  <cp:revision/>
  <dcterms:created xsi:type="dcterms:W3CDTF">2019-04-10T06:19:14Z</dcterms:created>
  <dcterms:modified xsi:type="dcterms:W3CDTF">2026-05-20T04:02:10Z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0x010100CEDB56714D579F478C19C5F19612549C</vt:lpwstr>
  </property>
</Properties>
</file>