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f57080e7be4a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汇总" sheetId="1" r:id="Rae83ad708cbb40cb"/>
    <x:sheet xmlns:r="http://schemas.openxmlformats.org/officeDocument/2006/relationships" name="申购额度明细" sheetId="2" r:id="R5afc63c1bd8447f9"/>
    <x:sheet xmlns:r="http://schemas.openxmlformats.org/officeDocument/2006/relationships" name="来源与口径" sheetId="3" r:id="Rd9eb390e5f0e4554"/>
  </x:sheets>
</x:workbook>
</file>

<file path=xl/comments1.xml><?xml version="1.0" encoding="utf-8"?>
<x:comments xmlns:x="http://schemas.openxmlformats.org/spreadsheetml/2006/main">
  <x:authors>
    <x:author>tc={40B0F1ED-7FD3-266D-58C4-9E3504248023}</x:author>
    <x:author>tc={8AC36C93-C31E-4EBE-4893-89D4BA0363E1}</x:author>
  </x:authors>
  <x:commentList>
    <x:comment ref="K3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美元限额的人民币等值使用‘来源与口径’页USD/CNY输入，仅作横向比较；业务限额仍以1万美元为准。</x:t>
        </x:r>
      </x:text>
    </x:comment>
    <x:comment ref="H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ETF一级市场状态来自南方基金产品状态页；具体数量限制必须查看当日PCF。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yyyy-mm-dd"/>
    <x:numFmt numFmtId="202" formatCode="0.0000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172B3A"/>
      <x:name val="Carlito"/>
    </x:font>
    <x:font>
      <x:sz val="10"/>
      <x:color rgb="FF0563C1"/>
      <x:name val="Carlito"/>
    </x:font>
    <x:font>
      <x:b/>
      <x:sz val="18"/>
      <x:color rgb="FFFFFFFF"/>
      <x:name val="Carlito"/>
    </x:font>
    <x:font>
      <x:b/>
      <x:sz val="13"/>
      <x:color rgb="FF172B3A"/>
      <x:name val="Carlito"/>
    </x:font>
    <x:font>
      <x:sz val="10"/>
      <x:color rgb="FF6B4A00"/>
      <x:name val="Carlito"/>
    </x:font>
    <x:font>
      <x:sz val="11"/>
      <x:color rgb="FF172B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8F2"/>
      </x:patternFill>
    </x:fill>
    <x:fill>
      <x:patternFill patternType="solid">
        <x:fgColor rgb="FF167D67"/>
      </x:patternFill>
    </x:fill>
    <x:fill>
      <x:patternFill patternType="solid">
        <x:fgColor rgb="FFEAF4F1"/>
      </x:patternFill>
    </x:fill>
    <x:fill>
      <x:patternFill patternType="solid">
        <x:fgColor rgb="FFFFF8E5"/>
      </x:patternFill>
    </x:fill>
    <x:fill>
      <x:patternFill patternType="solid">
        <x:fgColor rgb="FFE8EEF5"/>
      </x:patternFill>
    </x:fill>
  </x:fills>
  <x:borders count="5">
    <x:border/>
    <x:border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top style="thin">
        <x:color rgb="FFD8E1E8"/>
      </x:top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202" fontId="7" fillId="5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555555"/>
      </x:font>
      <x:fill>
        <x:patternFill patternType="solid">
          <x:bgColor rgb="FFEEEEEE"/>
        </x:patternFill>
      </x:fill>
    </x:dxf>
    <x:dxf>
      <x:font>
        <x:color rgb="FF0B6B57"/>
      </x:font>
      <x:fill>
        <x:patternFill patternType="solid">
          <x:bgColor rgb="FFEAF4F1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8A4B08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c354d837749d6" /><Relationship Type="http://schemas.openxmlformats.org/officeDocument/2006/relationships/theme" Target="/xl/theme/theme1.xml" Id="Re90bd681e24c4f36" /><Relationship Type="http://schemas.openxmlformats.org/officeDocument/2006/relationships/sharedStrings" Target="/xl/sharedStrings.xml" Id="R9e68543634134f7b" /><Relationship Type="http://schemas.openxmlformats.org/officeDocument/2006/relationships/worksheet" Target="/xl/worksheets/sheet1.xml" Id="Rae83ad708cbb40cb" /><Relationship Type="http://schemas.openxmlformats.org/officeDocument/2006/relationships/worksheet" Target="/xl/worksheets/sheet2.xml" Id="R5afc63c1bd8447f9" /><Relationship Type="http://schemas.openxmlformats.org/officeDocument/2006/relationships/worksheet" Target="/xl/worksheets/sheet3.xml" Id="Rd9eb390e5f0e4554" /><Relationship Type="http://schemas.microsoft.com/office/2017/10/relationships/person" Target="/xl/persons/person.xml" Id="R39e31fbd716d42ee" /></Relationships>
</file>

<file path=xl/persons/person.xml><?xml version="1.0" encoding="utf-8"?>
<xltc:personList xmlns:xltc="http://schemas.microsoft.com/office/spreadsheetml/2018/threadedcomments">
  <xltc:person displayName="Jason Lu" id="{7E3268A1-ADCC-4330-8F4E-54E30CF2E261}"/>
</xltc:personList>
</file>

<file path=xl/tables/table1.xml><?xml version="1.0" encoding="utf-8"?>
<x:table xmlns:x="http://schemas.openxmlformats.org/spreadsheetml/2006/main" id="1" name="QuotaDetailTable" displayName="QuotaDetailTable" ref="A1:O49" headerRowCount="1" totalsRowCount="0" totalsRowShown="0">
  <x:autoFilter ref="A1:O49"/>
  <x:tableColumns count="15">
    <x:tableColumn id="1" name="基金代码"/>
    <x:tableColumn id="2" name="基金名称"/>
    <x:tableColumn id="3" name="类别"/>
    <x:tableColumn id="4" name="份额"/>
    <x:tableColumn id="5" name="币种"/>
    <x:tableColumn id="6" name="渠道"/>
    <x:tableColumn id="7" name="办理场所"/>
    <x:tableColumn id="8" name="当前申购状态"/>
    <x:tableColumn id="9" name="原币单日上限"/>
    <x:tableColumn id="10" name="限额币种"/>
    <x:tableColumn id="11" name="人民币等值上限"/>
    <x:tableColumn id="12" name="生效日"/>
    <x:tableColumn id="13" name="二级市场状态"/>
    <x:tableColumn id="14" name="来源链接"/>
    <x:tableColumn id="15" name="核查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1:F12" headerRowCount="1" totalsRowCount="0" totalsRowShown="0">
  <x:autoFilter ref="A1:F12"/>
  <x:tableColumns count="6">
    <x:tableColumn id="1" name="来源ID"/>
    <x:tableColumn id="2" name="来源名称"/>
    <x:tableColumn id="3" name="发布日期/数据日"/>
    <x:tableColumn id="4" name="支持内容"/>
    <x:tableColumn id="5" name="URL"/>
    <x:tableColumn id="6" name="备注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K36" dT="2026-07-17T06:55:53.144" personId="{7E3268A1-ADCC-4330-8F4E-54E30CF2E261}" id="{40B0F1ED-7FD3-266D-58C4-9E3504248023}">
    <xltc:text>美元限额的人民币等值使用‘来源与口径’页USD/CNY输入，仅作横向比较；业务限额仍以1万美元为准。</xltc:text>
  </xltc:threadedComment>
  <xltc:threadedComment ref="H2" dT="2026-07-17T06:55:53.174" personId="{7E3268A1-ADCC-4330-8F4E-54E30CF2E261}" id="{8AC36C93-C31E-4EBE-4893-89D4BA0363E1}">
    <xltc:text>ETF一级市场状态来自南方基金产品状态页；具体数量限制必须查看当日PCF。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f0a62be76f04ed2" /><Relationship Type="http://schemas.openxmlformats.org/officeDocument/2006/relationships/vmlDrawing" Target="/xl/drawings/vmldrawing.vml" Id="R0b320719d88d4f1a" /><Relationship Type="http://schemas.microsoft.com/office/2017/10/relationships/threadedComment" Target="/xl/threadedcomments/threadedcomment.xml" Id="R41100d9d93e044e7" /><Relationship Type="http://schemas.openxmlformats.org/officeDocument/2006/relationships/table" Target="/xl/tables/table1.xml" Id="R5eb588cf92b245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e84727ade440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5" t="str">
        <x:v>南方基金 QDII 与公募 REITs 申购额度核查</x:v>
      </x:c>
      <x:c r="B1" s="25"/>
      <x:c r="C1" s="25"/>
      <x:c r="D1" s="25"/>
      <x:c r="E1" s="25"/>
      <x:c r="F1" s="25"/>
      <x:c r="G1" s="25"/>
      <x:c r="H1" s="25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8" t="str">
        <x:v>截止 2026-07-17｜额度以单日、单个基金账户为主；ETF 一级市场按当日 PCF，二级市场买入不等于基金申购</x:v>
      </x:c>
      <x:c r="B3" s="28"/>
      <x:c r="C3" s="28"/>
      <x:c r="D3" s="28"/>
      <x:c r="E3" s="28"/>
      <x:c r="F3" s="28"/>
      <x:c r="G3" s="28"/>
      <x:c r="H3" s="28"/>
    </x:row>
    <x:row r="5">
      <x:c r="A5" s="36" t="str">
        <x:v>指标</x:v>
      </x:c>
      <x:c r="B5" s="36" t="str">
        <x:v>QDII份额代码</x:v>
      </x:c>
      <x:c r="C5" s="36" t="str">
        <x:v>QDII ETF</x:v>
      </x:c>
      <x:c r="D5" s="36" t="str">
        <x:v>境内公募REIT</x:v>
      </x:c>
      <x:c r="E5" s="36" t="str">
        <x:v>暂停申购记录</x:v>
      </x:c>
      <x:c r="F5" s="36" t="str">
        <x:v>有明确数值上限记录</x:v>
      </x:c>
      <x:c r="G5" s="36" t="str">
        <x:v>ETF按PCF记录</x:v>
      </x:c>
      <x:c r="H5" s="36" t="str">
        <x:v>开放且未见公告级限额记录</x:v>
      </x:c>
    </x:row>
    <x:row r="6">
      <x:c r="A6" s="37" t="str">
        <x:v>数量</x:v>
      </x:c>
      <x:c r="B6" s="37" t="n">
        <x:v>43</x:v>
      </x:c>
      <x:c r="C6" s="37" t="n">
        <x:v>9</x:v>
      </x:c>
      <x:c r="D6" s="37" t="n">
        <x:v>3</x:v>
      </x:c>
      <x:c r="E6" s="37" t="n">
        <x:v>2</x:v>
      </x:c>
      <x:c r="F6" s="37" t="n">
        <x:v>15</x:v>
      </x:c>
      <x:c r="G6" s="37" t="n">
        <x:v>9</x:v>
      </x:c>
      <x:c r="H6" s="37" t="n">
        <x:v>19</x:v>
      </x:c>
    </x:row>
    <x:row r="8" ht="34" customHeight="1">
      <x:c r="A8" s="38" t="str">
        <x:v>重点结论</x:v>
      </x:c>
      <x:c r="B8" s="38" t="str">
        <x:v>产品/份额</x:v>
      </x:c>
      <x:c r="C8" s="38" t="str">
        <x:v>当前状态</x:v>
      </x:c>
      <x:c r="D8" s="38" t="str">
        <x:v>单日上限</x:v>
      </x:c>
      <x:c r="E8" s="38" t="str">
        <x:v>渠道/场所</x:v>
      </x:c>
      <x:c r="F8" s="38" t="str">
        <x:v>生效日</x:v>
      </x:c>
      <x:c r="G8" s="38" t="str">
        <x:v>二级市场</x:v>
      </x:c>
      <x:c r="H8" s="38" t="str">
        <x:v>说明</x:v>
      </x:c>
    </x:row>
    <x:row r="9" ht="34" customHeight="1">
      <x:c r="A9" s="11" t="str">
        <x:v>暂停</x:v>
      </x:c>
      <x:c r="B9" s="11" t="str">
        <x:v>南方原油 A/C</x:v>
      </x:c>
      <x:c r="C9" s="11" t="str">
        <x:v>暂停申购</x:v>
      </x:c>
      <x:c r="D9" s="12" t="n">
        <x:v>0</x:v>
      </x:c>
      <x:c r="E9" s="11" t="str">
        <x:v>场外申购</x:v>
      </x:c>
      <x:c r="F9" s="11" t="str">
        <x:v>2026-02-13</x:v>
      </x:c>
      <x:c r="G9" s="11" t="str">
        <x:v>A类仍可交易</x:v>
      </x:c>
      <x:c r="H9" s="11" t="str">
        <x:v>恢复时间另行公告</x:v>
      </x:c>
    </x:row>
    <x:row r="10" ht="34" customHeight="1">
      <x:c r="A10" s="11" t="str">
        <x:v>极低限额</x:v>
      </x:c>
      <x:c r="B10" s="11" t="str">
        <x:v>南方纳指 A/C</x:v>
      </x:c>
      <x:c r="C10" s="11" t="str">
        <x:v>开放申购</x:v>
      </x:c>
      <x:c r="D10" s="12" t="n">
        <x:v>10</x:v>
      </x:c>
      <x:c r="E10" s="11" t="str">
        <x:v>全部渠道</x:v>
      </x:c>
      <x:c r="F10" s="11" t="str">
        <x:v>2026-07-09</x:v>
      </x:c>
      <x:c r="G10" s="11" t="str">
        <x:v>不适用</x:v>
      </x:c>
      <x:c r="H10" s="11" t="str">
        <x:v>申购、定投、转换转入合并</x:v>
      </x:c>
    </x:row>
    <x:row r="11" ht="34" customHeight="1">
      <x:c r="A11" s="11" t="str">
        <x:v>I类限额</x:v>
      </x:c>
      <x:c r="B11" s="11" t="str">
        <x:v>南方纳指 I</x:v>
      </x:c>
      <x:c r="C11" s="11" t="str">
        <x:v>开放申购</x:v>
      </x:c>
      <x:c r="D11" s="12" t="n">
        <x:v>1000</x:v>
      </x:c>
      <x:c r="E11" s="11" t="str">
        <x:v>全部渠道</x:v>
      </x:c>
      <x:c r="F11" s="11" t="str">
        <x:v>2026-06-18</x:v>
      </x:c>
      <x:c r="G11" s="11" t="str">
        <x:v>不适用</x:v>
      </x:c>
      <x:c r="H11" s="11" t="str">
        <x:v>单日单账户</x:v>
      </x:c>
    </x:row>
    <x:row r="12" ht="34" customHeight="1">
      <x:c r="A12" s="11" t="str">
        <x:v>分渠道</x:v>
      </x:c>
      <x:c r="B12" s="11" t="str">
        <x:v>亚太精选联接 A/C</x:v>
      </x:c>
      <x:c r="C12" s="11" t="str">
        <x:v>开放申购</x:v>
      </x:c>
      <x:c r="D12" s="12" t="n">
        <x:v>30000</x:v>
      </x:c>
      <x:c r="E12" s="11" t="str">
        <x:v>直销</x:v>
      </x:c>
      <x:c r="F12" s="11" t="str">
        <x:v>2026-06-30</x:v>
      </x:c>
      <x:c r="G12" s="11" t="str">
        <x:v>不适用</x:v>
      </x:c>
      <x:c r="H12" s="11" t="str">
        <x:v>非直销仅1万元</x:v>
      </x:c>
    </x:row>
    <x:row r="13" ht="34" customHeight="1">
      <x:c r="A13" s="11" t="str">
        <x:v>人民币份额</x:v>
      </x:c>
      <x:c r="B13" s="11" t="str">
        <x:v>亚洲美元债 A/C/E人民币</x:v>
      </x:c>
      <x:c r="C13" s="11" t="str">
        <x:v>开放申购</x:v>
      </x:c>
      <x:c r="D13" s="12" t="n">
        <x:v>1000000</x:v>
      </x:c>
      <x:c r="E13" s="11" t="str">
        <x:v>全部渠道</x:v>
      </x:c>
      <x:c r="F13" s="11" t="str">
        <x:v>2026-06-11</x:v>
      </x:c>
      <x:c r="G13" s="11" t="str">
        <x:v>不适用</x:v>
      </x:c>
      <x:c r="H13" s="11" t="str">
        <x:v>各类别分别计算</x:v>
      </x:c>
    </x:row>
    <x:row r="14" ht="34" customHeight="1">
      <x:c r="A14" s="11" t="str">
        <x:v>美元份额</x:v>
      </x:c>
      <x:c r="B14" s="11" t="str">
        <x:v>亚洲美元债 A/C美元</x:v>
      </x:c>
      <x:c r="C14" s="11" t="str">
        <x:v>开放申购</x:v>
      </x:c>
      <x:c r="D14" s="12" t="n">
        <x:v>67669</x:v>
      </x:c>
      <x:c r="E14" s="11" t="str">
        <x:v>全部渠道</x:v>
      </x:c>
      <x:c r="F14" s="11" t="str">
        <x:v>2024-04-08</x:v>
      </x:c>
      <x:c r="G14" s="11" t="str">
        <x:v>不适用</x:v>
      </x:c>
      <x:c r="H14" s="11" t="str">
        <x:v>原币1万美元；此处为人民币估算</x:v>
      </x:c>
    </x:row>
    <x:row r="15" ht="34" customHeight="1">
      <x:c r="A15" s="15" t="str">
        <x:v>LOF限额</x:v>
      </x:c>
      <x:c r="B15" s="15" t="str">
        <x:v>美国REIT精选LOF A/C</x:v>
      </x:c>
      <x:c r="C15" s="15" t="str">
        <x:v>开放申购</x:v>
      </x:c>
      <x:c r="D15" s="16" t="n">
        <x:v>1000000</x:v>
      </x:c>
      <x:c r="E15" s="15" t="str">
        <x:v>场外申购</x:v>
      </x:c>
      <x:c r="F15" s="15" t="str">
        <x:v>2025-08-18</x:v>
      </x:c>
      <x:c r="G15" s="15" t="str">
        <x:v>A类场内可交易</x:v>
      </x:c>
      <x:c r="H15" s="15" t="str">
        <x:v>不是境内公募基础设施REIT</x:v>
      </x:c>
    </x:row>
    <x:row r="17">
      <x:c r="A17" s="42" t="str">
        <x:v>重要口径：表中“未见公告级统一限额”不等于销售渠道承诺无限额。实际可下单金额还会受到销售机构风控、最低申购金额、境外市场休市和基金公司临时公告影响。公募REITs为封闭式运作，日常无基金申购额度，只能在上市后通过二级市场买卖。</x:v>
      </x:c>
      <x:c r="B17" s="42"/>
      <x:c r="C17" s="42"/>
      <x:c r="D17" s="42"/>
      <x:c r="E17" s="42"/>
      <x:c r="F17" s="42"/>
      <x:c r="G17" s="42"/>
      <x:c r="H17" s="42"/>
    </x:row>
    <x:row r="18">
      <x:c r="A18" s="42"/>
      <x:c r="B18" s="42"/>
      <x:c r="C18" s="42"/>
      <x:c r="D18" s="42"/>
      <x:c r="E18" s="42"/>
      <x:c r="F18" s="42"/>
      <x:c r="G18" s="42"/>
      <x:c r="H18" s="42"/>
    </x:row>
  </x:sheetData>
  <x:mergeCells>
    <x:mergeCell ref="A1:H2"/>
    <x:mergeCell ref="A3:H3"/>
    <x:mergeCell ref="A17:H18"/>
  </x:mergeCells>
  <x:conditionalFormatting sqref="A9:A15">
    <x:cfRule type="containsText" dxfId="3" priority="1" operator="containsText" text="暂停"/>
    <x:cfRule type="containsText" dxfId="4" priority="2" operator="containsText" text="极低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7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18" hidden="0" customWidth="1"/>
    <x:col min="14" max="14" width="46" hidden="0" customWidth="1"/>
    <x:col min="15" max="15" width="58" hidden="0" customWidth="1"/>
  </x:cols>
  <x:sheetData>
    <x:row r="1" ht="34" customHeight="1">
      <x:c r="A1" s="10" t="str">
        <x:v>基金代码</x:v>
      </x:c>
      <x:c r="B1" s="10" t="str">
        <x:v>基金名称</x:v>
      </x:c>
      <x:c r="C1" s="10" t="str">
        <x:v>类别</x:v>
      </x:c>
      <x:c r="D1" s="10" t="str">
        <x:v>份额</x:v>
      </x:c>
      <x:c r="E1" s="10" t="str">
        <x:v>币种</x:v>
      </x:c>
      <x:c r="F1" s="10" t="str">
        <x:v>渠道</x:v>
      </x:c>
      <x:c r="G1" s="10" t="str">
        <x:v>办理场所</x:v>
      </x:c>
      <x:c r="H1" s="10" t="str">
        <x:v>当前申购状态</x:v>
      </x:c>
      <x:c r="I1" s="10" t="str">
        <x:v>原币单日上限</x:v>
      </x:c>
      <x:c r="J1" s="10" t="str">
        <x:v>限额币种</x:v>
      </x:c>
      <x:c r="K1" s="10" t="str">
        <x:v>人民币等值上限</x:v>
      </x:c>
      <x:c r="L1" s="10" t="str">
        <x:v>生效日</x:v>
      </x:c>
      <x:c r="M1" s="10" t="str">
        <x:v>二级市场状态</x:v>
      </x:c>
      <x:c r="N1" s="10" t="str">
        <x:v>来源链接</x:v>
      </x:c>
      <x:c r="O1" s="10" t="str">
        <x:v>核查说明</x:v>
      </x:c>
    </x:row>
    <x:row r="2" ht="44" customHeight="1">
      <x:c r="A2" s="11" t="str">
        <x:v>513600</x:v>
      </x:c>
      <x:c r="B2" s="19" t="str">
        <x:v>恒生指数ETF南方</x:v>
      </x:c>
      <x:c r="C2" s="11" t="str">
        <x:v>QDII ETF</x:v>
      </x:c>
      <x:c r="D2" s="11" t="str">
        <x:v>场内份额</x:v>
      </x:c>
      <x:c r="E2" s="11" t="str">
        <x:v>人民币</x:v>
      </x:c>
      <x:c r="F2" s="11" t="str">
        <x:v>全部渠道</x:v>
      </x:c>
      <x:c r="G2" s="11" t="str">
        <x:v>场内一级市场</x:v>
      </x:c>
      <x:c r="H2" s="11" t="str">
        <x:v>开放申购（按PCF）</x:v>
      </x:c>
      <x:c r="I2" s="12"/>
      <x:c r="J2" s="12" t="str">
        <x:v>人民币</x:v>
      </x:c>
      <x:c r="K2" s="12"/>
      <x:c r="L2" s="13"/>
      <x:c r="M2" s="11" t="str">
        <x:v>可正常买卖</x:v>
      </x:c>
      <x:c r="N2" s="21" t="str">
        <x:v>https://www.nffund.com/new/transaction-guide/detailed-list.html</x:v>
      </x:c>
      <x:c r="O2" s="19" t="str">
        <x:v>一级市场申赎数量、最小申赎单位及现金替代等以当日申购赎回清单为准；无固定人民币单日额度可直接填列。二级市场买卖不等于一级市场申购。</x:v>
      </x:c>
    </x:row>
    <x:row r="3" ht="44" customHeight="1">
      <x:c r="A3" s="11" t="str">
        <x:v>159954</x:v>
      </x:c>
      <x:c r="B3" s="19" t="str">
        <x:v>恒生中国企业ETF南方</x:v>
      </x:c>
      <x:c r="C3" s="11" t="str">
        <x:v>QDII ETF</x:v>
      </x:c>
      <x:c r="D3" s="11" t="str">
        <x:v>场内份额</x:v>
      </x:c>
      <x:c r="E3" s="11" t="str">
        <x:v>人民币</x:v>
      </x:c>
      <x:c r="F3" s="11" t="str">
        <x:v>全部渠道</x:v>
      </x:c>
      <x:c r="G3" s="11" t="str">
        <x:v>场内一级市场</x:v>
      </x:c>
      <x:c r="H3" s="11" t="str">
        <x:v>开放申购（按PCF）</x:v>
      </x:c>
      <x:c r="I3" s="12"/>
      <x:c r="J3" s="12" t="str">
        <x:v>人民币</x:v>
      </x:c>
      <x:c r="K3" s="12"/>
      <x:c r="L3" s="13"/>
      <x:c r="M3" s="11" t="str">
        <x:v>可正常买卖</x:v>
      </x:c>
      <x:c r="N3" s="21" t="str">
        <x:v>https://www.nffund.com/new/transaction-guide/detailed-list.html</x:v>
      </x:c>
      <x:c r="O3" s="19" t="str">
        <x:v>一级市场申赎数量、最小申赎单位及现金替代等以当日申购赎回清单为准；无固定人民币单日额度可直接填列。二级市场买卖不等于一级市场申购。</x:v>
      </x:c>
    </x:row>
    <x:row r="4" ht="44" customHeight="1">
      <x:c r="A4" s="11" t="str">
        <x:v>513800</x:v>
      </x:c>
      <x:c r="B4" s="19" t="str">
        <x:v>日本东证指数ETF南方</x:v>
      </x:c>
      <x:c r="C4" s="11" t="str">
        <x:v>QDII ETF</x:v>
      </x:c>
      <x:c r="D4" s="11" t="str">
        <x:v>场内份额</x:v>
      </x:c>
      <x:c r="E4" s="11" t="str">
        <x:v>人民币</x:v>
      </x:c>
      <x:c r="F4" s="11" t="str">
        <x:v>全部渠道</x:v>
      </x:c>
      <x:c r="G4" s="11" t="str">
        <x:v>场内一级市场</x:v>
      </x:c>
      <x:c r="H4" s="11" t="str">
        <x:v>开放申购（按PCF）</x:v>
      </x:c>
      <x:c r="I4" s="12"/>
      <x:c r="J4" s="12" t="str">
        <x:v>人民币</x:v>
      </x:c>
      <x:c r="K4" s="12"/>
      <x:c r="L4" s="13"/>
      <x:c r="M4" s="11" t="str">
        <x:v>可正常买卖</x:v>
      </x:c>
      <x:c r="N4" s="21" t="str">
        <x:v>https://www.nffund.com/new/transaction-guide/detailed-list.html</x:v>
      </x:c>
      <x:c r="O4" s="19" t="str">
        <x:v>一级市场申赎数量、最小申赎单位及现金替代等以当日申购赎回清单为准；无固定人民币单日额度可直接填列。二级市场买卖不等于一级市场申购。</x:v>
      </x:c>
    </x:row>
    <x:row r="5" ht="44" customHeight="1">
      <x:c r="A5" s="11" t="str">
        <x:v>159747</x:v>
      </x:c>
      <x:c r="B5" s="19" t="str">
        <x:v>香港科技ETF南方</x:v>
      </x:c>
      <x:c r="C5" s="11" t="str">
        <x:v>QDII ETF</x:v>
      </x:c>
      <x:c r="D5" s="11" t="str">
        <x:v>场内份额</x:v>
      </x:c>
      <x:c r="E5" s="11" t="str">
        <x:v>人民币</x:v>
      </x:c>
      <x:c r="F5" s="11" t="str">
        <x:v>全部渠道</x:v>
      </x:c>
      <x:c r="G5" s="11" t="str">
        <x:v>场内一级市场</x:v>
      </x:c>
      <x:c r="H5" s="11" t="str">
        <x:v>开放申购（按PCF）</x:v>
      </x:c>
      <x:c r="I5" s="12"/>
      <x:c r="J5" s="12" t="str">
        <x:v>人民币</x:v>
      </x:c>
      <x:c r="K5" s="12"/>
      <x:c r="L5" s="13"/>
      <x:c r="M5" s="11" t="str">
        <x:v>可正常买卖</x:v>
      </x:c>
      <x:c r="N5" s="21" t="str">
        <x:v>https://www.nffund.com/new/transaction-guide/detailed-list.html</x:v>
      </x:c>
      <x:c r="O5" s="19" t="str">
        <x:v>一级市场申赎数量、最小申赎单位及现金替代等以当日申购赎回清单为准；无固定人民币单日额度可直接填列。二级市场买卖不等于一级市场申购。</x:v>
      </x:c>
    </x:row>
    <x:row r="6" ht="44" customHeight="1">
      <x:c r="A6" s="11" t="str">
        <x:v>159615</x:v>
      </x:c>
      <x:c r="B6" s="19" t="str">
        <x:v>恒生生物科技ETF南方</x:v>
      </x:c>
      <x:c r="C6" s="11" t="str">
        <x:v>QDII ETF</x:v>
      </x:c>
      <x:c r="D6" s="11" t="str">
        <x:v>场内份额</x:v>
      </x:c>
      <x:c r="E6" s="11" t="str">
        <x:v>人民币</x:v>
      </x:c>
      <x:c r="F6" s="11" t="str">
        <x:v>全部渠道</x:v>
      </x:c>
      <x:c r="G6" s="11" t="str">
        <x:v>场内一级市场</x:v>
      </x:c>
      <x:c r="H6" s="11" t="str">
        <x:v>开放申购（按PCF）</x:v>
      </x:c>
      <x:c r="I6" s="12"/>
      <x:c r="J6" s="12" t="str">
        <x:v>人民币</x:v>
      </x:c>
      <x:c r="K6" s="12"/>
      <x:c r="L6" s="13"/>
      <x:c r="M6" s="11" t="str">
        <x:v>可正常买卖</x:v>
      </x:c>
      <x:c r="N6" s="21" t="str">
        <x:v>https://www.nffund.com/new/transaction-guide/detailed-list.html</x:v>
      </x:c>
      <x:c r="O6" s="19" t="str">
        <x:v>一级市场申赎数量、最小申赎单位及现金替代等以当日申购赎回清单为准；无固定人民币单日额度可直接填列。二级市场买卖不等于一级市场申购。</x:v>
      </x:c>
    </x:row>
    <x:row r="7" ht="44" customHeight="1">
      <x:c r="A7" s="11" t="str">
        <x:v>159687</x:v>
      </x:c>
      <x:c r="B7" s="19" t="str">
        <x:v>亚太精选ETF南方</x:v>
      </x:c>
      <x:c r="C7" s="11" t="str">
        <x:v>QDII ETF</x:v>
      </x:c>
      <x:c r="D7" s="11" t="str">
        <x:v>场内份额</x:v>
      </x:c>
      <x:c r="E7" s="11" t="str">
        <x:v>人民币</x:v>
      </x:c>
      <x:c r="F7" s="11" t="str">
        <x:v>全部渠道</x:v>
      </x:c>
      <x:c r="G7" s="11" t="str">
        <x:v>场内一级市场</x:v>
      </x:c>
      <x:c r="H7" s="11" t="str">
        <x:v>开放申购（按PCF）</x:v>
      </x:c>
      <x:c r="I7" s="12"/>
      <x:c r="J7" s="12" t="str">
        <x:v>人民币</x:v>
      </x:c>
      <x:c r="K7" s="12"/>
      <x:c r="L7" s="13"/>
      <x:c r="M7" s="11" t="str">
        <x:v>可正常买卖</x:v>
      </x:c>
      <x:c r="N7" s="21" t="str">
        <x:v>https://www.nffund.com/new/transaction-guide/detailed-list.html</x:v>
      </x:c>
      <x:c r="O7" s="19" t="str">
        <x:v>一级市场申赎数量、最小申赎单位及现金替代等以当日申购赎回清单为准；无固定人民币单日额度可直接填列。二级市场买卖不等于一级市场申购。</x:v>
      </x:c>
    </x:row>
    <x:row r="8" ht="44" customHeight="1">
      <x:c r="A8" s="11" t="str">
        <x:v>513650</x:v>
      </x:c>
      <x:c r="B8" s="19" t="str">
        <x:v>标普500ETF南方</x:v>
      </x:c>
      <x:c r="C8" s="11" t="str">
        <x:v>QDII ETF</x:v>
      </x:c>
      <x:c r="D8" s="11" t="str">
        <x:v>场内份额</x:v>
      </x:c>
      <x:c r="E8" s="11" t="str">
        <x:v>人民币</x:v>
      </x:c>
      <x:c r="F8" s="11" t="str">
        <x:v>全部渠道</x:v>
      </x:c>
      <x:c r="G8" s="11" t="str">
        <x:v>场内一级市场</x:v>
      </x:c>
      <x:c r="H8" s="11" t="str">
        <x:v>开放申购（按PCF）</x:v>
      </x:c>
      <x:c r="I8" s="12"/>
      <x:c r="J8" s="12" t="str">
        <x:v>人民币</x:v>
      </x:c>
      <x:c r="K8" s="12"/>
      <x:c r="L8" s="13"/>
      <x:c r="M8" s="11" t="str">
        <x:v>可正常买卖</x:v>
      </x:c>
      <x:c r="N8" s="21" t="str">
        <x:v>https://www.nffund.com/new/transaction-guide/detailed-list.html</x:v>
      </x:c>
      <x:c r="O8" s="19" t="str">
        <x:v>一级市场申赎数量、最小申赎单位及现金替代等以当日申购赎回清单为准；无固定人民币单日额度可直接填列。二级市场买卖不等于一级市场申购。</x:v>
      </x:c>
    </x:row>
    <x:row r="9" ht="44" customHeight="1">
      <x:c r="A9" s="11" t="str">
        <x:v>159329</x:v>
      </x:c>
      <x:c r="B9" s="19" t="str">
        <x:v>沙特ETF南方</x:v>
      </x:c>
      <x:c r="C9" s="11" t="str">
        <x:v>QDII ETF</x:v>
      </x:c>
      <x:c r="D9" s="11" t="str">
        <x:v>场内份额</x:v>
      </x:c>
      <x:c r="E9" s="11" t="str">
        <x:v>人民币</x:v>
      </x:c>
      <x:c r="F9" s="11" t="str">
        <x:v>全部渠道</x:v>
      </x:c>
      <x:c r="G9" s="11" t="str">
        <x:v>场内一级市场</x:v>
      </x:c>
      <x:c r="H9" s="11" t="str">
        <x:v>开放申购（按PCF）</x:v>
      </x:c>
      <x:c r="I9" s="12"/>
      <x:c r="J9" s="12" t="str">
        <x:v>人民币</x:v>
      </x:c>
      <x:c r="K9" s="12"/>
      <x:c r="L9" s="13"/>
      <x:c r="M9" s="11" t="str">
        <x:v>可正常买卖</x:v>
      </x:c>
      <x:c r="N9" s="21" t="str">
        <x:v>https://www.nffund.com/new/transaction-guide/detailed-list.html</x:v>
      </x:c>
      <x:c r="O9" s="19" t="str">
        <x:v>一级市场申赎数量、现金替代等以当日申购赎回清单为准；周五为非开放日。二级市场买卖不等于一级市场申购。</x:v>
      </x:c>
    </x:row>
    <x:row r="10" ht="44" customHeight="1">
      <x:c r="A10" s="11" t="str">
        <x:v>520570</x:v>
      </x:c>
      <x:c r="B10" s="19" t="str">
        <x:v>恒生科技ETF南方</x:v>
      </x:c>
      <x:c r="C10" s="11" t="str">
        <x:v>QDII ETF</x:v>
      </x:c>
      <x:c r="D10" s="11" t="str">
        <x:v>场内份额</x:v>
      </x:c>
      <x:c r="E10" s="11" t="str">
        <x:v>人民币</x:v>
      </x:c>
      <x:c r="F10" s="11" t="str">
        <x:v>全部渠道</x:v>
      </x:c>
      <x:c r="G10" s="11" t="str">
        <x:v>场内一级市场</x:v>
      </x:c>
      <x:c r="H10" s="11" t="str">
        <x:v>开放申购（按PCF）</x:v>
      </x:c>
      <x:c r="I10" s="12"/>
      <x:c r="J10" s="12" t="str">
        <x:v>人民币</x:v>
      </x:c>
      <x:c r="K10" s="12"/>
      <x:c r="L10" s="13"/>
      <x:c r="M10" s="11" t="str">
        <x:v>可正常买卖</x:v>
      </x:c>
      <x:c r="N10" s="21" t="str">
        <x:v>https://www.nffund.com/new/transaction-guide/detailed-list.html</x:v>
      </x:c>
      <x:c r="O10" s="19" t="str">
        <x:v>一级市场申赎数量、最小申赎单位及现金替代等以当日申购赎回清单为准；无固定人民币单日额度可直接填列。二级市场买卖不等于一级市场申购。</x:v>
      </x:c>
    </x:row>
    <x:row r="11" ht="44" customHeight="1">
      <x:c r="A11" s="11" t="str">
        <x:v>202801</x:v>
      </x:c>
      <x:c r="B11" s="19" t="str">
        <x:v>南方全球精选配置股票（QDII-FOF）A</x:v>
      </x:c>
      <x:c r="C11" s="11" t="str">
        <x:v>QDII普通公募</x:v>
      </x:c>
      <x:c r="D11" s="11" t="str">
        <x:v>A</x:v>
      </x:c>
      <x:c r="E11" s="11" t="str">
        <x:v>人民币</x:v>
      </x:c>
      <x:c r="F11" s="11" t="str">
        <x:v>全部渠道</x:v>
      </x:c>
      <x:c r="G11" s="11" t="str">
        <x:v>场外</x:v>
      </x:c>
      <x:c r="H11" s="11" t="str">
        <x:v>开放申购</x:v>
      </x:c>
      <x:c r="I11" s="12"/>
      <x:c r="J11" s="12" t="str">
        <x:v>人民币</x:v>
      </x:c>
      <x:c r="K11" s="12"/>
      <x:c r="L11" s="13"/>
      <x:c r="M11" s="11" t="str">
        <x:v>不适用</x:v>
      </x:c>
      <x:c r="N11" s="21" t="str">
        <x:v>https://www.nffund.com/new/transaction-guide/product-status-and-limits.html</x:v>
      </x:c>
      <x:c r="O11" s="19" t="str">
        <x:v>未见仍有效的公告级统一大额申购上限；实际下单仍受销售机构规则、最低申购金额及境外市场休市安排约束。</x:v>
      </x:c>
    </x:row>
    <x:row r="12" ht="44" customHeight="1">
      <x:c r="A12" s="11" t="str">
        <x:v>023591</x:v>
      </x:c>
      <x:c r="B12" s="19" t="str">
        <x:v>南方全球精选配置股票（QDII-FOF）C</x:v>
      </x:c>
      <x:c r="C12" s="11" t="str">
        <x:v>QDII普通公募</x:v>
      </x:c>
      <x:c r="D12" s="11" t="str">
        <x:v>C</x:v>
      </x:c>
      <x:c r="E12" s="11" t="str">
        <x:v>人民币</x:v>
      </x:c>
      <x:c r="F12" s="11" t="str">
        <x:v>全部渠道</x:v>
      </x:c>
      <x:c r="G12" s="11" t="str">
        <x:v>场外</x:v>
      </x:c>
      <x:c r="H12" s="11" t="str">
        <x:v>开放申购</x:v>
      </x:c>
      <x:c r="I12" s="12"/>
      <x:c r="J12" s="12" t="str">
        <x:v>人民币</x:v>
      </x:c>
      <x:c r="K12" s="12"/>
      <x:c r="L12" s="13"/>
      <x:c r="M12" s="11" t="str">
        <x:v>不适用</x:v>
      </x:c>
      <x:c r="N12" s="21" t="str">
        <x:v>https://www.nffund.com/new/transaction-guide/product-status-and-limits.html</x:v>
      </x:c>
      <x:c r="O12" s="19" t="str">
        <x:v>未见仍有效的公告级统一大额申购上限；实际下单仍受销售机构规则、最低申购金额及境外市场休市安排约束。</x:v>
      </x:c>
    </x:row>
    <x:row r="13" ht="44" customHeight="1">
      <x:c r="A13" s="11" t="str">
        <x:v>160125</x:v>
      </x:c>
      <x:c r="B13" s="19" t="str">
        <x:v>南方香港LOF</x:v>
      </x:c>
      <x:c r="C13" s="11" t="str">
        <x:v>QDII LOF</x:v>
      </x:c>
      <x:c r="D13" s="11" t="str">
        <x:v>A/场内</x:v>
      </x:c>
      <x:c r="E13" s="11" t="str">
        <x:v>人民币</x:v>
      </x:c>
      <x:c r="F13" s="11" t="str">
        <x:v>全部渠道</x:v>
      </x:c>
      <x:c r="G13" s="11" t="str">
        <x:v>场外申购/场内交易</x:v>
      </x:c>
      <x:c r="H13" s="11" t="str">
        <x:v>开放申购</x:v>
      </x:c>
      <x:c r="I13" s="12"/>
      <x:c r="J13" s="12" t="str">
        <x:v>人民币</x:v>
      </x:c>
      <x:c r="K13" s="12"/>
      <x:c r="L13" s="13"/>
      <x:c r="M13" s="11" t="str">
        <x:v>场内可买卖</x:v>
      </x:c>
      <x:c r="N13" s="21" t="str">
        <x:v>https://www.nffund.com/new/transaction-guide/product-status-and-limits.html</x:v>
      </x:c>
      <x:c r="O13" s="19" t="str">
        <x:v>未见仍有效的公告级统一大额申购上限；实际下单仍受销售机构规则、最低申购金额及境外市场休市安排约束。</x:v>
      </x:c>
    </x:row>
    <x:row r="14" ht="44" customHeight="1">
      <x:c r="A14" s="11" t="str">
        <x:v>012584</x:v>
      </x:c>
      <x:c r="B14" s="19" t="str">
        <x:v>南方中国新兴经济9个月持有期混合（QDII）A</x:v>
      </x:c>
      <x:c r="C14" s="11" t="str">
        <x:v>QDII普通公募</x:v>
      </x:c>
      <x:c r="D14" s="11" t="str">
        <x:v>A</x:v>
      </x:c>
      <x:c r="E14" s="11" t="str">
        <x:v>人民币</x:v>
      </x:c>
      <x:c r="F14" s="11" t="str">
        <x:v>全部渠道</x:v>
      </x:c>
      <x:c r="G14" s="11" t="str">
        <x:v>场外</x:v>
      </x:c>
      <x:c r="H14" s="11" t="str">
        <x:v>开放申购</x:v>
      </x:c>
      <x:c r="I14" s="12"/>
      <x:c r="J14" s="12" t="str">
        <x:v>人民币</x:v>
      </x:c>
      <x:c r="K14" s="12"/>
      <x:c r="L14" s="13"/>
      <x:c r="M14" s="11" t="str">
        <x:v>不适用</x:v>
      </x:c>
      <x:c r="N14" s="21" t="str">
        <x:v>https://www.nffund.com/new/transaction-guide/product-status-and-limits.html</x:v>
      </x:c>
      <x:c r="O14" s="19" t="str">
        <x:v>未见公告级大额申购上限；每笔份额至少持有满9个月，锁定期内不可赎回。</x:v>
      </x:c>
    </x:row>
    <x:row r="15" ht="44" customHeight="1">
      <x:c r="A15" s="11" t="str">
        <x:v>012585</x:v>
      </x:c>
      <x:c r="B15" s="19" t="str">
        <x:v>南方中国新兴经济9个月持有期混合（QDII）C</x:v>
      </x:c>
      <x:c r="C15" s="11" t="str">
        <x:v>QDII普通公募</x:v>
      </x:c>
      <x:c r="D15" s="11" t="str">
        <x:v>C</x:v>
      </x:c>
      <x:c r="E15" s="11" t="str">
        <x:v>人民币</x:v>
      </x:c>
      <x:c r="F15" s="11" t="str">
        <x:v>全部渠道</x:v>
      </x:c>
      <x:c r="G15" s="11" t="str">
        <x:v>场外</x:v>
      </x:c>
      <x:c r="H15" s="11" t="str">
        <x:v>开放申购</x:v>
      </x:c>
      <x:c r="I15" s="12"/>
      <x:c r="J15" s="12" t="str">
        <x:v>人民币</x:v>
      </x:c>
      <x:c r="K15" s="12"/>
      <x:c r="L15" s="13"/>
      <x:c r="M15" s="11" t="str">
        <x:v>不适用</x:v>
      </x:c>
      <x:c r="N15" s="21" t="str">
        <x:v>https://www.nffund.com/new/transaction-guide/product-status-and-limits.html</x:v>
      </x:c>
      <x:c r="O15" s="19" t="str">
        <x:v>未见公告级大额申购上限；每笔份额至少持有满9个月，锁定期内不可赎回。</x:v>
      </x:c>
    </x:row>
    <x:row r="16" ht="44" customHeight="1">
      <x:c r="A16" s="11" t="str">
        <x:v>019265</x:v>
      </x:c>
      <x:c r="B16" s="19" t="str">
        <x:v>南方港股数字经济混合发起（QDII）A</x:v>
      </x:c>
      <x:c r="C16" s="11" t="str">
        <x:v>QDII普通公募</x:v>
      </x:c>
      <x:c r="D16" s="11" t="str">
        <x:v>A</x:v>
      </x:c>
      <x:c r="E16" s="11" t="str">
        <x:v>人民币</x:v>
      </x:c>
      <x:c r="F16" s="11" t="str">
        <x:v>全部渠道</x:v>
      </x:c>
      <x:c r="G16" s="11" t="str">
        <x:v>场外</x:v>
      </x:c>
      <x:c r="H16" s="11" t="str">
        <x:v>开放申购</x:v>
      </x:c>
      <x:c r="I16" s="12"/>
      <x:c r="J16" s="12" t="str">
        <x:v>人民币</x:v>
      </x:c>
      <x:c r="K16" s="12"/>
      <x:c r="L16" s="13"/>
      <x:c r="M16" s="11" t="str">
        <x:v>不适用</x:v>
      </x:c>
      <x:c r="N16" s="21" t="str">
        <x:v>https://www.nffund.com/new/transaction-guide/product-status-and-limits.html</x:v>
      </x:c>
      <x:c r="O16" s="19" t="str">
        <x:v>未见仍有效的公告级统一大额申购上限；实际下单仍受销售机构规则、最低申购金额及境外市场休市安排约束。</x:v>
      </x:c>
    </x:row>
    <x:row r="17" ht="44" customHeight="1">
      <x:c r="A17" s="11" t="str">
        <x:v>019266</x:v>
      </x:c>
      <x:c r="B17" s="19" t="str">
        <x:v>南方港股数字经济混合发起（QDII）C</x:v>
      </x:c>
      <x:c r="C17" s="11" t="str">
        <x:v>QDII普通公募</x:v>
      </x:c>
      <x:c r="D17" s="11" t="str">
        <x:v>C</x:v>
      </x:c>
      <x:c r="E17" s="11" t="str">
        <x:v>人民币</x:v>
      </x:c>
      <x:c r="F17" s="11" t="str">
        <x:v>全部渠道</x:v>
      </x:c>
      <x:c r="G17" s="11" t="str">
        <x:v>场外</x:v>
      </x:c>
      <x:c r="H17" s="11" t="str">
        <x:v>开放申购</x:v>
      </x:c>
      <x:c r="I17" s="12"/>
      <x:c r="J17" s="12" t="str">
        <x:v>人民币</x:v>
      </x:c>
      <x:c r="K17" s="12"/>
      <x:c r="L17" s="13"/>
      <x:c r="M17" s="11" t="str">
        <x:v>不适用</x:v>
      </x:c>
      <x:c r="N17" s="21" t="str">
        <x:v>https://www.nffund.com/new/transaction-guide/product-status-and-limits.html</x:v>
      </x:c>
      <x:c r="O17" s="19" t="str">
        <x:v>未见仍有效的公告级统一大额申购上限；实际下单仍受销售机构规则、最低申购金额及境外市场休市安排约束。</x:v>
      </x:c>
    </x:row>
    <x:row r="18" ht="44" customHeight="1">
      <x:c r="A18" s="11" t="str">
        <x:v>019415</x:v>
      </x:c>
      <x:c r="B18" s="19" t="str">
        <x:v>南方港股医药行业混合发起（QDII）A</x:v>
      </x:c>
      <x:c r="C18" s="11" t="str">
        <x:v>QDII普通公募</x:v>
      </x:c>
      <x:c r="D18" s="11" t="str">
        <x:v>A</x:v>
      </x:c>
      <x:c r="E18" s="11" t="str">
        <x:v>人民币</x:v>
      </x:c>
      <x:c r="F18" s="11" t="str">
        <x:v>全部渠道</x:v>
      </x:c>
      <x:c r="G18" s="11" t="str">
        <x:v>场外</x:v>
      </x:c>
      <x:c r="H18" s="11" t="str">
        <x:v>开放申购</x:v>
      </x:c>
      <x:c r="I18" s="12"/>
      <x:c r="J18" s="12" t="str">
        <x:v>人民币</x:v>
      </x:c>
      <x:c r="K18" s="12"/>
      <x:c r="L18" s="13"/>
      <x:c r="M18" s="11" t="str">
        <x:v>不适用</x:v>
      </x:c>
      <x:c r="N18" s="21" t="str">
        <x:v>https://www.nffund.com/new/transaction-guide/product-status-and-limits.html</x:v>
      </x:c>
      <x:c r="O18" s="19" t="str">
        <x:v>未见仍有效的公告级统一大额申购上限；实际下单仍受销售机构规则、最低申购金额及境外市场休市安排约束。</x:v>
      </x:c>
    </x:row>
    <x:row r="19" ht="44" customHeight="1">
      <x:c r="A19" s="11" t="str">
        <x:v>019416</x:v>
      </x:c>
      <x:c r="B19" s="19" t="str">
        <x:v>南方港股医药行业混合发起（QDII）C</x:v>
      </x:c>
      <x:c r="C19" s="11" t="str">
        <x:v>QDII普通公募</x:v>
      </x:c>
      <x:c r="D19" s="11" t="str">
        <x:v>C</x:v>
      </x:c>
      <x:c r="E19" s="11" t="str">
        <x:v>人民币</x:v>
      </x:c>
      <x:c r="F19" s="11" t="str">
        <x:v>全部渠道</x:v>
      </x:c>
      <x:c r="G19" s="11" t="str">
        <x:v>场外</x:v>
      </x:c>
      <x:c r="H19" s="11" t="str">
        <x:v>开放申购</x:v>
      </x:c>
      <x:c r="I19" s="12"/>
      <x:c r="J19" s="12" t="str">
        <x:v>人民币</x:v>
      </x:c>
      <x:c r="K19" s="12"/>
      <x:c r="L19" s="13"/>
      <x:c r="M19" s="11" t="str">
        <x:v>不适用</x:v>
      </x:c>
      <x:c r="N19" s="21" t="str">
        <x:v>https://www.nffund.com/new/transaction-guide/product-status-and-limits.html</x:v>
      </x:c>
      <x:c r="O19" s="19" t="str">
        <x:v>未见仍有效的公告级统一大额申购上限；实际下单仍受销售机构规则、最低申购金额及境外市场休市安排约束。</x:v>
      </x:c>
    </x:row>
    <x:row r="20" ht="44" customHeight="1">
      <x:c r="A20" s="11" t="str">
        <x:v>501302</x:v>
      </x:c>
      <x:c r="B20" s="19" t="str">
        <x:v>南方恒生指数ETF联接（LOF）A</x:v>
      </x:c>
      <x:c r="C20" s="11" t="str">
        <x:v>QDII LOF</x:v>
      </x:c>
      <x:c r="D20" s="11" t="str">
        <x:v>A/场内</x:v>
      </x:c>
      <x:c r="E20" s="11" t="str">
        <x:v>人民币</x:v>
      </x:c>
      <x:c r="F20" s="11" t="str">
        <x:v>全部渠道</x:v>
      </x:c>
      <x:c r="G20" s="11" t="str">
        <x:v>场外申购/场内交易</x:v>
      </x:c>
      <x:c r="H20" s="11" t="str">
        <x:v>开放申购</x:v>
      </x:c>
      <x:c r="I20" s="12"/>
      <x:c r="J20" s="12" t="str">
        <x:v>人民币</x:v>
      </x:c>
      <x:c r="K20" s="12"/>
      <x:c r="L20" s="13"/>
      <x:c r="M20" s="11" t="str">
        <x:v>场内可买卖</x:v>
      </x:c>
      <x:c r="N20" s="21" t="str">
        <x:v>https://www.nffund.com/new/transaction-guide/product-status-and-limits.html</x:v>
      </x:c>
      <x:c r="O20" s="19" t="str">
        <x:v>未见仍有效的公告级统一大额申购上限；实际下单仍受销售机构规则、最低申购金额及境外市场休市安排约束。</x:v>
      </x:c>
    </x:row>
    <x:row r="21" ht="44" customHeight="1">
      <x:c r="A21" s="11" t="str">
        <x:v>005659</x:v>
      </x:c>
      <x:c r="B21" s="19" t="str">
        <x:v>南方恒生指数ETF联接C</x:v>
      </x:c>
      <x:c r="C21" s="11" t="str">
        <x:v>QDII普通公募</x:v>
      </x:c>
      <x:c r="D21" s="11" t="str">
        <x:v>C</x:v>
      </x:c>
      <x:c r="E21" s="11" t="str">
        <x:v>人民币</x:v>
      </x:c>
      <x:c r="F21" s="11" t="str">
        <x:v>全部渠道</x:v>
      </x:c>
      <x:c r="G21" s="11" t="str">
        <x:v>场外</x:v>
      </x:c>
      <x:c r="H21" s="11" t="str">
        <x:v>开放申购</x:v>
      </x:c>
      <x:c r="I21" s="12"/>
      <x:c r="J21" s="12" t="str">
        <x:v>人民币</x:v>
      </x:c>
      <x:c r="K21" s="12"/>
      <x:c r="L21" s="13"/>
      <x:c r="M21" s="11" t="str">
        <x:v>不适用</x:v>
      </x:c>
      <x:c r="N21" s="21" t="str">
        <x:v>https://www.nffund.com/new/transaction-guide/product-status-and-limits.html</x:v>
      </x:c>
      <x:c r="O21" s="19" t="str">
        <x:v>未见仍有效的公告级统一大额申购上限；实际下单仍受销售机构规则、最低申购金额及境外市场休市安排约束。</x:v>
      </x:c>
    </x:row>
    <x:row r="22" ht="44" customHeight="1">
      <x:c r="A22" s="11" t="str">
        <x:v>021023</x:v>
      </x:c>
      <x:c r="B22" s="19" t="str">
        <x:v>南方恒生指数ETF联接I</x:v>
      </x:c>
      <x:c r="C22" s="11" t="str">
        <x:v>QDII普通公募</x:v>
      </x:c>
      <x:c r="D22" s="11" t="str">
        <x:v>I</x:v>
      </x:c>
      <x:c r="E22" s="11" t="str">
        <x:v>人民币</x:v>
      </x:c>
      <x:c r="F22" s="11" t="str">
        <x:v>全部渠道</x:v>
      </x:c>
      <x:c r="G22" s="11" t="str">
        <x:v>场外</x:v>
      </x:c>
      <x:c r="H22" s="11" t="str">
        <x:v>开放申购</x:v>
      </x:c>
      <x:c r="I22" s="12"/>
      <x:c r="J22" s="12" t="str">
        <x:v>人民币</x:v>
      </x:c>
      <x:c r="K22" s="12"/>
      <x:c r="L22" s="13"/>
      <x:c r="M22" s="11" t="str">
        <x:v>不适用</x:v>
      </x:c>
      <x:c r="N22" s="21" t="str">
        <x:v>https://www.nffund.com/new/transaction-guide/product-status-and-limits.html</x:v>
      </x:c>
      <x:c r="O22" s="19" t="str">
        <x:v>未见仍有效的公告级统一大额申购上限；实际下单仍受销售机构规则、最低申购金额及境外市场休市安排约束。</x:v>
      </x:c>
    </x:row>
    <x:row r="23" ht="44" customHeight="1">
      <x:c r="A23" s="11" t="str">
        <x:v>005554</x:v>
      </x:c>
      <x:c r="B23" s="19" t="str">
        <x:v>南方恒生中国企业ETF联接A</x:v>
      </x:c>
      <x:c r="C23" s="11" t="str">
        <x:v>QDII普通公募</x:v>
      </x:c>
      <x:c r="D23" s="11" t="str">
        <x:v>A</x:v>
      </x:c>
      <x:c r="E23" s="11" t="str">
        <x:v>人民币</x:v>
      </x:c>
      <x:c r="F23" s="11" t="str">
        <x:v>全部渠道</x:v>
      </x:c>
      <x:c r="G23" s="11" t="str">
        <x:v>场外</x:v>
      </x:c>
      <x:c r="H23" s="11" t="str">
        <x:v>开放申购</x:v>
      </x:c>
      <x:c r="I23" s="12"/>
      <x:c r="J23" s="12" t="str">
        <x:v>人民币</x:v>
      </x:c>
      <x:c r="K23" s="12"/>
      <x:c r="L23" s="13"/>
      <x:c r="M23" s="11" t="str">
        <x:v>不适用</x:v>
      </x:c>
      <x:c r="N23" s="21" t="str">
        <x:v>https://www.nffund.com/new/transaction-guide/product-status-and-limits.html</x:v>
      </x:c>
      <x:c r="O23" s="19" t="str">
        <x:v>未见仍有效的公告级统一大额申购上限；实际下单仍受销售机构规则、最低申购金额及境外市场休市安排约束。</x:v>
      </x:c>
    </x:row>
    <x:row r="24" ht="44" customHeight="1">
      <x:c r="A24" s="11" t="str">
        <x:v>005555</x:v>
      </x:c>
      <x:c r="B24" s="19" t="str">
        <x:v>南方恒生中国企业ETF联接C</x:v>
      </x:c>
      <x:c r="C24" s="11" t="str">
        <x:v>QDII普通公募</x:v>
      </x:c>
      <x:c r="D24" s="11" t="str">
        <x:v>C</x:v>
      </x:c>
      <x:c r="E24" s="11" t="str">
        <x:v>人民币</x:v>
      </x:c>
      <x:c r="F24" s="11" t="str">
        <x:v>全部渠道</x:v>
      </x:c>
      <x:c r="G24" s="11" t="str">
        <x:v>场外</x:v>
      </x:c>
      <x:c r="H24" s="11" t="str">
        <x:v>开放申购</x:v>
      </x:c>
      <x:c r="I24" s="12"/>
      <x:c r="J24" s="12" t="str">
        <x:v>人民币</x:v>
      </x:c>
      <x:c r="K24" s="12"/>
      <x:c r="L24" s="13"/>
      <x:c r="M24" s="11" t="str">
        <x:v>不适用</x:v>
      </x:c>
      <x:c r="N24" s="21" t="str">
        <x:v>https://www.nffund.com/new/transaction-guide/product-status-and-limits.html</x:v>
      </x:c>
      <x:c r="O24" s="19" t="str">
        <x:v>未见仍有效的公告级统一大额申购上限；实际下单仍受销售机构规则、最低申购金额及境外市场休市安排约束。</x:v>
      </x:c>
    </x:row>
    <x:row r="25" ht="44" customHeight="1">
      <x:c r="A25" s="11" t="str">
        <x:v>018078</x:v>
      </x:c>
      <x:c r="B25" s="19" t="str">
        <x:v>南方恒生生物科技ETF发起联接（QDII）A</x:v>
      </x:c>
      <x:c r="C25" s="11" t="str">
        <x:v>QDII普通公募</x:v>
      </x:c>
      <x:c r="D25" s="11" t="str">
        <x:v>A</x:v>
      </x:c>
      <x:c r="E25" s="11" t="str">
        <x:v>人民币</x:v>
      </x:c>
      <x:c r="F25" s="11" t="str">
        <x:v>全部渠道</x:v>
      </x:c>
      <x:c r="G25" s="11" t="str">
        <x:v>场外</x:v>
      </x:c>
      <x:c r="H25" s="11" t="str">
        <x:v>开放申购</x:v>
      </x:c>
      <x:c r="I25" s="12"/>
      <x:c r="J25" s="12" t="str">
        <x:v>人民币</x:v>
      </x:c>
      <x:c r="K25" s="12"/>
      <x:c r="L25" s="13"/>
      <x:c r="M25" s="11" t="str">
        <x:v>不适用</x:v>
      </x:c>
      <x:c r="N25" s="21" t="str">
        <x:v>https://www.nffund.com/new/transaction-guide/product-status-and-limits.html</x:v>
      </x:c>
      <x:c r="O25" s="19" t="str">
        <x:v>未见仍有效的公告级统一大额申购上限；实际下单仍受销售机构规则、最低申购金额及境外市场休市安排约束。</x:v>
      </x:c>
    </x:row>
    <x:row r="26" ht="44" customHeight="1">
      <x:c r="A26" s="11" t="str">
        <x:v>018079</x:v>
      </x:c>
      <x:c r="B26" s="19" t="str">
        <x:v>南方恒生生物科技ETF发起联接（QDII）C</x:v>
      </x:c>
      <x:c r="C26" s="11" t="str">
        <x:v>QDII普通公募</x:v>
      </x:c>
      <x:c r="D26" s="11" t="str">
        <x:v>C</x:v>
      </x:c>
      <x:c r="E26" s="11" t="str">
        <x:v>人民币</x:v>
      </x:c>
      <x:c r="F26" s="11" t="str">
        <x:v>全部渠道</x:v>
      </x:c>
      <x:c r="G26" s="11" t="str">
        <x:v>场外</x:v>
      </x:c>
      <x:c r="H26" s="11" t="str">
        <x:v>开放申购</x:v>
      </x:c>
      <x:c r="I26" s="12"/>
      <x:c r="J26" s="12" t="str">
        <x:v>人民币</x:v>
      </x:c>
      <x:c r="K26" s="12"/>
      <x:c r="L26" s="13"/>
      <x:c r="M26" s="11" t="str">
        <x:v>不适用</x:v>
      </x:c>
      <x:c r="N26" s="21" t="str">
        <x:v>https://www.nffund.com/new/transaction-guide/product-status-and-limits.html</x:v>
      </x:c>
      <x:c r="O26" s="19" t="str">
        <x:v>未见仍有效的公告级统一大额申购上限；实际下单仍受销售机构规则、最低申购金额及境外市场休市安排约束。</x:v>
      </x:c>
    </x:row>
    <x:row r="27" ht="44" customHeight="1">
      <x:c r="A27" s="11" t="str">
        <x:v>021053</x:v>
      </x:c>
      <x:c r="B27" s="19" t="str">
        <x:v>南方恒生生物科技ETF发起联接（QDII）I</x:v>
      </x:c>
      <x:c r="C27" s="11" t="str">
        <x:v>QDII普通公募</x:v>
      </x:c>
      <x:c r="D27" s="11" t="str">
        <x:v>I</x:v>
      </x:c>
      <x:c r="E27" s="11" t="str">
        <x:v>人民币</x:v>
      </x:c>
      <x:c r="F27" s="11" t="str">
        <x:v>全部渠道</x:v>
      </x:c>
      <x:c r="G27" s="11" t="str">
        <x:v>场外</x:v>
      </x:c>
      <x:c r="H27" s="11" t="str">
        <x:v>开放申购</x:v>
      </x:c>
      <x:c r="I27" s="12"/>
      <x:c r="J27" s="12" t="str">
        <x:v>人民币</x:v>
      </x:c>
      <x:c r="K27" s="12"/>
      <x:c r="L27" s="13"/>
      <x:c r="M27" s="11" t="str">
        <x:v>不适用</x:v>
      </x:c>
      <x:c r="N27" s="21" t="str">
        <x:v>https://www.nffund.com/new/transaction-guide/product-status-and-limits.html</x:v>
      </x:c>
      <x:c r="O27" s="19" t="str">
        <x:v>未见仍有效的公告级统一大额申购上限；实际下单仍受销售机构规则、最低申购金额及境外市场休市安排约束。</x:v>
      </x:c>
    </x:row>
    <x:row r="28" ht="44" customHeight="1">
      <x:c r="A28" s="11" t="str">
        <x:v>020988</x:v>
      </x:c>
      <x:c r="B28" s="19" t="str">
        <x:v>南方恒生科技ETF发起联接（QDII）A</x:v>
      </x:c>
      <x:c r="C28" s="11" t="str">
        <x:v>QDII普通公募</x:v>
      </x:c>
      <x:c r="D28" s="11" t="str">
        <x:v>A</x:v>
      </x:c>
      <x:c r="E28" s="11" t="str">
        <x:v>人民币</x:v>
      </x:c>
      <x:c r="F28" s="11" t="str">
        <x:v>全部渠道</x:v>
      </x:c>
      <x:c r="G28" s="11" t="str">
        <x:v>场外</x:v>
      </x:c>
      <x:c r="H28" s="11" t="str">
        <x:v>开放申购</x:v>
      </x:c>
      <x:c r="I28" s="12"/>
      <x:c r="J28" s="12" t="str">
        <x:v>人民币</x:v>
      </x:c>
      <x:c r="K28" s="12"/>
      <x:c r="L28" s="13"/>
      <x:c r="M28" s="11" t="str">
        <x:v>不适用</x:v>
      </x:c>
      <x:c r="N28" s="21" t="str">
        <x:v>https://www.nffund.com/new/transaction-guide/product-status-and-limits.html</x:v>
      </x:c>
      <x:c r="O28" s="19" t="str">
        <x:v>未见仍有效的公告级统一大额申购上限；实际下单仍受销售机构规则、最低申购金额及境外市场休市安排约束。</x:v>
      </x:c>
    </x:row>
    <x:row r="29" ht="44" customHeight="1">
      <x:c r="A29" s="11" t="str">
        <x:v>020989</x:v>
      </x:c>
      <x:c r="B29" s="19" t="str">
        <x:v>南方恒生科技ETF发起联接（QDII）C</x:v>
      </x:c>
      <x:c r="C29" s="11" t="str">
        <x:v>QDII普通公募</x:v>
      </x:c>
      <x:c r="D29" s="11" t="str">
        <x:v>C</x:v>
      </x:c>
      <x:c r="E29" s="11" t="str">
        <x:v>人民币</x:v>
      </x:c>
      <x:c r="F29" s="11" t="str">
        <x:v>全部渠道</x:v>
      </x:c>
      <x:c r="G29" s="11" t="str">
        <x:v>场外</x:v>
      </x:c>
      <x:c r="H29" s="11" t="str">
        <x:v>开放申购</x:v>
      </x:c>
      <x:c r="I29" s="12"/>
      <x:c r="J29" s="12" t="str">
        <x:v>人民币</x:v>
      </x:c>
      <x:c r="K29" s="12"/>
      <x:c r="L29" s="13"/>
      <x:c r="M29" s="11" t="str">
        <x:v>不适用</x:v>
      </x:c>
      <x:c r="N29" s="21" t="str">
        <x:v>https://www.nffund.com/new/transaction-guide/product-status-and-limits.html</x:v>
      </x:c>
      <x:c r="O29" s="19" t="str">
        <x:v>未见仍有效的公告级统一大额申购上限；实际下单仍受销售机构规则、最低申购金额及境外市场休市安排约束。</x:v>
      </x:c>
    </x:row>
    <x:row r="30" ht="44" customHeight="1">
      <x:c r="A30" s="11" t="str">
        <x:v>001691</x:v>
      </x:c>
      <x:c r="B30" s="19" t="str">
        <x:v>南方香港成长灵活配置混合</x:v>
      </x:c>
      <x:c r="C30" s="11" t="str">
        <x:v>QDII普通公募</x:v>
      </x:c>
      <x:c r="D30" s="11" t="str"/>
      <x:c r="E30" s="11" t="str">
        <x:v>人民币</x:v>
      </x:c>
      <x:c r="F30" s="11" t="str">
        <x:v>全部渠道</x:v>
      </x:c>
      <x:c r="G30" s="11" t="str">
        <x:v>场外</x:v>
      </x:c>
      <x:c r="H30" s="11" t="str">
        <x:v>开放申购</x:v>
      </x:c>
      <x:c r="I30" s="12" t="n">
        <x:v>20000000</x:v>
      </x:c>
      <x:c r="J30" s="12" t="str">
        <x:v>人民币</x:v>
      </x:c>
      <x:c r="K30" s="12" t="n">
        <x:f>I30</x:f>
        <x:v>20000000</x:v>
      </x:c>
      <x:c r="L30" s="13" t="n">
        <x:v>44539</x:v>
      </x:c>
      <x:c r="M30" s="11" t="str">
        <x:v>不适用</x:v>
      </x:c>
      <x:c r="N30" s="21" t="str">
        <x:v>https://www.nffund.com/main/files/2021/12/08/480295821241.docx</x:v>
      </x:c>
      <x:c r="O30" s="19" t="str">
        <x:v>单日每个基金账户申购和定投合并计算，超过2,000万元的申请不予接受；未检索到后续恢复大额申购公告。</x:v>
      </x:c>
    </x:row>
    <x:row r="31" ht="44" customHeight="1">
      <x:c r="A31" s="11" t="str">
        <x:v>160140</x:v>
      </x:c>
      <x:c r="B31" s="19" t="str">
        <x:v>美国REIT精选LOF</x:v>
      </x:c>
      <x:c r="C31" s="11" t="str">
        <x:v>QDII LOF</x:v>
      </x:c>
      <x:c r="D31" s="11" t="str">
        <x:v>A/场内</x:v>
      </x:c>
      <x:c r="E31" s="11" t="str">
        <x:v>人民币</x:v>
      </x:c>
      <x:c r="F31" s="11" t="str">
        <x:v>全部渠道</x:v>
      </x:c>
      <x:c r="G31" s="11" t="str">
        <x:v>场外申购/场内交易</x:v>
      </x:c>
      <x:c r="H31" s="11" t="str">
        <x:v>开放申购</x:v>
      </x:c>
      <x:c r="I31" s="12" t="n">
        <x:v>1000000</x:v>
      </x:c>
      <x:c r="J31" s="12" t="str">
        <x:v>人民币</x:v>
      </x:c>
      <x:c r="K31" s="12" t="n">
        <x:f>I31</x:f>
        <x:v>1000000</x:v>
      </x:c>
      <x:c r="L31" s="13" t="n">
        <x:v>45887</x:v>
      </x:c>
      <x:c r="M31" s="11" t="str">
        <x:v>A类场内可买卖</x:v>
      </x:c>
      <x:c r="N31" s="21" t="str">
        <x:v>https://www.nffund.com/main/files/2025/08/15/608940058513.pdf</x:v>
      </x:c>
      <x:c r="O31" s="19" t="str">
        <x:v>A、C类分别按单日单账户计算。个人投资者超额部分失败；非个人投资者超过限额时全部申购失败。该产品是投资美国REIT指数的QDII-LOF，不是境内公募基础设施REIT。</x:v>
      </x:c>
    </x:row>
    <x:row r="32" ht="44" customHeight="1">
      <x:c r="A32" s="11" t="str">
        <x:v>160141</x:v>
      </x:c>
      <x:c r="B32" s="19" t="str">
        <x:v>南方道琼斯美国精选REIT指数（QDII-LOF）C</x:v>
      </x:c>
      <x:c r="C32" s="11" t="str">
        <x:v>QDII LOF</x:v>
      </x:c>
      <x:c r="D32" s="11" t="str">
        <x:v>C</x:v>
      </x:c>
      <x:c r="E32" s="11" t="str">
        <x:v>人民币</x:v>
      </x:c>
      <x:c r="F32" s="11" t="str">
        <x:v>全部渠道</x:v>
      </x:c>
      <x:c r="G32" s="11" t="str">
        <x:v>场外申购/场内交易</x:v>
      </x:c>
      <x:c r="H32" s="11" t="str">
        <x:v>开放申购</x:v>
      </x:c>
      <x:c r="I32" s="12" t="n">
        <x:v>1000000</x:v>
      </x:c>
      <x:c r="J32" s="12" t="str">
        <x:v>人民币</x:v>
      </x:c>
      <x:c r="K32" s="12" t="n">
        <x:f>I32</x:f>
        <x:v>1000000</x:v>
      </x:c>
      <x:c r="L32" s="13" t="n">
        <x:v>45887</x:v>
      </x:c>
      <x:c r="M32" s="11" t="str">
        <x:v>A类场内可买卖</x:v>
      </x:c>
      <x:c r="N32" s="21" t="str">
        <x:v>https://www.nffund.com/main/files/2025/08/15/608940058513.pdf</x:v>
      </x:c>
      <x:c r="O32" s="19" t="str">
        <x:v>A、C类分别按单日单账户计算。个人投资者超额部分失败；非个人投资者超过限额时全部申购失败。该产品是投资美国REIT指数的QDII-LOF，不是境内公募基础设施REIT。</x:v>
      </x:c>
    </x:row>
    <x:row r="33" ht="44" customHeight="1">
      <x:c r="A33" s="11" t="str">
        <x:v>002400</x:v>
      </x:c>
      <x:c r="B33" s="19" t="str">
        <x:v>南方亚洲美元收益债券（QDII）A（人民币）</x:v>
      </x:c>
      <x:c r="C33" s="11" t="str">
        <x:v>QDII普通公募</x:v>
      </x:c>
      <x:c r="D33" s="11" t="str">
        <x:v>A</x:v>
      </x:c>
      <x:c r="E33" s="11" t="str">
        <x:v>人民币</x:v>
      </x:c>
      <x:c r="F33" s="11" t="str">
        <x:v>全部渠道</x:v>
      </x:c>
      <x:c r="G33" s="11" t="str">
        <x:v>场外</x:v>
      </x:c>
      <x:c r="H33" s="11" t="str">
        <x:v>开放申购</x:v>
      </x:c>
      <x:c r="I33" s="12" t="n">
        <x:v>1000000</x:v>
      </x:c>
      <x:c r="J33" s="12" t="str">
        <x:v>人民币</x:v>
      </x:c>
      <x:c r="K33" s="12" t="n">
        <x:f>I33</x:f>
        <x:v>1000000</x:v>
      </x:c>
      <x:c r="L33" s="13" t="n">
        <x:v>46184</x:v>
      </x:c>
      <x:c r="M33" s="11" t="str">
        <x:v>不适用</x:v>
      </x:c>
      <x:c r="N33" s="21" t="str">
        <x:v>https://www.nffund.com/main/files/2026/06/10/854334833560.pdf</x:v>
      </x:c>
      <x:c r="O33" s="19" t="str">
        <x:v>各类人民币份额分别按单日单账户累计，申购、定投及转换转入合并计算。</x:v>
      </x:c>
    </x:row>
    <x:row r="34" ht="44" customHeight="1">
      <x:c r="A34" s="11" t="str">
        <x:v>002401</x:v>
      </x:c>
      <x:c r="B34" s="19" t="str">
        <x:v>南方亚洲美元收益债券（QDII）C（人民币）</x:v>
      </x:c>
      <x:c r="C34" s="11" t="str">
        <x:v>QDII普通公募</x:v>
      </x:c>
      <x:c r="D34" s="11" t="str">
        <x:v>C</x:v>
      </x:c>
      <x:c r="E34" s="11" t="str">
        <x:v>人民币</x:v>
      </x:c>
      <x:c r="F34" s="11" t="str">
        <x:v>全部渠道</x:v>
      </x:c>
      <x:c r="G34" s="11" t="str">
        <x:v>场外</x:v>
      </x:c>
      <x:c r="H34" s="11" t="str">
        <x:v>开放申购</x:v>
      </x:c>
      <x:c r="I34" s="12" t="n">
        <x:v>1000000</x:v>
      </x:c>
      <x:c r="J34" s="12" t="str">
        <x:v>人民币</x:v>
      </x:c>
      <x:c r="K34" s="12" t="n">
        <x:f>I34</x:f>
        <x:v>1000000</x:v>
      </x:c>
      <x:c r="L34" s="13" t="n">
        <x:v>46184</x:v>
      </x:c>
      <x:c r="M34" s="11" t="str">
        <x:v>不适用</x:v>
      </x:c>
      <x:c r="N34" s="21" t="str">
        <x:v>https://www.nffund.com/main/files/2026/06/10/854334833560.pdf</x:v>
      </x:c>
      <x:c r="O34" s="19" t="str">
        <x:v>各类人民币份额分别按单日单账户累计，申购、定投及转换转入合并计算。</x:v>
      </x:c>
    </x:row>
    <x:row r="35" ht="44" customHeight="1">
      <x:c r="A35" s="11" t="str">
        <x:v>022512</x:v>
      </x:c>
      <x:c r="B35" s="19" t="str">
        <x:v>南方亚洲美元收益债券（QDII）E（人民币）</x:v>
      </x:c>
      <x:c r="C35" s="11" t="str">
        <x:v>QDII普通公募</x:v>
      </x:c>
      <x:c r="D35" s="11" t="str">
        <x:v>E</x:v>
      </x:c>
      <x:c r="E35" s="11" t="str">
        <x:v>人民币</x:v>
      </x:c>
      <x:c r="F35" s="11" t="str">
        <x:v>全部渠道</x:v>
      </x:c>
      <x:c r="G35" s="11" t="str">
        <x:v>场外</x:v>
      </x:c>
      <x:c r="H35" s="11" t="str">
        <x:v>开放申购</x:v>
      </x:c>
      <x:c r="I35" s="12" t="n">
        <x:v>1000000</x:v>
      </x:c>
      <x:c r="J35" s="12" t="str">
        <x:v>人民币</x:v>
      </x:c>
      <x:c r="K35" s="12" t="n">
        <x:f>I35</x:f>
        <x:v>1000000</x:v>
      </x:c>
      <x:c r="L35" s="13" t="n">
        <x:v>46184</x:v>
      </x:c>
      <x:c r="M35" s="11" t="str">
        <x:v>不适用</x:v>
      </x:c>
      <x:c r="N35" s="21" t="str">
        <x:v>https://www.nffund.com/main/files/2026/06/10/854334833560.pdf</x:v>
      </x:c>
      <x:c r="O35" s="19" t="str">
        <x:v>各类人民币份额分别按单日单账户累计，申购、定投及转换转入合并计算。</x:v>
      </x:c>
    </x:row>
    <x:row r="36" ht="44" customHeight="1">
      <x:c r="A36" s="11" t="str">
        <x:v>002402</x:v>
      </x:c>
      <x:c r="B36" s="19" t="str">
        <x:v>南方亚洲美元收益债券（QDII）A（美元现汇）</x:v>
      </x:c>
      <x:c r="C36" s="11" t="str">
        <x:v>QDII普通公募</x:v>
      </x:c>
      <x:c r="D36" s="11" t="str">
        <x:v>A</x:v>
      </x:c>
      <x:c r="E36" s="11" t="str">
        <x:v>美元现汇</x:v>
      </x:c>
      <x:c r="F36" s="11" t="str">
        <x:v>全部渠道</x:v>
      </x:c>
      <x:c r="G36" s="11" t="str">
        <x:v>场外</x:v>
      </x:c>
      <x:c r="H36" s="11" t="str">
        <x:v>开放申购</x:v>
      </x:c>
      <x:c r="I36" s="12" t="n">
        <x:v>10000</x:v>
      </x:c>
      <x:c r="J36" s="12" t="str">
        <x:v>美元</x:v>
      </x:c>
      <x:c r="K36" s="12" t="n">
        <x:f>I36*'来源与口径'!$H$2</x:f>
        <x:v>67669</x:v>
      </x:c>
      <x:c r="L36" s="13" t="n">
        <x:v>45390</x:v>
      </x:c>
      <x:c r="M36" s="11" t="str">
        <x:v>不适用</x:v>
      </x:c>
      <x:c r="N36" s="21" t="str">
        <x:v>https://www.nffund.com/main/files/2024/04/03/260815558288.pdf</x:v>
      </x:c>
      <x:c r="O36" s="19" t="str">
        <x:v>各美元份额分别按单日单账户累计，申购和定投合并计算；人民币等值按来源页所示最近可得ECB参考汇率1美元=6.7669元估算，仅用于横向比较。</x:v>
      </x:c>
    </x:row>
    <x:row r="37" ht="44" customHeight="1">
      <x:c r="A37" s="11" t="str">
        <x:v>002403</x:v>
      </x:c>
      <x:c r="B37" s="19" t="str">
        <x:v>南方亚洲美元收益债券（QDII）C（美元现汇）</x:v>
      </x:c>
      <x:c r="C37" s="11" t="str">
        <x:v>QDII普通公募</x:v>
      </x:c>
      <x:c r="D37" s="11" t="str">
        <x:v>C</x:v>
      </x:c>
      <x:c r="E37" s="11" t="str">
        <x:v>美元现汇</x:v>
      </x:c>
      <x:c r="F37" s="11" t="str">
        <x:v>全部渠道</x:v>
      </x:c>
      <x:c r="G37" s="11" t="str">
        <x:v>场外</x:v>
      </x:c>
      <x:c r="H37" s="11" t="str">
        <x:v>开放申购</x:v>
      </x:c>
      <x:c r="I37" s="12" t="n">
        <x:v>10000</x:v>
      </x:c>
      <x:c r="J37" s="12" t="str">
        <x:v>美元</x:v>
      </x:c>
      <x:c r="K37" s="12" t="n">
        <x:f>I37*'来源与口径'!$H$2</x:f>
        <x:v>67669</x:v>
      </x:c>
      <x:c r="L37" s="13" t="n">
        <x:v>45390</x:v>
      </x:c>
      <x:c r="M37" s="11" t="str">
        <x:v>不适用</x:v>
      </x:c>
      <x:c r="N37" s="21" t="str">
        <x:v>https://www.nffund.com/main/files/2024/04/03/260815558288.pdf</x:v>
      </x:c>
      <x:c r="O37" s="19" t="str">
        <x:v>各美元份额分别按单日单账户累计，申购和定投合并计算；人民币等值按来源页所示最近可得ECB参考汇率1美元=6.7669元估算，仅用于横向比较。</x:v>
      </x:c>
    </x:row>
    <x:row r="38" ht="44" customHeight="1">
      <x:c r="A38" s="11" t="str">
        <x:v>501018</x:v>
      </x:c>
      <x:c r="B38" s="19" t="str">
        <x:v>南方原油LOF</x:v>
      </x:c>
      <x:c r="C38" s="11" t="str">
        <x:v>QDII LOF</x:v>
      </x:c>
      <x:c r="D38" s="11" t="str">
        <x:v>A/场内</x:v>
      </x:c>
      <x:c r="E38" s="11" t="str">
        <x:v>人民币</x:v>
      </x:c>
      <x:c r="F38" s="11" t="str">
        <x:v>全部渠道</x:v>
      </x:c>
      <x:c r="G38" s="11" t="str">
        <x:v>场外申购/场内交易</x:v>
      </x:c>
      <x:c r="H38" s="11" t="str">
        <x:v>暂停申购</x:v>
      </x:c>
      <x:c r="I38" s="12" t="n">
        <x:v>0</x:v>
      </x:c>
      <x:c r="J38" s="12" t="str">
        <x:v>人民币</x:v>
      </x:c>
      <x:c r="K38" s="12" t="n">
        <x:f>I38</x:f>
        <x:v>0</x:v>
      </x:c>
      <x:c r="L38" s="13" t="n">
        <x:v>46066</x:v>
      </x:c>
      <x:c r="M38" s="11" t="str">
        <x:v>A类场内可买卖</x:v>
      </x:c>
      <x:c r="N38" s="21" t="str">
        <x:v>https://www.nffund.com/main/files/2026/02/12/757350488992.pdf</x:v>
      </x:c>
      <x:c r="O38" s="19" t="str">
        <x:v>申购及定投暂停，恢复时间另行公告；A类二级市场交易仍正常，注意溢价风险。</x:v>
      </x:c>
    </x:row>
    <x:row r="39" ht="44" customHeight="1">
      <x:c r="A39" s="11" t="str">
        <x:v>006476</x:v>
      </x:c>
      <x:c r="B39" s="19" t="str">
        <x:v>南方原油（QDII-FOF）C</x:v>
      </x:c>
      <x:c r="C39" s="11" t="str">
        <x:v>QDII普通公募</x:v>
      </x:c>
      <x:c r="D39" s="11" t="str">
        <x:v>C</x:v>
      </x:c>
      <x:c r="E39" s="11" t="str">
        <x:v>人民币</x:v>
      </x:c>
      <x:c r="F39" s="11" t="str">
        <x:v>全部渠道</x:v>
      </x:c>
      <x:c r="G39" s="11" t="str">
        <x:v>场外</x:v>
      </x:c>
      <x:c r="H39" s="11" t="str">
        <x:v>暂停申购</x:v>
      </x:c>
      <x:c r="I39" s="12" t="n">
        <x:v>0</x:v>
      </x:c>
      <x:c r="J39" s="12" t="str">
        <x:v>人民币</x:v>
      </x:c>
      <x:c r="K39" s="12" t="n">
        <x:f>I39</x:f>
        <x:v>0</x:v>
      </x:c>
      <x:c r="L39" s="13" t="n">
        <x:v>46066</x:v>
      </x:c>
      <x:c r="M39" s="11" t="str">
        <x:v>不适用</x:v>
      </x:c>
      <x:c r="N39" s="21" t="str">
        <x:v>https://www.nffund.com/main/files/2026/02/12/757350488992.pdf</x:v>
      </x:c>
      <x:c r="O39" s="19" t="str">
        <x:v>申购及定投暂停，恢复时间另行公告。</x:v>
      </x:c>
    </x:row>
    <x:row r="40" ht="44" customHeight="1">
      <x:c r="A40" s="11" t="str">
        <x:v>016452</x:v>
      </x:c>
      <x:c r="B40" s="19" t="str">
        <x:v>南方纳斯达克100指数发起（QDII）A</x:v>
      </x:c>
      <x:c r="C40" s="11" t="str">
        <x:v>QDII普通公募</x:v>
      </x:c>
      <x:c r="D40" s="11" t="str">
        <x:v>A</x:v>
      </x:c>
      <x:c r="E40" s="11" t="str">
        <x:v>人民币</x:v>
      </x:c>
      <x:c r="F40" s="11" t="str">
        <x:v>全部渠道</x:v>
      </x:c>
      <x:c r="G40" s="11" t="str">
        <x:v>场外</x:v>
      </x:c>
      <x:c r="H40" s="11" t="str">
        <x:v>开放申购</x:v>
      </x:c>
      <x:c r="I40" s="12" t="n">
        <x:v>10</x:v>
      </x:c>
      <x:c r="J40" s="12" t="str">
        <x:v>人民币</x:v>
      </x:c>
      <x:c r="K40" s="12" t="n">
        <x:f>I40</x:f>
        <x:v>10</x:v>
      </x:c>
      <x:c r="L40" s="13" t="n">
        <x:v>46212</x:v>
      </x:c>
      <x:c r="M40" s="11" t="str">
        <x:v>不适用</x:v>
      </x:c>
      <x:c r="N40" s="21" t="str">
        <x:v>https://www.nffund.com/main/files/2026/07/08/015716542930.pdf</x:v>
      </x:c>
      <x:c r="O40" s="19" t="str">
        <x:v>单日每个基金账户累计申购、定投和转换转入合并计算；各份额类别单独计算。I类限额来自同一基金最新状态说明及2026-06-17公告。</x:v>
      </x:c>
    </x:row>
    <x:row r="41" ht="44" customHeight="1">
      <x:c r="A41" s="11" t="str">
        <x:v>016453</x:v>
      </x:c>
      <x:c r="B41" s="19" t="str">
        <x:v>南方纳斯达克100指数发起（QDII）C</x:v>
      </x:c>
      <x:c r="C41" s="11" t="str">
        <x:v>QDII普通公募</x:v>
      </x:c>
      <x:c r="D41" s="11" t="str">
        <x:v>C</x:v>
      </x:c>
      <x:c r="E41" s="11" t="str">
        <x:v>人民币</x:v>
      </x:c>
      <x:c r="F41" s="11" t="str">
        <x:v>全部渠道</x:v>
      </x:c>
      <x:c r="G41" s="11" t="str">
        <x:v>场外</x:v>
      </x:c>
      <x:c r="H41" s="11" t="str">
        <x:v>开放申购</x:v>
      </x:c>
      <x:c r="I41" s="12" t="n">
        <x:v>10</x:v>
      </x:c>
      <x:c r="J41" s="12" t="str">
        <x:v>人民币</x:v>
      </x:c>
      <x:c r="K41" s="12" t="n">
        <x:f>I41</x:f>
        <x:v>10</x:v>
      </x:c>
      <x:c r="L41" s="13" t="n">
        <x:v>46212</x:v>
      </x:c>
      <x:c r="M41" s="11" t="str">
        <x:v>不适用</x:v>
      </x:c>
      <x:c r="N41" s="21" t="str">
        <x:v>https://www.nffund.com/main/files/2026/07/08/015716542930.pdf</x:v>
      </x:c>
      <x:c r="O41" s="19" t="str">
        <x:v>单日每个基金账户累计申购、定投和转换转入合并计算；各份额类别单独计算。I类限额来自同一基金最新状态说明及2026-06-17公告。</x:v>
      </x:c>
    </x:row>
    <x:row r="42" ht="44" customHeight="1">
      <x:c r="A42" s="11" t="str">
        <x:v>021000</x:v>
      </x:c>
      <x:c r="B42" s="19" t="str">
        <x:v>南方纳斯达克100指数发起（QDII）I</x:v>
      </x:c>
      <x:c r="C42" s="11" t="str">
        <x:v>QDII普通公募</x:v>
      </x:c>
      <x:c r="D42" s="11" t="str">
        <x:v>I</x:v>
      </x:c>
      <x:c r="E42" s="11" t="str">
        <x:v>人民币</x:v>
      </x:c>
      <x:c r="F42" s="11" t="str">
        <x:v>全部渠道</x:v>
      </x:c>
      <x:c r="G42" s="11" t="str">
        <x:v>场外</x:v>
      </x:c>
      <x:c r="H42" s="11" t="str">
        <x:v>开放申购</x:v>
      </x:c>
      <x:c r="I42" s="12" t="n">
        <x:v>1000</x:v>
      </x:c>
      <x:c r="J42" s="12" t="str">
        <x:v>人民币</x:v>
      </x:c>
      <x:c r="K42" s="12" t="n">
        <x:f>I42</x:f>
        <x:v>1000</x:v>
      </x:c>
      <x:c r="L42" s="13" t="n">
        <x:v>46191</x:v>
      </x:c>
      <x:c r="M42" s="11" t="str">
        <x:v>不适用</x:v>
      </x:c>
      <x:c r="N42" s="21" t="str">
        <x:v>https://www.nffund.com/main/files/2026/07/08/015716542930.pdf</x:v>
      </x:c>
      <x:c r="O42" s="19" t="str">
        <x:v>单日每个基金账户累计申购、定投和转换转入合并计算；各份额类别单独计算。I类限额来自同一基金最新状态说明及2026-06-17公告。</x:v>
      </x:c>
    </x:row>
    <x:row r="43" ht="44" customHeight="1">
      <x:c r="A43" s="11" t="str">
        <x:v>021189</x:v>
      </x:c>
      <x:c r="B43" s="19" t="str">
        <x:v>南方亚太精选ETF联接（QDII）A</x:v>
      </x:c>
      <x:c r="C43" s="11" t="str">
        <x:v>QDII普通公募</x:v>
      </x:c>
      <x:c r="D43" s="11" t="str">
        <x:v>A</x:v>
      </x:c>
      <x:c r="E43" s="11" t="str">
        <x:v>人民币</x:v>
      </x:c>
      <x:c r="F43" s="11" t="str">
        <x:v>直销渠道</x:v>
      </x:c>
      <x:c r="G43" s="11" t="str">
        <x:v>场外</x:v>
      </x:c>
      <x:c r="H43" s="11" t="str">
        <x:v>开放申购</x:v>
      </x:c>
      <x:c r="I43" s="12" t="n">
        <x:v>30000</x:v>
      </x:c>
      <x:c r="J43" s="12" t="str">
        <x:v>人民币</x:v>
      </x:c>
      <x:c r="K43" s="12" t="n">
        <x:f>I43</x:f>
        <x:v>30000</x:v>
      </x:c>
      <x:c r="L43" s="13" t="n">
        <x:v>46203</x:v>
      </x:c>
      <x:c r="M43" s="11" t="str">
        <x:v>不适用</x:v>
      </x:c>
      <x:c r="N43" s="21" t="str">
        <x:v>https://www.nffund.com/main/files/2026/06/29/217093406177.pdf</x:v>
      </x:c>
      <x:c r="O43" s="19" t="str">
        <x:v>各类份额分别按单日单账户累计，申购和定投合并计算；开放日业务办理时间为北京时间9:30-14:30。</x:v>
      </x:c>
    </x:row>
    <x:row r="44" ht="44" customHeight="1">
      <x:c r="A44" s="11" t="str">
        <x:v>021189</x:v>
      </x:c>
      <x:c r="B44" s="19" t="str">
        <x:v>南方亚太精选ETF联接（QDII）A</x:v>
      </x:c>
      <x:c r="C44" s="11" t="str">
        <x:v>QDII普通公募</x:v>
      </x:c>
      <x:c r="D44" s="11" t="str">
        <x:v>A</x:v>
      </x:c>
      <x:c r="E44" s="11" t="str">
        <x:v>人民币</x:v>
      </x:c>
      <x:c r="F44" s="11" t="str">
        <x:v>直销渠道以外</x:v>
      </x:c>
      <x:c r="G44" s="11" t="str">
        <x:v>场外</x:v>
      </x:c>
      <x:c r="H44" s="11" t="str">
        <x:v>开放申购</x:v>
      </x:c>
      <x:c r="I44" s="12" t="n">
        <x:v>10000</x:v>
      </x:c>
      <x:c r="J44" s="12" t="str">
        <x:v>人民币</x:v>
      </x:c>
      <x:c r="K44" s="12" t="n">
        <x:f>I44</x:f>
        <x:v>10000</x:v>
      </x:c>
      <x:c r="L44" s="13" t="n">
        <x:v>46203</x:v>
      </x:c>
      <x:c r="M44" s="11" t="str">
        <x:v>不适用</x:v>
      </x:c>
      <x:c r="N44" s="21" t="str">
        <x:v>https://www.nffund.com/main/files/2026/06/29/217093406177.pdf</x:v>
      </x:c>
      <x:c r="O44" s="19" t="str">
        <x:v>各类份额分别按单日单账户累计，申购和定投合并计算；开放日业务办理时间为北京时间9:30-14:30。</x:v>
      </x:c>
    </x:row>
    <x:row r="45" ht="44" customHeight="1">
      <x:c r="A45" s="11" t="str">
        <x:v>021190</x:v>
      </x:c>
      <x:c r="B45" s="19" t="str">
        <x:v>南方亚太精选ETF联接（QDII）C</x:v>
      </x:c>
      <x:c r="C45" s="11" t="str">
        <x:v>QDII普通公募</x:v>
      </x:c>
      <x:c r="D45" s="11" t="str">
        <x:v>C</x:v>
      </x:c>
      <x:c r="E45" s="11" t="str">
        <x:v>人民币</x:v>
      </x:c>
      <x:c r="F45" s="11" t="str">
        <x:v>直销渠道</x:v>
      </x:c>
      <x:c r="G45" s="11" t="str">
        <x:v>场外</x:v>
      </x:c>
      <x:c r="H45" s="11" t="str">
        <x:v>开放申购</x:v>
      </x:c>
      <x:c r="I45" s="12" t="n">
        <x:v>30000</x:v>
      </x:c>
      <x:c r="J45" s="12" t="str">
        <x:v>人民币</x:v>
      </x:c>
      <x:c r="K45" s="12" t="n">
        <x:f>I45</x:f>
        <x:v>30000</x:v>
      </x:c>
      <x:c r="L45" s="13" t="n">
        <x:v>46203</x:v>
      </x:c>
      <x:c r="M45" s="11" t="str">
        <x:v>不适用</x:v>
      </x:c>
      <x:c r="N45" s="21" t="str">
        <x:v>https://www.nffund.com/main/files/2026/06/29/217093406177.pdf</x:v>
      </x:c>
      <x:c r="O45" s="19" t="str">
        <x:v>各类份额分别按单日单账户累计，申购和定投合并计算；开放日业务办理时间为北京时间9:30-14:30。</x:v>
      </x:c>
    </x:row>
    <x:row r="46" ht="44" customHeight="1">
      <x:c r="A46" s="11" t="str">
        <x:v>021190</x:v>
      </x:c>
      <x:c r="B46" s="19" t="str">
        <x:v>南方亚太精选ETF联接（QDII）C</x:v>
      </x:c>
      <x:c r="C46" s="11" t="str">
        <x:v>QDII普通公募</x:v>
      </x:c>
      <x:c r="D46" s="11" t="str">
        <x:v>C</x:v>
      </x:c>
      <x:c r="E46" s="11" t="str">
        <x:v>人民币</x:v>
      </x:c>
      <x:c r="F46" s="11" t="str">
        <x:v>直销渠道以外</x:v>
      </x:c>
      <x:c r="G46" s="11" t="str">
        <x:v>场外</x:v>
      </x:c>
      <x:c r="H46" s="11" t="str">
        <x:v>开放申购</x:v>
      </x:c>
      <x:c r="I46" s="12" t="n">
        <x:v>10000</x:v>
      </x:c>
      <x:c r="J46" s="12" t="str">
        <x:v>人民币</x:v>
      </x:c>
      <x:c r="K46" s="12" t="n">
        <x:f>I46</x:f>
        <x:v>10000</x:v>
      </x:c>
      <x:c r="L46" s="13" t="n">
        <x:v>46203</x:v>
      </x:c>
      <x:c r="M46" s="11" t="str">
        <x:v>不适用</x:v>
      </x:c>
      <x:c r="N46" s="21" t="str">
        <x:v>https://www.nffund.com/main/files/2026/06/29/217093406177.pdf</x:v>
      </x:c>
      <x:c r="O46" s="19" t="str">
        <x:v>各类份额分别按单日单账户累计，申购和定投合并计算；开放日业务办理时间为北京时间9:30-14:30。</x:v>
      </x:c>
    </x:row>
    <x:row r="47" ht="44" customHeight="1">
      <x:c r="A47" s="11" t="str">
        <x:v>180305</x:v>
      </x:c>
      <x:c r="B47" s="19" t="str">
        <x:v>南方顺丰物流REIT</x:v>
      </x:c>
      <x:c r="C47" s="11" t="str">
        <x:v>境内公募REIT</x:v>
      </x:c>
      <x:c r="D47" s="11" t="str">
        <x:v>封闭式公募REIT</x:v>
      </x:c>
      <x:c r="E47" s="11" t="str">
        <x:v>人民币</x:v>
      </x:c>
      <x:c r="F47" s="11" t="str">
        <x:v>全部渠道</x:v>
      </x:c>
      <x:c r="G47" s="11" t="str">
        <x:v>封闭式基金</x:v>
      </x:c>
      <x:c r="H47" s="11" t="str">
        <x:v>不开放日常申购</x:v>
      </x:c>
      <x:c r="I47" s="12" t="n">
        <x:v>0</x:v>
      </x:c>
      <x:c r="J47" s="12" t="str">
        <x:v>人民币</x:v>
      </x:c>
      <x:c r="K47" s="12" t="n">
        <x:f>I47</x:f>
        <x:v>0</x:v>
      </x:c>
      <x:c r="L47" s="13"/>
      <x:c r="M47" s="11" t="str">
        <x:v>基金份额上市后可在深交所买卖</x:v>
      </x:c>
      <x:c r="N47" s="21" t="str">
        <x:v>https://www.nffund.com/new/transaction-guide/product-status-and-limits.html</x:v>
      </x:c>
      <x:c r="O47" s="19" t="str">
        <x:v>境内公募基础设施REIT，不属于QDII；封闭式运作，日常不开放申购与赎回。</x:v>
      </x:c>
    </x:row>
    <x:row r="48" ht="44" customHeight="1">
      <x:c r="A48" s="11" t="str">
        <x:v>180901</x:v>
      </x:c>
      <x:c r="B48" s="19" t="str">
        <x:v>南方润泽科技数据中心REIT</x:v>
      </x:c>
      <x:c r="C48" s="11" t="str">
        <x:v>境内公募REIT</x:v>
      </x:c>
      <x:c r="D48" s="11" t="str">
        <x:v>封闭式公募REIT（50年）</x:v>
      </x:c>
      <x:c r="E48" s="11" t="str">
        <x:v>人民币</x:v>
      </x:c>
      <x:c r="F48" s="11" t="str">
        <x:v>全部渠道</x:v>
      </x:c>
      <x:c r="G48" s="11" t="str">
        <x:v>封闭式基金</x:v>
      </x:c>
      <x:c r="H48" s="11" t="str">
        <x:v>不开放日常申购</x:v>
      </x:c>
      <x:c r="I48" s="12" t="n">
        <x:v>0</x:v>
      </x:c>
      <x:c r="J48" s="12" t="str">
        <x:v>人民币</x:v>
      </x:c>
      <x:c r="K48" s="12" t="n">
        <x:f>I48</x:f>
        <x:v>0</x:v>
      </x:c>
      <x:c r="L48" s="13"/>
      <x:c r="M48" s="11" t="str">
        <x:v>可在深交所买卖</x:v>
      </x:c>
      <x:c r="N48" s="21" t="str">
        <x:v>https://www.nffund.com/new/transaction-guide/product-status-and-limits.html</x:v>
      </x:c>
      <x:c r="O48" s="19" t="str">
        <x:v>境内公募基础设施REIT，不属于QDII；封闭式运作，日常不开放申购与赎回。</x:v>
      </x:c>
    </x:row>
    <x:row r="49" ht="44" customHeight="1">
      <x:c r="A49" s="15" t="str">
        <x:v>508060</x:v>
      </x:c>
      <x:c r="B49" s="20" t="str">
        <x:v>南方万国数据中心REIT</x:v>
      </x:c>
      <x:c r="C49" s="15" t="str">
        <x:v>境内公募REIT</x:v>
      </x:c>
      <x:c r="D49" s="15" t="str">
        <x:v>封闭式公募REIT（38年）</x:v>
      </x:c>
      <x:c r="E49" s="15" t="str">
        <x:v>人民币</x:v>
      </x:c>
      <x:c r="F49" s="15" t="str">
        <x:v>全部渠道</x:v>
      </x:c>
      <x:c r="G49" s="15" t="str">
        <x:v>封闭式基金</x:v>
      </x:c>
      <x:c r="H49" s="15" t="str">
        <x:v>不开放日常申购</x:v>
      </x:c>
      <x:c r="I49" s="16" t="n">
        <x:v>0</x:v>
      </x:c>
      <x:c r="J49" s="16" t="str">
        <x:v>人民币</x:v>
      </x:c>
      <x:c r="K49" s="16" t="n">
        <x:f>I49</x:f>
        <x:v>0</x:v>
      </x:c>
      <x:c r="L49" s="17"/>
      <x:c r="M49" s="15" t="str">
        <x:v>可在上交所买卖</x:v>
      </x:c>
      <x:c r="N49" s="22" t="str">
        <x:v>https://www.nffund.com/new/transaction-guide/product-status-and-limits.html</x:v>
      </x:c>
      <x:c r="O49" s="20" t="str">
        <x:v>境内公募基础设施REIT，不属于QDII；封闭式运作，日常不开放申购与赎回。</x:v>
      </x:c>
    </x:row>
  </x:sheetData>
  <x:conditionalFormatting sqref="H2:H49">
    <x:cfRule type="containsText" dxfId="0" priority="1" operator="containsText" text="暂停"/>
    <x:cfRule type="containsText" dxfId="1" priority="2" operator="containsText" text="不开放"/>
    <x:cfRule type="containsText" dxfId="2" priority="3" operator="containsText" text="开放"/>
  </x:conditionalFormatting>
  <x:pageMargins left="0.7" right="0.7" top="0.75" bottom="0.75" header="0.3" footer="0.3"/>
  <x:legacyDrawing xmlns:r="http://schemas.openxmlformats.org/officeDocument/2006/relationships" r:id="R0b320719d88d4f1a"/>
  <x:tableParts count="1">
    <x:tablePart xmlns:r="http://schemas.openxmlformats.org/officeDocument/2006/relationships" r:id="R5eb588cf92b245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18" hidden="0" customWidth="1"/>
    <x:col min="4" max="4" width="45" hidden="0" customWidth="1"/>
    <x:col min="5" max="5" width="62" hidden="0" customWidth="1"/>
    <x:col min="6" max="6" width="38" hidden="0" customWidth="1"/>
  </x:cols>
  <x:sheetData>
    <x:row r="1">
      <x:c r="A1" s="3" t="str">
        <x:v>来源ID</x:v>
      </x:c>
      <x:c r="B1" s="3" t="str">
        <x:v>来源名称</x:v>
      </x:c>
      <x:c r="C1" s="3" t="str">
        <x:v>发布日期/数据日</x:v>
      </x:c>
      <x:c r="D1" s="3" t="str">
        <x:v>支持内容</x:v>
      </x:c>
      <x:c r="E1" s="3" t="str">
        <x:v>URL</x:v>
      </x:c>
      <x:c r="F1" s="3" t="str">
        <x:v>备注</x:v>
      </x:c>
      <x:c r="G1" s="30" t="str">
        <x:v>换算参数</x:v>
      </x:c>
      <x:c r="H1" s="30" t="str">
        <x:v>数值</x:v>
      </x:c>
    </x:row>
    <x:row r="2" ht="42" customHeight="1">
      <x:c r="A2" s="6" t="str">
        <x:v>S01</x:v>
      </x:c>
      <x:c r="B2" s="6" t="str">
        <x:v>南方基金产品状态及限额</x:v>
      </x:c>
      <x:c r="C2" s="8" t="str">
        <x:v>2026-07-17</x:v>
      </x:c>
      <x:c r="D2" s="6" t="str">
        <x:v>当日全产品申购/赎回状态及备注</x:v>
      </x:c>
      <x:c r="E2" s="45" t="str">
        <x:v>https://www.nffund.com/new/transaction-guide/product-status-and-limits.html</x:v>
      </x:c>
      <x:c r="F2" s="6" t="str">
        <x:v>主要状态源；动态页面</x:v>
      </x:c>
      <x:c r="G2" s="43" t="str">
        <x:v>USD/CNY</x:v>
      </x:c>
      <x:c r="H2" s="44" t="n">
        <x:v>6.7669</x:v>
      </x:c>
    </x:row>
    <x:row r="3" ht="42" customHeight="1">
      <x:c r="A3" s="6" t="str">
        <x:v>S02</x:v>
      </x:c>
      <x:c r="B3" s="6" t="str">
        <x:v>南方基金产品筛选</x:v>
      </x:c>
      <x:c r="C3" s="8" t="str">
        <x:v>2026-07-17</x:v>
      </x:c>
      <x:c r="D3" s="6" t="str">
        <x:v>产品全集与类别交叉核对</x:v>
      </x:c>
      <x:c r="E3" s="45" t="str">
        <x:v>https://www.nffund.com/new/personal-financing/fund-products.html</x:v>
      </x:c>
      <x:c r="F3" s="6" t="str">
        <x:v>主要产品清单源</x:v>
      </x:c>
    </x:row>
    <x:row r="4" ht="42" customHeight="1">
      <x:c r="A4" s="6" t="str">
        <x:v>S03</x:v>
      </x:c>
      <x:c r="B4" s="6" t="str">
        <x:v>南方基金申购赎回清单查询</x:v>
      </x:c>
      <x:c r="C4" s="8" t="str">
        <x:v>2026-07-17</x:v>
      </x:c>
      <x:c r="D4" s="6" t="str">
        <x:v>QDII ETF一级市场申赎口径</x:v>
      </x:c>
      <x:c r="E4" s="45" t="str">
        <x:v>https://www.nffund.com/new/transaction-guide/detailed-list.html</x:v>
      </x:c>
      <x:c r="F4" s="6" t="str">
        <x:v>ETF每日PCF入口</x:v>
      </x:c>
    </x:row>
    <x:row r="5" ht="42" customHeight="1">
      <x:c r="A5" s="6" t="str">
        <x:v>S04</x:v>
      </x:c>
      <x:c r="B5" s="6" t="str">
        <x:v>南方原油暂停申购公告</x:v>
      </x:c>
      <x:c r="C5" s="8" t="str">
        <x:v>2026-02-12</x:v>
      </x:c>
      <x:c r="D5" s="6" t="str">
        <x:v>A/C自2026-02-13暂停申购</x:v>
      </x:c>
      <x:c r="E5" s="45" t="str">
        <x:v>https://www.nffund.com/main/files/2026/02/12/757350488992.pdf</x:v>
      </x:c>
      <x:c r="F5" s="6" t="str">
        <x:v>官方公告</x:v>
      </x:c>
    </x:row>
    <x:row r="6" ht="42" customHeight="1">
      <x:c r="A6" s="6" t="str">
        <x:v>S05</x:v>
      </x:c>
      <x:c r="B6" s="6" t="str">
        <x:v>南方纳指限额公告</x:v>
      </x:c>
      <x:c r="C6" s="8" t="str">
        <x:v>2026-07-08</x:v>
      </x:c>
      <x:c r="D6" s="6" t="str">
        <x:v>A/C自2026-07-09各10元；I类状态备注另核</x:v>
      </x:c>
      <x:c r="E6" s="45" t="str">
        <x:v>https://www.nffund.com/main/files/2026/07/08/015716542930.pdf</x:v>
      </x:c>
      <x:c r="F6" s="6" t="str">
        <x:v>官方公告</x:v>
      </x:c>
    </x:row>
    <x:row r="7" ht="42" customHeight="1">
      <x:c r="A7" s="6" t="str">
        <x:v>S06</x:v>
      </x:c>
      <x:c r="B7" s="6" t="str">
        <x:v>亚太精选ETF联接限额公告</x:v>
      </x:c>
      <x:c r="C7" s="8" t="str">
        <x:v>2026-06-30</x:v>
      </x:c>
      <x:c r="D7" s="6" t="str">
        <x:v>直销3万元、非直销1万元</x:v>
      </x:c>
      <x:c r="E7" s="45" t="str">
        <x:v>https://www.nffund.com/main/files/2026/06/29/217093406177.pdf</x:v>
      </x:c>
      <x:c r="F7" s="6" t="str">
        <x:v>官方公告</x:v>
      </x:c>
    </x:row>
    <x:row r="8" ht="42" customHeight="1">
      <x:c r="A8" s="6" t="str">
        <x:v>汇率</x:v>
      </x:c>
      <x:c r="B8" s="6" t="str">
        <x:v>USD/CNY参考汇率</x:v>
      </x:c>
      <x:c r="C8" s="8" t="n">
        <x:v>46219</x:v>
      </x:c>
      <x:c r="D8" s="6" t="str">
        <x:v>1 USD = 6.7669 CNY</x:v>
      </x:c>
      <x:c r="E8" s="45" t="str">
        <x:v>https://api.frankfurter.app/2026-07-17?from=USD&amp;to=CNY</x:v>
      </x:c>
      <x:c r="F8" s="6" t="str">
        <x:v>Frankfurter基于ECB参考汇率；7月17日查询时最近可得日期</x:v>
      </x:c>
    </x:row>
    <x:row r="9" ht="42" customHeight="1">
      <x:c r="A9" s="6" t="str">
        <x:v>S08</x:v>
      </x:c>
      <x:c r="B9" s="6" t="str">
        <x:v>亚洲美元债人民币份额限额公告</x:v>
      </x:c>
      <x:c r="C9" s="8" t="str">
        <x:v>2026-06-11</x:v>
      </x:c>
      <x:c r="D9" s="6" t="str">
        <x:v>A/C/E人民币各100万元</x:v>
      </x:c>
      <x:c r="E9" s="45" t="str">
        <x:v>https://www.nffund.com/main/files/2026/06/10/854334833560.pdf</x:v>
      </x:c>
      <x:c r="F9" s="6" t="str">
        <x:v>官方公告</x:v>
      </x:c>
    </x:row>
    <x:row r="10" ht="42" customHeight="1">
      <x:c r="A10" s="6" t="str">
        <x:v>S09</x:v>
      </x:c>
      <x:c r="B10" s="6" t="str">
        <x:v>亚洲美元债美元份额限额公告</x:v>
      </x:c>
      <x:c r="C10" s="8" t="str">
        <x:v>2024-04-08</x:v>
      </x:c>
      <x:c r="D10" s="6" t="str">
        <x:v>A/C美元现汇各1万美元</x:v>
      </x:c>
      <x:c r="E10" s="45" t="str">
        <x:v>https://www.nffund.com/main/files/2024/04/03/260815558288.pdf</x:v>
      </x:c>
      <x:c r="F10" s="6" t="str">
        <x:v>官方公告</x:v>
      </x:c>
    </x:row>
    <x:row r="11" ht="42" customHeight="1">
      <x:c r="A11" s="6" t="str">
        <x:v>S10</x:v>
      </x:c>
      <x:c r="B11" s="6" t="str">
        <x:v>美国REIT精选LOF限额公告</x:v>
      </x:c>
      <x:c r="C11" s="8" t="str">
        <x:v>2025-08-16</x:v>
      </x:c>
      <x:c r="D11" s="6" t="str">
        <x:v>A/C自2025-08-18各100万元</x:v>
      </x:c>
      <x:c r="E11" s="45" t="str">
        <x:v>https://www.nffund.com/main/files/2025/08/15/608940058513.pdf</x:v>
      </x:c>
      <x:c r="F11" s="6" t="str">
        <x:v>官方公告</x:v>
      </x:c>
    </x:row>
    <x:row r="12" ht="42" customHeight="1">
      <x:c r="A12" s="6" t="str">
        <x:v>S11</x:v>
      </x:c>
      <x:c r="B12" s="6" t="str">
        <x:v>香港成长混合限额公告</x:v>
      </x:c>
      <x:c r="C12" s="8" t="str">
        <x:v>2021-12-09</x:v>
      </x:c>
      <x:c r="D12" s="6" t="str">
        <x:v>单日单账户2000万元</x:v>
      </x:c>
      <x:c r="E12" s="45" t="str">
        <x:v>https://www.nffund.com/main/files/2021/12/08/480295821241.docx</x:v>
      </x:c>
      <x:c r="F12" s="6" t="str">
        <x:v>官方公告；未检索到后续恢复公告</x:v>
      </x:c>
    </x:row>
    <x:row r="14">
      <x:c r="A14" s="49" t="str">
        <x:v>核查口径：1）以2026-07-17南方基金官网状态快照为基准；2）有历史限额公告但官网备注为空时，继续检索是否存在恢复公告，未发现则保留最近仍有效公告；3）ETF一级市场没有统一固定人民币上限时填写“按PCF”，不把二级市场买入混作申购；4）境内公募REITs独立列示，不归入QDII；5）“人民币等值”仅用于比较，不改变基金原币业务规则。</x:v>
      </x:c>
      <x:c r="B14" s="49"/>
      <x:c r="C14" s="49"/>
      <x:c r="D14" s="49"/>
      <x:c r="E14" s="49"/>
      <x:c r="F14" s="49"/>
    </x:row>
    <x:row r="15">
      <x:c r="A15" s="49"/>
      <x:c r="B15" s="49"/>
      <x:c r="C15" s="49"/>
      <x:c r="D15" s="49"/>
      <x:c r="E15" s="49"/>
      <x:c r="F15" s="49"/>
    </x:row>
    <x:row r="16">
      <x:c r="A16" s="49"/>
      <x:c r="B16" s="49"/>
      <x:c r="C16" s="49"/>
      <x:c r="D16" s="49"/>
      <x:c r="E16" s="49"/>
      <x:c r="F16" s="49"/>
    </x:row>
  </x:sheetData>
  <x:mergeCells>
    <x:mergeCell ref="A14:F16"/>
  </x:mergeCells>
  <x:pageMargins left="0.7" right="0.7" top="0.75" bottom="0.75" header="0.3" footer="0.3"/>
  <x:tableParts count="1">
    <x:tablePart xmlns:r="http://schemas.openxmlformats.org/officeDocument/2006/relationships" r:id="Rfee84727ade4408a"/>
  </x:tableParts>
</x:worksheet>
</file>