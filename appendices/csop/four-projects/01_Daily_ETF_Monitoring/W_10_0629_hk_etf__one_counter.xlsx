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P:\Sales\Newsletter - temp\202605\"/>
    </mc:Choice>
  </mc:AlternateContent>
  <xr:revisionPtr revIDLastSave="0" documentId="8_{0794DD49-1BE6-4530-A68E-56FC5AC2F036}" xr6:coauthVersionLast="47" xr6:coauthVersionMax="47" xr10:uidLastSave="{00000000-0000-0000-0000-000000000000}"/>
  <bookViews>
    <workbookView xWindow="1920" yWindow="2940" windowWidth="13410" windowHeight="11625" activeTab="1" xr2:uid="{00000000-000D-0000-FFFF-FFFF00000000}"/>
  </bookViews>
  <sheets>
    <sheet name="Sheet 1" sheetId="2" r:id="rId1"/>
    <sheet name="Sheet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9" i="2" l="1"/>
  <c r="U107" i="2"/>
  <c r="U200" i="2"/>
  <c r="U157" i="2"/>
  <c r="U68" i="2"/>
  <c r="U8" i="2"/>
  <c r="U24" i="2"/>
  <c r="U5" i="2"/>
  <c r="U217" i="2"/>
  <c r="U93" i="2"/>
  <c r="U164" i="2"/>
  <c r="U94" i="2"/>
  <c r="U127" i="2"/>
  <c r="U218" i="2"/>
  <c r="U184" i="2"/>
  <c r="U160" i="2"/>
  <c r="U76" i="2"/>
  <c r="U211" i="2"/>
  <c r="U17" i="2"/>
  <c r="U191" i="2"/>
  <c r="U106" i="2"/>
  <c r="U110" i="2"/>
  <c r="U180" i="2"/>
  <c r="U103" i="2"/>
  <c r="U46" i="2"/>
  <c r="U233" i="2"/>
  <c r="U199" i="2"/>
  <c r="U128" i="2"/>
  <c r="U80" i="2"/>
  <c r="U62" i="2"/>
  <c r="U111" i="2"/>
  <c r="U97" i="2"/>
  <c r="U235" i="2"/>
  <c r="U9" i="2"/>
  <c r="U89" i="2"/>
  <c r="U136" i="2"/>
  <c r="U61" i="2"/>
  <c r="U41" i="2"/>
  <c r="U155" i="2"/>
  <c r="U48" i="2"/>
  <c r="U90" i="2"/>
  <c r="U158" i="2"/>
  <c r="U125" i="2"/>
  <c r="U55" i="2"/>
  <c r="U70" i="2"/>
  <c r="U6" i="2"/>
  <c r="U190" i="2"/>
  <c r="U189" i="2"/>
  <c r="U98" i="2"/>
  <c r="U74" i="2"/>
  <c r="U81" i="2"/>
  <c r="U153" i="2"/>
  <c r="U150" i="2"/>
  <c r="U25" i="2"/>
  <c r="U179" i="2"/>
  <c r="U131" i="2"/>
  <c r="U192" i="2"/>
  <c r="U50" i="2"/>
  <c r="U113" i="2"/>
  <c r="U237" i="2"/>
  <c r="U187" i="2"/>
  <c r="U195" i="2"/>
  <c r="U32" i="2"/>
  <c r="U142" i="2"/>
  <c r="U202" i="2"/>
  <c r="U60" i="2"/>
  <c r="U88" i="2"/>
  <c r="U129" i="2"/>
  <c r="U185" i="2"/>
  <c r="U171" i="2"/>
  <c r="U36" i="2"/>
  <c r="U45" i="2"/>
  <c r="U64" i="2"/>
  <c r="U222" i="2"/>
  <c r="U126" i="2"/>
  <c r="U196" i="2"/>
  <c r="U230" i="2"/>
  <c r="U95" i="2"/>
  <c r="U134" i="2"/>
  <c r="U203" i="2"/>
  <c r="U182" i="2"/>
  <c r="U10" i="2"/>
  <c r="U133" i="2"/>
  <c r="U223" i="2"/>
  <c r="U135" i="2"/>
  <c r="U186" i="2"/>
  <c r="U96" i="2"/>
  <c r="U56" i="2"/>
  <c r="U215" i="2"/>
  <c r="U236" i="2"/>
  <c r="U22" i="2"/>
  <c r="U149" i="2"/>
  <c r="U198" i="2"/>
  <c r="U7" i="2"/>
  <c r="U20" i="2"/>
  <c r="U101" i="2"/>
  <c r="U99" i="2"/>
  <c r="U18" i="2"/>
  <c r="U118" i="2"/>
  <c r="U2" i="2"/>
  <c r="U193" i="2"/>
  <c r="U31" i="2"/>
  <c r="U145" i="2"/>
  <c r="U54" i="2"/>
  <c r="U151" i="2"/>
  <c r="U116" i="2"/>
  <c r="U59" i="2"/>
  <c r="U57" i="2"/>
  <c r="U197" i="2"/>
  <c r="U172" i="2"/>
  <c r="U23" i="2"/>
  <c r="U33" i="2"/>
  <c r="U69" i="2"/>
  <c r="U51" i="2"/>
  <c r="U40" i="2"/>
  <c r="U47" i="2"/>
  <c r="U73" i="2"/>
  <c r="U30" i="2"/>
  <c r="U102" i="2"/>
  <c r="U140" i="2"/>
  <c r="U143" i="2"/>
  <c r="U183" i="2"/>
  <c r="U77" i="2"/>
  <c r="U13" i="2"/>
  <c r="U12" i="2"/>
  <c r="U170" i="2"/>
  <c r="U154" i="2"/>
  <c r="U165" i="2"/>
  <c r="U177" i="2"/>
  <c r="U209" i="2"/>
  <c r="U119" i="2"/>
  <c r="U219" i="2"/>
  <c r="U26" i="2"/>
  <c r="U43" i="2"/>
  <c r="U240" i="2"/>
  <c r="U194" i="2"/>
  <c r="U168" i="2"/>
  <c r="U175" i="2"/>
  <c r="U147" i="2"/>
  <c r="U141" i="2"/>
  <c r="U206" i="2"/>
  <c r="U75" i="2"/>
  <c r="U85" i="2"/>
  <c r="U21" i="2"/>
  <c r="U229" i="2"/>
  <c r="U174" i="2"/>
  <c r="U114" i="2"/>
  <c r="U166" i="2"/>
  <c r="U204" i="2"/>
  <c r="L2" i="2"/>
  <c r="U212" i="2"/>
  <c r="U14" i="2"/>
  <c r="U27" i="2"/>
  <c r="U221" i="2"/>
  <c r="U58" i="2"/>
  <c r="U207" i="2"/>
  <c r="U176" i="2"/>
  <c r="U120" i="2"/>
  <c r="U4" i="2"/>
  <c r="U84" i="2"/>
  <c r="U169" i="2"/>
  <c r="U34" i="2"/>
  <c r="U104" i="2"/>
  <c r="U181" i="2"/>
  <c r="U130" i="2"/>
  <c r="U188" i="2"/>
  <c r="U137" i="2"/>
  <c r="U146" i="2"/>
  <c r="U214" i="2"/>
  <c r="U28" i="2"/>
  <c r="U161" i="2"/>
  <c r="U78" i="2"/>
  <c r="U231" i="2"/>
  <c r="U138" i="2"/>
  <c r="U124" i="2"/>
  <c r="U122" i="2"/>
  <c r="U226" i="2"/>
  <c r="U163" i="2"/>
  <c r="U49" i="2"/>
  <c r="U224" i="2"/>
  <c r="U11" i="2"/>
  <c r="U152" i="2"/>
  <c r="U173" i="2"/>
  <c r="U44" i="2"/>
  <c r="U121" i="2"/>
  <c r="U67" i="2"/>
  <c r="U79" i="2"/>
  <c r="U65" i="2"/>
  <c r="U105" i="2"/>
  <c r="U92" i="2"/>
  <c r="U16" i="2"/>
  <c r="U234" i="2"/>
  <c r="U71" i="2"/>
  <c r="U100" i="2"/>
  <c r="U232" i="2"/>
  <c r="U238" i="2"/>
  <c r="U162" i="2"/>
  <c r="U115" i="2"/>
  <c r="U66" i="2"/>
  <c r="U53" i="2"/>
  <c r="U144" i="2"/>
  <c r="U15" i="2"/>
  <c r="U117" i="2"/>
  <c r="U132" i="2"/>
  <c r="U225" i="2"/>
  <c r="U220" i="2"/>
  <c r="U205" i="2"/>
  <c r="U210" i="2"/>
  <c r="U208" i="2"/>
  <c r="U39" i="2"/>
  <c r="U108" i="2"/>
  <c r="U239" i="2"/>
  <c r="U112" i="2"/>
  <c r="U216" i="2"/>
  <c r="U82" i="2"/>
  <c r="U72" i="2"/>
  <c r="U228" i="2"/>
  <c r="U52" i="2"/>
  <c r="U213" i="2"/>
  <c r="U35" i="2"/>
  <c r="U38" i="2"/>
  <c r="U19" i="2"/>
  <c r="U87" i="2"/>
  <c r="U37" i="2"/>
  <c r="U86" i="2"/>
  <c r="U227" i="2"/>
  <c r="U148" i="2"/>
  <c r="U83" i="2"/>
  <c r="U63" i="2"/>
  <c r="U3" i="2"/>
  <c r="U178" i="2"/>
  <c r="U201" i="2"/>
  <c r="U42" i="2"/>
  <c r="U159" i="2"/>
  <c r="U123" i="2"/>
  <c r="U156" i="2"/>
  <c r="U91" i="2"/>
  <c r="U109" i="2"/>
  <c r="U139" i="2"/>
  <c r="U167" i="2"/>
  <c r="T3" i="2"/>
  <c r="T64" i="2"/>
  <c r="T90" i="2"/>
  <c r="T75" i="2"/>
  <c r="T192" i="2"/>
  <c r="T123" i="2"/>
  <c r="T199" i="2"/>
  <c r="T34" i="2"/>
  <c r="T57" i="2"/>
  <c r="T154" i="2"/>
  <c r="T47" i="2"/>
  <c r="T151" i="2"/>
  <c r="T38" i="2"/>
  <c r="T130" i="2"/>
  <c r="T82" i="2"/>
  <c r="T27" i="2"/>
  <c r="T58" i="2"/>
  <c r="T177" i="2"/>
  <c r="T115" i="2"/>
  <c r="T239" i="2"/>
  <c r="T8" i="2"/>
  <c r="T233" i="2"/>
  <c r="T150" i="2"/>
  <c r="T190" i="2"/>
  <c r="T4" i="2"/>
  <c r="T143" i="2"/>
  <c r="T122" i="2"/>
  <c r="T172" i="2"/>
  <c r="T88" i="2"/>
  <c r="T50" i="2"/>
  <c r="T120" i="2"/>
  <c r="T234" i="2"/>
  <c r="T236" i="2"/>
  <c r="T116" i="2"/>
  <c r="T180" i="2"/>
  <c r="T83" i="2"/>
  <c r="T59" i="2"/>
  <c r="T222" i="2"/>
  <c r="T11" i="2"/>
  <c r="T28" i="2"/>
  <c r="T173" i="2"/>
  <c r="T186" i="2"/>
  <c r="T110" i="2"/>
  <c r="T183" i="2"/>
  <c r="T5" i="2"/>
  <c r="T165" i="2"/>
  <c r="T209" i="2"/>
  <c r="T169" i="2"/>
  <c r="T79" i="2"/>
  <c r="T23" i="2"/>
  <c r="T227" i="2"/>
  <c r="T74" i="2"/>
  <c r="T24" i="2"/>
  <c r="T40" i="2"/>
  <c r="T97" i="2"/>
  <c r="T73" i="2"/>
  <c r="T60" i="2"/>
  <c r="T63" i="2"/>
  <c r="T41" i="2"/>
  <c r="C67" i="2"/>
  <c r="C160" i="2"/>
  <c r="C237" i="2"/>
  <c r="C163" i="2"/>
  <c r="C118" i="2"/>
  <c r="C53" i="2"/>
  <c r="C26" i="2"/>
  <c r="C110" i="2"/>
  <c r="C75" i="2"/>
  <c r="C124" i="2"/>
  <c r="T198" i="2"/>
  <c r="T15" i="2"/>
  <c r="T46" i="2"/>
  <c r="T146" i="2"/>
  <c r="T36" i="2"/>
  <c r="T113" i="2"/>
  <c r="T166" i="2"/>
  <c r="T21" i="2"/>
  <c r="T181" i="2"/>
  <c r="T240" i="2"/>
  <c r="T229" i="2"/>
  <c r="T188" i="2"/>
  <c r="T226" i="2"/>
  <c r="T92" i="2"/>
  <c r="T167" i="2"/>
  <c r="T206" i="2"/>
  <c r="T138" i="2"/>
  <c r="T197" i="2"/>
  <c r="T170" i="2"/>
  <c r="T2" i="2"/>
  <c r="T101" i="2"/>
  <c r="T193" i="2"/>
  <c r="T163" i="2"/>
  <c r="T14" i="2"/>
  <c r="T94" i="2"/>
  <c r="T132" i="2"/>
  <c r="T76" i="2"/>
  <c r="T164" i="2"/>
  <c r="T238" i="2"/>
  <c r="T136" i="2"/>
  <c r="T119" i="2"/>
  <c r="T213" i="2"/>
  <c r="T121" i="2"/>
  <c r="T118" i="2"/>
  <c r="T187" i="2"/>
  <c r="T52" i="2"/>
  <c r="T194" i="2"/>
  <c r="T16" i="2"/>
  <c r="T22" i="2"/>
  <c r="T111" i="2"/>
  <c r="T175" i="2"/>
  <c r="T35" i="2"/>
  <c r="T214" i="2"/>
  <c r="T189" i="2"/>
  <c r="T212" i="2"/>
  <c r="T126" i="2"/>
  <c r="T225" i="2"/>
  <c r="T204" i="2"/>
  <c r="T207" i="2"/>
  <c r="T93" i="2"/>
  <c r="T124" i="2"/>
  <c r="T87" i="2"/>
  <c r="T112" i="2"/>
  <c r="T182" i="2"/>
  <c r="T145" i="2"/>
  <c r="T25" i="2"/>
  <c r="T96" i="2"/>
  <c r="T65" i="2"/>
  <c r="T78" i="2"/>
  <c r="T168" i="2"/>
  <c r="T184" i="2"/>
  <c r="T51" i="2"/>
  <c r="T224" i="2"/>
  <c r="T231" i="2"/>
  <c r="T159" i="2"/>
  <c r="T106" i="2"/>
  <c r="T89" i="2"/>
  <c r="T153" i="2"/>
  <c r="T114" i="2"/>
  <c r="T157" i="2"/>
  <c r="T18" i="2"/>
  <c r="T174" i="2"/>
  <c r="T149" i="2"/>
  <c r="T141" i="2"/>
  <c r="T49" i="2"/>
  <c r="T139" i="2"/>
  <c r="T91" i="2"/>
  <c r="T133" i="2"/>
  <c r="T131" i="2"/>
  <c r="T205" i="2"/>
  <c r="T176" i="2"/>
  <c r="T81" i="2"/>
  <c r="T77" i="2"/>
  <c r="T30" i="2"/>
  <c r="T202" i="2"/>
  <c r="T125" i="2"/>
  <c r="T155" i="2"/>
  <c r="T235" i="2"/>
  <c r="T7" i="2"/>
  <c r="T10" i="2"/>
  <c r="T19" i="2"/>
  <c r="T42" i="2"/>
  <c r="T108" i="2"/>
  <c r="T230" i="2"/>
  <c r="T109" i="2"/>
  <c r="T210" i="2"/>
  <c r="T95" i="2"/>
  <c r="T31" i="2"/>
  <c r="T26" i="2"/>
  <c r="T45" i="2"/>
  <c r="T72" i="2"/>
  <c r="T71" i="2"/>
  <c r="T208" i="2"/>
  <c r="T216" i="2"/>
  <c r="T203" i="2"/>
  <c r="T148" i="2"/>
  <c r="T215" i="2"/>
  <c r="T53" i="2"/>
  <c r="T48" i="2"/>
  <c r="T105" i="2"/>
  <c r="T134" i="2"/>
  <c r="T103" i="2"/>
  <c r="T37" i="2"/>
  <c r="T140" i="2"/>
  <c r="T6" i="2"/>
  <c r="T12" i="2"/>
  <c r="T220" i="2"/>
  <c r="T156" i="2"/>
  <c r="T191" i="2"/>
  <c r="T221" i="2"/>
  <c r="T218" i="2"/>
  <c r="T33" i="2"/>
  <c r="T99" i="2"/>
  <c r="T179" i="2"/>
  <c r="T147" i="2"/>
  <c r="T17" i="2"/>
  <c r="T70" i="2"/>
  <c r="T161" i="2"/>
  <c r="T67" i="2"/>
  <c r="T86" i="2"/>
  <c r="T211" i="2"/>
  <c r="T228" i="2"/>
  <c r="T178" i="2"/>
  <c r="T44" i="2"/>
  <c r="T69" i="2"/>
  <c r="T13" i="2"/>
  <c r="T43" i="2"/>
  <c r="T68" i="2"/>
  <c r="T196" i="2"/>
  <c r="T9" i="2"/>
  <c r="T219" i="2"/>
  <c r="T152" i="2"/>
  <c r="T128" i="2"/>
  <c r="T127" i="2"/>
  <c r="T237" i="2"/>
  <c r="T61" i="2"/>
  <c r="T171" i="2"/>
  <c r="T217" i="2"/>
  <c r="T195" i="2"/>
  <c r="T200" i="2"/>
  <c r="T20" i="2"/>
  <c r="T29" i="2"/>
  <c r="T232" i="2"/>
  <c r="T84" i="2"/>
  <c r="T54" i="2"/>
  <c r="T158" i="2"/>
  <c r="T160" i="2"/>
  <c r="T223" i="2"/>
  <c r="T135" i="2"/>
  <c r="T107" i="2"/>
  <c r="C221" i="2"/>
  <c r="C71" i="2"/>
  <c r="C187" i="2"/>
  <c r="C161" i="2"/>
  <c r="C40" i="2"/>
  <c r="C111" i="2"/>
  <c r="C12" i="2"/>
  <c r="C213" i="2"/>
  <c r="C58" i="2"/>
  <c r="C148" i="2"/>
  <c r="C18" i="2"/>
  <c r="C102" i="2"/>
  <c r="C175" i="2"/>
  <c r="C86" i="2"/>
  <c r="C64" i="2"/>
  <c r="C151" i="2"/>
  <c r="C135" i="2"/>
  <c r="C11" i="2"/>
  <c r="C169" i="2"/>
  <c r="T39" i="2"/>
  <c r="T142" i="2"/>
  <c r="T55" i="2"/>
  <c r="T117" i="2"/>
  <c r="T66" i="2"/>
  <c r="T32" i="2"/>
  <c r="T201" i="2"/>
  <c r="T144" i="2"/>
  <c r="T162" i="2"/>
  <c r="T185" i="2"/>
  <c r="T129" i="2"/>
  <c r="T102" i="2"/>
  <c r="T104" i="2"/>
  <c r="T100" i="2"/>
  <c r="T56" i="2"/>
  <c r="T85" i="2"/>
  <c r="T137" i="2"/>
  <c r="T62" i="2"/>
  <c r="T80" i="2"/>
  <c r="T98" i="2"/>
  <c r="C162" i="2"/>
  <c r="C80" i="2"/>
  <c r="C14" i="2"/>
  <c r="C50" i="2"/>
  <c r="C27" i="2"/>
  <c r="C183" i="2"/>
  <c r="C190" i="2"/>
  <c r="C156" i="2"/>
  <c r="C61" i="2"/>
  <c r="C59" i="2"/>
  <c r="C33" i="2"/>
  <c r="C20" i="2"/>
  <c r="C209" i="2"/>
  <c r="C205" i="2"/>
  <c r="C159" i="2"/>
  <c r="C79" i="2"/>
  <c r="C204" i="2"/>
  <c r="C62" i="2"/>
  <c r="C70" i="2"/>
  <c r="C107" i="2"/>
  <c r="C182" i="2"/>
  <c r="C9" i="2"/>
  <c r="C228" i="2"/>
  <c r="C28" i="2"/>
  <c r="C166" i="2"/>
  <c r="C98" i="2"/>
  <c r="C66" i="2"/>
  <c r="C93" i="2"/>
  <c r="C144" i="2"/>
  <c r="C112" i="2"/>
  <c r="C77" i="2"/>
  <c r="C87" i="2"/>
  <c r="C91" i="2"/>
  <c r="C78" i="2"/>
  <c r="C130" i="2"/>
  <c r="C233" i="2"/>
  <c r="C38" i="2"/>
  <c r="C65" i="2"/>
  <c r="C184" i="2"/>
  <c r="C167" i="2"/>
  <c r="C134" i="2"/>
  <c r="C116" i="2"/>
  <c r="C42" i="2"/>
  <c r="C222" i="2"/>
  <c r="C143" i="2"/>
  <c r="C72" i="2"/>
  <c r="C139" i="2"/>
  <c r="C164" i="2"/>
  <c r="C140" i="2"/>
  <c r="C200" i="2"/>
  <c r="C45" i="2"/>
  <c r="C52" i="2"/>
  <c r="C157" i="2"/>
  <c r="C41" i="2"/>
  <c r="C179" i="2"/>
  <c r="C105" i="2"/>
  <c r="C146" i="2"/>
  <c r="C120" i="2"/>
  <c r="C54" i="2"/>
  <c r="C55" i="2"/>
  <c r="C49" i="2"/>
  <c r="C149" i="2"/>
  <c r="C113" i="2"/>
  <c r="C185" i="2"/>
  <c r="C154" i="2"/>
  <c r="C74" i="2"/>
  <c r="C81" i="2"/>
  <c r="C89" i="2"/>
  <c r="C191" i="2"/>
  <c r="C109" i="2"/>
  <c r="C171" i="2"/>
  <c r="C103" i="2"/>
  <c r="C126" i="2"/>
  <c r="C48" i="2"/>
  <c r="C227" i="2"/>
  <c r="C69" i="2"/>
  <c r="C15" i="2"/>
  <c r="C94" i="2"/>
  <c r="C97" i="2"/>
  <c r="C136" i="2"/>
  <c r="C189" i="2"/>
  <c r="C207" i="2"/>
  <c r="C173" i="2"/>
  <c r="C4" i="2"/>
  <c r="C129" i="2"/>
  <c r="C196" i="2"/>
  <c r="C6" i="2"/>
  <c r="C231" i="2"/>
  <c r="C83" i="2"/>
  <c r="C21" i="2"/>
  <c r="C158" i="2"/>
  <c r="C57" i="2"/>
  <c r="C147" i="2"/>
  <c r="C43" i="2"/>
  <c r="C88" i="2"/>
  <c r="C2" i="2"/>
  <c r="C119" i="2"/>
  <c r="C137" i="2"/>
  <c r="C3" i="2"/>
  <c r="C8" i="2"/>
  <c r="C199" i="2"/>
  <c r="C214" i="2"/>
  <c r="C122" i="2"/>
  <c r="C76" i="2"/>
  <c r="C37" i="2"/>
  <c r="C117" i="2"/>
  <c r="C229" i="2"/>
  <c r="C153" i="2"/>
  <c r="C19" i="2"/>
  <c r="C36" i="2"/>
  <c r="C217" i="2"/>
  <c r="C114" i="2"/>
  <c r="C206" i="2"/>
  <c r="C215" i="2"/>
  <c r="C203" i="2"/>
  <c r="C131" i="2"/>
  <c r="C13" i="2"/>
  <c r="C168" i="2"/>
  <c r="C92" i="2"/>
  <c r="C226" i="2"/>
  <c r="C106" i="2"/>
  <c r="C219" i="2"/>
  <c r="C176" i="2"/>
  <c r="C216" i="2"/>
  <c r="C22" i="2"/>
  <c r="C31" i="2"/>
  <c r="C235" i="2"/>
  <c r="C39" i="2"/>
  <c r="C211" i="2"/>
  <c r="C197" i="2"/>
  <c r="C90" i="2"/>
  <c r="C128" i="2"/>
  <c r="C30" i="2"/>
  <c r="C232" i="2"/>
  <c r="C5" i="2"/>
  <c r="C34" i="2"/>
  <c r="C195" i="2"/>
  <c r="C225" i="2"/>
  <c r="C35" i="2"/>
  <c r="C155" i="2"/>
  <c r="C224" i="2"/>
  <c r="C44" i="2"/>
  <c r="C47" i="2"/>
  <c r="C188" i="2"/>
  <c r="C181" i="2"/>
  <c r="C212" i="2"/>
  <c r="C170" i="2"/>
  <c r="C85" i="2"/>
  <c r="C193" i="2"/>
  <c r="C141" i="2"/>
  <c r="C10" i="2"/>
  <c r="C210" i="2"/>
  <c r="C220" i="2"/>
  <c r="C56" i="2"/>
  <c r="C236" i="2"/>
  <c r="C101" i="2"/>
  <c r="C46" i="2"/>
  <c r="C123" i="2"/>
  <c r="C95" i="2"/>
  <c r="C104" i="2"/>
  <c r="C201" i="2"/>
  <c r="C138" i="2"/>
  <c r="C152" i="2"/>
  <c r="C218" i="2"/>
  <c r="C180" i="2"/>
  <c r="C96" i="2"/>
  <c r="C60" i="2"/>
  <c r="C51" i="2"/>
  <c r="C121" i="2"/>
  <c r="C100" i="2"/>
  <c r="C165" i="2"/>
  <c r="C32" i="2"/>
  <c r="C7" i="2"/>
  <c r="C29" i="2"/>
  <c r="C234" i="2"/>
  <c r="C240" i="2"/>
  <c r="C125" i="2"/>
  <c r="C145" i="2"/>
  <c r="C172" i="2"/>
  <c r="C142" i="2"/>
  <c r="C238" i="2"/>
  <c r="C68" i="2"/>
  <c r="C198" i="2"/>
  <c r="C150" i="2"/>
  <c r="C99" i="2"/>
  <c r="C174" i="2"/>
  <c r="C178" i="2"/>
  <c r="C24" i="2"/>
  <c r="C133" i="2"/>
  <c r="C73" i="2"/>
  <c r="C115" i="2"/>
  <c r="C84" i="2"/>
  <c r="C63" i="2"/>
  <c r="C186" i="2"/>
  <c r="C230" i="2"/>
  <c r="C192" i="2"/>
  <c r="C177" i="2"/>
  <c r="C202" i="2"/>
  <c r="C194" i="2"/>
  <c r="C17" i="2"/>
  <c r="C25" i="2"/>
  <c r="C239" i="2"/>
  <c r="C208" i="2"/>
  <c r="C23" i="2"/>
  <c r="C132" i="2"/>
  <c r="C16" i="2"/>
  <c r="C108" i="2"/>
  <c r="C127" i="2"/>
  <c r="C223" i="2"/>
  <c r="C82" i="2"/>
  <c r="G223" i="2"/>
  <c r="G48" i="2"/>
  <c r="G158" i="2"/>
  <c r="G86" i="2"/>
  <c r="G160" i="2"/>
  <c r="G91" i="2"/>
  <c r="G238" i="2"/>
  <c r="G170" i="2"/>
  <c r="G15" i="2"/>
  <c r="G6" i="2"/>
  <c r="G151" i="2"/>
  <c r="G138" i="2"/>
  <c r="G203" i="2"/>
  <c r="G159" i="2"/>
  <c r="G98" i="2"/>
  <c r="G136" i="2"/>
  <c r="G96" i="2"/>
  <c r="G208" i="2"/>
  <c r="G32" i="2"/>
  <c r="G77" i="2"/>
  <c r="G232" i="2"/>
  <c r="G108" i="2"/>
  <c r="G145" i="2"/>
  <c r="G112" i="2"/>
  <c r="G62" i="2"/>
  <c r="G97" i="2"/>
  <c r="G183" i="2"/>
  <c r="G240" i="2"/>
  <c r="G204" i="2"/>
  <c r="G110" i="2"/>
  <c r="G89" i="2"/>
  <c r="G12" i="2"/>
  <c r="G95" i="2"/>
  <c r="G205" i="2"/>
  <c r="G46" i="2"/>
  <c r="G92" i="2"/>
  <c r="G191" i="2"/>
  <c r="G85" i="2"/>
  <c r="G181" i="2"/>
  <c r="G148" i="2"/>
  <c r="G168" i="2"/>
  <c r="G213" i="2"/>
  <c r="G33" i="2"/>
  <c r="G31" i="2"/>
  <c r="G141" i="2"/>
  <c r="G179" i="2"/>
  <c r="G124" i="2"/>
  <c r="G69" i="2"/>
  <c r="G193" i="2"/>
  <c r="G198" i="2"/>
  <c r="G211" i="2"/>
  <c r="G51" i="2"/>
  <c r="G80" i="2"/>
  <c r="G114" i="2"/>
  <c r="G25" i="2"/>
  <c r="G42" i="2"/>
  <c r="G29" i="2"/>
  <c r="G209" i="2"/>
  <c r="G157" i="2"/>
  <c r="G28" i="2"/>
  <c r="G201" i="2"/>
  <c r="G20" i="2"/>
  <c r="G165" i="2"/>
  <c r="G54" i="2"/>
  <c r="G235" i="2"/>
  <c r="G142" i="2"/>
  <c r="G101" i="2"/>
  <c r="G84" i="2"/>
  <c r="G10" i="2"/>
  <c r="G75" i="2"/>
  <c r="G233" i="2"/>
  <c r="G162" i="2"/>
  <c r="G120" i="2"/>
  <c r="G27" i="2"/>
  <c r="G212" i="2"/>
  <c r="G150" i="2"/>
  <c r="G149" i="2"/>
  <c r="G239" i="2"/>
  <c r="G5" i="2"/>
  <c r="G26" i="2"/>
  <c r="G39" i="2"/>
  <c r="G23" i="2"/>
  <c r="G63" i="2"/>
  <c r="G219" i="2"/>
  <c r="G70" i="2"/>
  <c r="G78" i="2"/>
  <c r="G17" i="2"/>
  <c r="G81" i="2"/>
  <c r="G107" i="2"/>
  <c r="G137" i="2"/>
  <c r="G178" i="2"/>
  <c r="G195" i="2"/>
  <c r="G103" i="2"/>
  <c r="G161" i="2"/>
  <c r="G134" i="2"/>
  <c r="G140" i="2"/>
  <c r="G186" i="2"/>
  <c r="G30" i="2"/>
  <c r="G94" i="2"/>
  <c r="G41" i="2"/>
  <c r="G67" i="2"/>
  <c r="G132" i="2"/>
  <c r="G169" i="2"/>
  <c r="G234" i="2"/>
  <c r="G60" i="2"/>
  <c r="G44" i="2"/>
  <c r="G102" i="2"/>
  <c r="G230" i="2"/>
  <c r="G215" i="2"/>
  <c r="G56" i="2"/>
  <c r="G228" i="2"/>
  <c r="G66" i="2"/>
  <c r="G109" i="2"/>
  <c r="G125" i="2"/>
  <c r="G35" i="2"/>
  <c r="G99" i="2"/>
  <c r="G229" i="2"/>
  <c r="G59" i="2"/>
  <c r="G172" i="2"/>
  <c r="G154" i="2"/>
  <c r="G73" i="2"/>
  <c r="G202" i="2"/>
  <c r="G220" i="2"/>
  <c r="G163" i="2"/>
  <c r="G11" i="2"/>
  <c r="G188" i="2"/>
  <c r="G139" i="2"/>
  <c r="G4" i="2"/>
  <c r="G53" i="2"/>
  <c r="G113" i="2"/>
  <c r="G7" i="2"/>
  <c r="G16" i="2"/>
  <c r="G226" i="2"/>
  <c r="G115" i="2"/>
  <c r="G177" i="2"/>
  <c r="G182" i="2"/>
  <c r="G36" i="2"/>
  <c r="G222" i="2"/>
  <c r="G43" i="2"/>
  <c r="G127" i="2"/>
  <c r="G217" i="2"/>
  <c r="G175" i="2"/>
  <c r="G34" i="2"/>
  <c r="G74" i="2"/>
  <c r="G144" i="2"/>
  <c r="G153" i="2"/>
  <c r="G22" i="2"/>
  <c r="G224" i="2"/>
  <c r="G83" i="2"/>
  <c r="G167" i="2"/>
  <c r="G88" i="2"/>
  <c r="G50" i="2"/>
  <c r="G218" i="2"/>
  <c r="G40" i="2"/>
  <c r="G173" i="2"/>
  <c r="G82" i="2"/>
  <c r="G106" i="2"/>
  <c r="G79" i="2"/>
  <c r="G210" i="2"/>
  <c r="AD135" i="2"/>
  <c r="AD53" i="2"/>
  <c r="AD12" i="2"/>
  <c r="AD51" i="2"/>
  <c r="AD69" i="2"/>
  <c r="AD205" i="2"/>
  <c r="AD28" i="2"/>
  <c r="AD6" i="2"/>
  <c r="AD186" i="2"/>
  <c r="AD177" i="2"/>
  <c r="G68" i="2"/>
  <c r="G21" i="2"/>
  <c r="G49" i="2"/>
  <c r="G18" i="2"/>
  <c r="G143" i="2"/>
  <c r="G3" i="2"/>
  <c r="G200" i="2"/>
  <c r="G8" i="2"/>
  <c r="G206" i="2"/>
  <c r="G227" i="2"/>
  <c r="G47" i="2"/>
  <c r="G184" i="2"/>
  <c r="G37" i="2"/>
  <c r="G65" i="2"/>
  <c r="G192" i="2"/>
  <c r="G180" i="2"/>
  <c r="G76" i="2"/>
  <c r="G122" i="2"/>
  <c r="G216" i="2"/>
  <c r="G14" i="2"/>
  <c r="G231" i="2"/>
  <c r="G105" i="2"/>
  <c r="G87" i="2"/>
  <c r="G147" i="2"/>
  <c r="G111" i="2"/>
  <c r="G123" i="2"/>
  <c r="G2" i="2"/>
  <c r="G190" i="2"/>
  <c r="G118" i="2"/>
  <c r="G38" i="2"/>
  <c r="G156" i="2"/>
  <c r="G164" i="2"/>
  <c r="G187" i="2"/>
  <c r="G93" i="2"/>
  <c r="G116" i="2"/>
  <c r="G9" i="2"/>
  <c r="G131" i="2"/>
  <c r="G55" i="2"/>
  <c r="G197" i="2"/>
  <c r="G176" i="2"/>
  <c r="AD187" i="2"/>
  <c r="AD207" i="2"/>
  <c r="AD169" i="2"/>
  <c r="AD100" i="2"/>
  <c r="AD109" i="2"/>
  <c r="AD166" i="2"/>
  <c r="AD11" i="2"/>
  <c r="AD74" i="2"/>
  <c r="AD142" i="2"/>
  <c r="AD81" i="2"/>
  <c r="G214" i="2"/>
  <c r="G119" i="2"/>
  <c r="G196" i="2"/>
  <c r="G58" i="2"/>
  <c r="G57" i="2"/>
  <c r="G221" i="2"/>
  <c r="G236" i="2"/>
  <c r="G61" i="2"/>
  <c r="G225" i="2"/>
  <c r="G129" i="2"/>
  <c r="G189" i="2"/>
  <c r="G207" i="2"/>
  <c r="G194" i="2"/>
  <c r="G155" i="2"/>
  <c r="G152" i="2"/>
  <c r="G199" i="2"/>
  <c r="G133" i="2"/>
  <c r="G121" i="2"/>
  <c r="G128" i="2"/>
  <c r="G104" i="2"/>
  <c r="G146" i="2"/>
  <c r="G45" i="2"/>
  <c r="G90" i="2"/>
  <c r="G117" i="2"/>
  <c r="G166" i="2"/>
  <c r="G72" i="2"/>
  <c r="G24" i="2"/>
  <c r="G237" i="2"/>
  <c r="G174" i="2"/>
  <c r="G64" i="2"/>
  <c r="AD175" i="2"/>
  <c r="AD235" i="2"/>
  <c r="AD154" i="2"/>
  <c r="AD59" i="2"/>
  <c r="AD66" i="2"/>
  <c r="AD130" i="2"/>
  <c r="AD44" i="2"/>
  <c r="AD220" i="2"/>
  <c r="AD117" i="2"/>
  <c r="AD19" i="2"/>
  <c r="AD7" i="2"/>
  <c r="AD180" i="2"/>
  <c r="AD124" i="2"/>
  <c r="AD145" i="2"/>
  <c r="AD200" i="2"/>
  <c r="AD167" i="2"/>
  <c r="AD108" i="2"/>
  <c r="AD216" i="2"/>
  <c r="AD197" i="2"/>
  <c r="AD49" i="2"/>
  <c r="AD226" i="2"/>
  <c r="AD182" i="2"/>
  <c r="AD221" i="2"/>
  <c r="AD37" i="2"/>
  <c r="AD29" i="2"/>
  <c r="AD204" i="2"/>
  <c r="AD210" i="2"/>
  <c r="AD178" i="2"/>
  <c r="AD4" i="2"/>
  <c r="G52" i="2"/>
  <c r="G171" i="2"/>
  <c r="G13" i="2"/>
  <c r="G100" i="2"/>
  <c r="G185" i="2"/>
  <c r="G19" i="2"/>
  <c r="G135" i="2"/>
  <c r="G126" i="2"/>
  <c r="G71" i="2"/>
  <c r="G130" i="2"/>
  <c r="AD219" i="2"/>
  <c r="AD89" i="2"/>
  <c r="AD213" i="2"/>
  <c r="AD155" i="2"/>
  <c r="AD57" i="2"/>
  <c r="AD85" i="2"/>
  <c r="AD151" i="2"/>
  <c r="AD236" i="2"/>
  <c r="AD128" i="2"/>
  <c r="AD30" i="2"/>
  <c r="AD188" i="2"/>
  <c r="AD168" i="2"/>
  <c r="AD40" i="2"/>
  <c r="AD138" i="2"/>
  <c r="AD79" i="2"/>
  <c r="AD95" i="2"/>
  <c r="AD47" i="2"/>
  <c r="AD212" i="2"/>
  <c r="AD93" i="2"/>
  <c r="AD189" i="2"/>
  <c r="AD94" i="2"/>
  <c r="AD237" i="2"/>
  <c r="AD58" i="2"/>
  <c r="AD181" i="2"/>
  <c r="AD52" i="2"/>
  <c r="AD217" i="2"/>
  <c r="AD192" i="2"/>
  <c r="AD193" i="2"/>
  <c r="AD176" i="2"/>
  <c r="AD75" i="2"/>
  <c r="AD156" i="2"/>
  <c r="AD198" i="2"/>
  <c r="AD240" i="2"/>
  <c r="AD162" i="2"/>
  <c r="AD80" i="2"/>
  <c r="AD140" i="2"/>
  <c r="AD60" i="2"/>
  <c r="AD63" i="2"/>
  <c r="AD222" i="2"/>
  <c r="AD64" i="2"/>
  <c r="AD214" i="2"/>
  <c r="AD65" i="2"/>
  <c r="AD163" i="2"/>
  <c r="AD184" i="2"/>
  <c r="AD111" i="2"/>
  <c r="AD199" i="2"/>
  <c r="AD2" i="2"/>
  <c r="AD112" i="2"/>
  <c r="AD123" i="2"/>
  <c r="AD160" i="2"/>
  <c r="AD120" i="2"/>
  <c r="AD194" i="2"/>
  <c r="AD119" i="2"/>
  <c r="AD174" i="2"/>
  <c r="AD20" i="2"/>
  <c r="AD56" i="2"/>
  <c r="AD202" i="2"/>
  <c r="AD211" i="2"/>
  <c r="AD224" i="2"/>
  <c r="AD8" i="2"/>
  <c r="AD225" i="2"/>
  <c r="AD70" i="2"/>
  <c r="AD24" i="2"/>
  <c r="AD144" i="2"/>
  <c r="AD165" i="2"/>
  <c r="AD158" i="2"/>
  <c r="AD218" i="2"/>
  <c r="AD92" i="2"/>
  <c r="AD239" i="2"/>
  <c r="AD42" i="2"/>
  <c r="AD78" i="2"/>
  <c r="AD190" i="2"/>
  <c r="AD22" i="2"/>
  <c r="AD101" i="2"/>
  <c r="AD107" i="2"/>
  <c r="AD61" i="2"/>
  <c r="AD122" i="2"/>
  <c r="AD90" i="2"/>
  <c r="AD73" i="2"/>
  <c r="AD131" i="2"/>
  <c r="AD54" i="2"/>
  <c r="AD114" i="2"/>
  <c r="AD71" i="2"/>
  <c r="AD125" i="2"/>
  <c r="AD201" i="2"/>
  <c r="AD31" i="2"/>
  <c r="AD172" i="2"/>
  <c r="AD38" i="2"/>
  <c r="AD68" i="2"/>
  <c r="AD152" i="2"/>
  <c r="AD196" i="2"/>
  <c r="AD157" i="2"/>
  <c r="AD26" i="2"/>
  <c r="AD134" i="2"/>
  <c r="AD25" i="2"/>
  <c r="AD121" i="2"/>
  <c r="AD228" i="2"/>
  <c r="AD18" i="2"/>
  <c r="AD3" i="2"/>
  <c r="AD116" i="2"/>
  <c r="AD206" i="2"/>
  <c r="AD208" i="2"/>
  <c r="AD97" i="2"/>
  <c r="AD87" i="2"/>
  <c r="AD16" i="2"/>
  <c r="AD191" i="2"/>
  <c r="AD33" i="2"/>
  <c r="AD238" i="2"/>
  <c r="AD96" i="2"/>
  <c r="AD102" i="2"/>
  <c r="AD50" i="2"/>
  <c r="AD118" i="2"/>
  <c r="AD55" i="2"/>
  <c r="AD10" i="2"/>
  <c r="AD32" i="2"/>
  <c r="AD161" i="2"/>
  <c r="AD141" i="2"/>
  <c r="AD137" i="2"/>
  <c r="AD164" i="2"/>
  <c r="AD104" i="2"/>
  <c r="AD88" i="2"/>
  <c r="AD62" i="2"/>
  <c r="AD209" i="2"/>
  <c r="AD179" i="2"/>
  <c r="AD91" i="2"/>
  <c r="AD23" i="2"/>
  <c r="AD67" i="2"/>
  <c r="AD27" i="2"/>
  <c r="AD185" i="2"/>
  <c r="AD230" i="2"/>
  <c r="AD127" i="2"/>
  <c r="AD183" i="2"/>
  <c r="AD5" i="2"/>
  <c r="AD148" i="2"/>
  <c r="AD72" i="2"/>
  <c r="AD232" i="2"/>
  <c r="AD46" i="2"/>
  <c r="AD76" i="2"/>
  <c r="AD34" i="2"/>
  <c r="AD14" i="2"/>
  <c r="AD9" i="2"/>
  <c r="AD82" i="2"/>
  <c r="AD86" i="2"/>
  <c r="AD143" i="2"/>
  <c r="AD173" i="2"/>
  <c r="AD115" i="2"/>
  <c r="AD77" i="2"/>
  <c r="AD129" i="2"/>
  <c r="AD153" i="2"/>
  <c r="AD136" i="2"/>
  <c r="AD171" i="2"/>
  <c r="AD103" i="2"/>
  <c r="AD132" i="2"/>
  <c r="AD17" i="2"/>
  <c r="AD223" i="2"/>
  <c r="AD215" i="2"/>
  <c r="AD229" i="2"/>
  <c r="AD203" i="2"/>
  <c r="AD41" i="2"/>
  <c r="AD146" i="2"/>
  <c r="AD147" i="2"/>
  <c r="AD45" i="2"/>
  <c r="AD84" i="2"/>
  <c r="AD43" i="2"/>
  <c r="AD35" i="2"/>
  <c r="AD113" i="2"/>
  <c r="AD133" i="2"/>
  <c r="AD99" i="2"/>
  <c r="AD106" i="2"/>
  <c r="AD21" i="2"/>
  <c r="AD126" i="2"/>
  <c r="AD83" i="2"/>
  <c r="AD149" i="2"/>
  <c r="AD36" i="2"/>
  <c r="AD105" i="2"/>
  <c r="AD110" i="2"/>
  <c r="AD150" i="2"/>
  <c r="AD139" i="2"/>
  <c r="AD234" i="2"/>
  <c r="AD98" i="2"/>
  <c r="AD13" i="2"/>
  <c r="AD159" i="2"/>
  <c r="AD48" i="2"/>
  <c r="AD233" i="2"/>
  <c r="AD15" i="2"/>
  <c r="AD39" i="2"/>
  <c r="AD227" i="2"/>
  <c r="AD231" i="2"/>
  <c r="AD170" i="2"/>
  <c r="AD195" i="2"/>
  <c r="E9" i="2"/>
  <c r="E70" i="2"/>
  <c r="E221" i="2"/>
  <c r="E10" i="2"/>
  <c r="E163" i="2"/>
  <c r="E210" i="2"/>
  <c r="E71" i="2"/>
  <c r="E72" i="2"/>
  <c r="E166" i="2"/>
  <c r="E84" i="2"/>
  <c r="E222" i="2"/>
  <c r="E125" i="2"/>
  <c r="E136" i="2"/>
  <c r="E174" i="2"/>
  <c r="E131" i="2"/>
  <c r="E187" i="2"/>
  <c r="E138" i="2"/>
  <c r="E68" i="2"/>
  <c r="E139" i="2"/>
  <c r="E140" i="2"/>
  <c r="E171" i="2"/>
  <c r="E172" i="2"/>
  <c r="E64" i="2"/>
  <c r="E142" i="2"/>
  <c r="E116" i="2"/>
  <c r="E51" i="2"/>
  <c r="E123" i="2"/>
  <c r="E227" i="2"/>
  <c r="E148" i="2"/>
  <c r="E109" i="2"/>
  <c r="E90" i="2"/>
  <c r="E118" i="2"/>
  <c r="E44" i="2"/>
  <c r="E16" i="2"/>
  <c r="E98" i="2"/>
  <c r="E200" i="2"/>
  <c r="E164" i="2"/>
  <c r="E181" i="2"/>
  <c r="E189" i="2"/>
  <c r="E63" i="2"/>
  <c r="E48" i="2"/>
  <c r="E209" i="2"/>
  <c r="E92" i="2"/>
  <c r="E39" i="2"/>
  <c r="E57" i="2"/>
  <c r="E81" i="2"/>
  <c r="E55" i="2"/>
  <c r="E93" i="2"/>
  <c r="E231" i="2"/>
  <c r="E223" i="2"/>
  <c r="E80" i="2"/>
  <c r="E224" i="2"/>
  <c r="E153" i="2"/>
  <c r="E11" i="2"/>
  <c r="E190" i="2"/>
  <c r="E29" i="2"/>
  <c r="E69" i="2"/>
  <c r="E66" i="2"/>
  <c r="E30" i="2"/>
  <c r="E89" i="2"/>
  <c r="E67" i="2"/>
  <c r="E214" i="2"/>
  <c r="E202" i="2"/>
  <c r="E74" i="2"/>
  <c r="E159" i="2"/>
  <c r="E129" i="2"/>
  <c r="E169" i="2"/>
  <c r="E175" i="2"/>
  <c r="E135" i="2"/>
  <c r="E13" i="2"/>
  <c r="E236" i="2"/>
  <c r="E151" i="2"/>
  <c r="E7" i="2"/>
  <c r="E155" i="2"/>
  <c r="E28" i="2"/>
  <c r="E213" i="2"/>
  <c r="E22" i="2"/>
  <c r="E170" i="2"/>
  <c r="E194" i="2"/>
  <c r="E61" i="2"/>
  <c r="E216" i="2"/>
  <c r="E46" i="2"/>
  <c r="E133" i="2"/>
  <c r="E206" i="2"/>
  <c r="E179" i="2"/>
  <c r="E232" i="2"/>
  <c r="E25" i="2"/>
  <c r="E75" i="2"/>
  <c r="E226" i="2"/>
  <c r="E149" i="2"/>
  <c r="E147" i="2"/>
  <c r="E53" i="2"/>
  <c r="E88" i="2"/>
  <c r="E110" i="2"/>
  <c r="E65" i="2"/>
  <c r="E33" i="2"/>
  <c r="E207" i="2"/>
  <c r="E47" i="2"/>
  <c r="E15" i="2"/>
  <c r="E76" i="2"/>
  <c r="E238" i="2"/>
  <c r="E188" i="2"/>
  <c r="E103" i="2"/>
  <c r="E113" i="2"/>
  <c r="E184" i="2"/>
  <c r="E23" i="2"/>
  <c r="E128" i="2"/>
  <c r="E119" i="2"/>
  <c r="E219" i="2"/>
  <c r="E218" i="2"/>
  <c r="E27" i="2"/>
  <c r="E130" i="2"/>
  <c r="E191" i="2"/>
  <c r="E108" i="2"/>
  <c r="E178" i="2"/>
  <c r="E192" i="2"/>
  <c r="E239" i="2"/>
  <c r="E198" i="2"/>
  <c r="E58" i="2"/>
  <c r="E107" i="2"/>
  <c r="E77" i="2"/>
  <c r="E56" i="2"/>
  <c r="E237" i="2"/>
  <c r="E20" i="2"/>
  <c r="E112" i="2"/>
  <c r="E62" i="2"/>
  <c r="E240" i="2"/>
  <c r="E12" i="2"/>
  <c r="E6" i="2"/>
  <c r="E195" i="2"/>
  <c r="E59" i="2"/>
  <c r="E97" i="2"/>
  <c r="E34" i="2"/>
  <c r="E79" i="2"/>
  <c r="E83" i="2"/>
  <c r="E176" i="2"/>
  <c r="E5" i="2"/>
  <c r="E208" i="2"/>
  <c r="E102" i="2"/>
  <c r="E60" i="2"/>
  <c r="E50" i="2"/>
  <c r="E96" i="2"/>
  <c r="E182" i="2"/>
  <c r="E134" i="2"/>
  <c r="E106" i="2"/>
  <c r="E19" i="2"/>
  <c r="E82" i="2"/>
  <c r="E161" i="2"/>
  <c r="E228" i="2"/>
  <c r="E168" i="2"/>
  <c r="E225" i="2"/>
  <c r="E32" i="2"/>
  <c r="E40" i="2"/>
  <c r="E162" i="2"/>
  <c r="E127" i="2"/>
  <c r="E196" i="2"/>
  <c r="E101" i="2"/>
  <c r="E126" i="2"/>
  <c r="E42" i="2"/>
  <c r="E193" i="2"/>
  <c r="E212" i="2"/>
  <c r="E124" i="2"/>
  <c r="E152" i="2"/>
  <c r="E154" i="2"/>
  <c r="E143" i="2"/>
  <c r="E36" i="2"/>
  <c r="E204" i="2"/>
  <c r="E4" i="2"/>
  <c r="E156" i="2"/>
  <c r="E211" i="2"/>
  <c r="E87" i="2"/>
  <c r="E145" i="2"/>
  <c r="E38" i="2"/>
  <c r="E14" i="2"/>
  <c r="E99" i="2"/>
  <c r="E233" i="2"/>
  <c r="E54" i="2"/>
  <c r="E132" i="2"/>
  <c r="E157" i="2"/>
  <c r="E229" i="2"/>
  <c r="E146" i="2"/>
  <c r="E8" i="2"/>
  <c r="E215" i="2"/>
  <c r="E120" i="2"/>
  <c r="E86" i="2"/>
  <c r="E49" i="2"/>
  <c r="E52" i="2"/>
  <c r="E114" i="2"/>
  <c r="E121" i="2"/>
  <c r="E186" i="2"/>
  <c r="E185" i="2"/>
  <c r="E234" i="2"/>
  <c r="E17" i="2"/>
  <c r="E105" i="2"/>
  <c r="E122" i="2"/>
  <c r="E91" i="2"/>
  <c r="E235" i="2"/>
  <c r="E100" i="2"/>
  <c r="E3" i="2"/>
  <c r="E141" i="2"/>
  <c r="E144" i="2"/>
  <c r="E18" i="2"/>
  <c r="E94" i="2"/>
  <c r="E183" i="2"/>
  <c r="E111" i="2"/>
  <c r="E167" i="2"/>
  <c r="E115" i="2"/>
  <c r="E150" i="2"/>
  <c r="E197" i="2"/>
  <c r="E78" i="2"/>
  <c r="E177" i="2"/>
  <c r="E37" i="2"/>
  <c r="E217" i="2"/>
  <c r="E201" i="2"/>
  <c r="E104" i="2"/>
  <c r="E41" i="2"/>
  <c r="E2" i="2"/>
  <c r="E95" i="2"/>
  <c r="E117" i="2"/>
  <c r="E165" i="2"/>
  <c r="E137" i="2"/>
  <c r="E220" i="2"/>
  <c r="E45" i="2"/>
  <c r="E160" i="2"/>
  <c r="E85" i="2"/>
  <c r="E73" i="2"/>
  <c r="E180" i="2"/>
  <c r="E230" i="2"/>
  <c r="E21" i="2"/>
  <c r="E205" i="2"/>
  <c r="E199" i="2"/>
  <c r="E31" i="2"/>
  <c r="E26" i="2"/>
  <c r="E158" i="2"/>
  <c r="E203" i="2"/>
  <c r="E35" i="2"/>
  <c r="E43" i="2"/>
  <c r="E173" i="2"/>
  <c r="E24" i="2"/>
  <c r="AE174" i="2"/>
  <c r="AE125" i="2"/>
  <c r="AE114" i="2"/>
  <c r="AE77" i="2"/>
  <c r="AE110" i="2"/>
  <c r="AE170" i="2"/>
  <c r="AE104" i="2"/>
  <c r="AE117" i="2"/>
  <c r="AE45" i="2"/>
  <c r="AE3" i="2"/>
  <c r="AE159" i="2"/>
  <c r="AE96" i="2"/>
  <c r="AE188" i="2"/>
  <c r="AE234" i="2"/>
  <c r="AE99" i="2"/>
  <c r="AE129" i="2"/>
  <c r="AE15" i="2"/>
  <c r="AE12" i="2"/>
  <c r="AE65" i="2"/>
  <c r="AE207" i="2"/>
  <c r="AE183" i="2"/>
  <c r="AE55" i="2"/>
  <c r="AE163" i="2"/>
  <c r="AE160" i="2"/>
  <c r="AE203" i="2"/>
  <c r="AE85" i="2"/>
  <c r="AE87" i="2"/>
  <c r="AE93" i="2"/>
  <c r="AE161" i="2"/>
  <c r="AE237" i="2"/>
  <c r="AE143" i="2"/>
  <c r="AE208" i="2"/>
  <c r="AE168" i="2"/>
  <c r="AE184" i="2"/>
  <c r="AE30" i="2"/>
  <c r="AE238" i="2"/>
  <c r="AE215" i="2"/>
  <c r="AE67" i="2"/>
  <c r="AE167" i="2"/>
  <c r="AE105" i="2"/>
  <c r="AE118" i="2"/>
  <c r="AE44" i="2"/>
  <c r="AE123" i="2"/>
  <c r="AE41" i="2"/>
  <c r="AE11" i="2"/>
  <c r="AE128" i="2"/>
  <c r="AE40" i="2"/>
  <c r="AE50" i="2"/>
  <c r="AE165" i="2"/>
  <c r="AE150" i="2"/>
  <c r="AE100" i="2"/>
  <c r="AE98" i="2"/>
  <c r="AE135" i="2"/>
  <c r="AE35" i="2"/>
  <c r="AE119" i="2"/>
  <c r="AE196" i="2"/>
  <c r="AE222" i="2"/>
  <c r="AE4" i="2"/>
  <c r="AE94" i="2"/>
  <c r="AE179" i="2"/>
  <c r="AE177" i="2"/>
  <c r="AE43" i="2"/>
  <c r="AE151" i="2"/>
  <c r="AE229" i="2"/>
  <c r="AE47" i="2"/>
  <c r="AE148" i="2"/>
  <c r="AE51" i="2"/>
  <c r="AE66" i="2"/>
  <c r="AE82" i="2"/>
  <c r="AE69" i="2"/>
  <c r="AE88" i="2"/>
  <c r="AE86" i="2"/>
  <c r="AE37" i="2"/>
  <c r="AE71" i="2"/>
  <c r="AE112" i="2"/>
  <c r="AE79" i="2"/>
  <c r="AE224" i="2"/>
  <c r="AE171" i="2"/>
  <c r="AE175" i="2"/>
  <c r="AE240" i="2"/>
  <c r="AE95" i="2"/>
  <c r="AE202" i="2"/>
  <c r="AE29" i="2"/>
  <c r="AE80" i="2"/>
  <c r="AE54" i="2"/>
  <c r="AE181" i="2"/>
  <c r="AE210" i="2"/>
  <c r="AE59" i="2"/>
  <c r="AE232" i="2"/>
  <c r="AE126" i="2"/>
  <c r="AE236" i="2"/>
  <c r="AE192" i="2"/>
  <c r="AE169" i="2"/>
  <c r="AE74" i="2"/>
  <c r="AE83" i="2"/>
  <c r="AE198" i="2"/>
  <c r="AE144" i="2"/>
  <c r="AE52" i="2"/>
  <c r="AE190" i="2"/>
  <c r="AE107" i="2"/>
  <c r="AE216" i="2"/>
  <c r="AE140" i="2"/>
  <c r="AE195" i="2"/>
  <c r="AE18" i="2"/>
  <c r="AE149" i="2"/>
  <c r="AE127" i="2"/>
  <c r="AE121" i="2"/>
  <c r="AE227" i="2"/>
  <c r="AE141" i="2"/>
  <c r="AE156" i="2"/>
  <c r="AE13" i="2"/>
  <c r="AE145" i="2"/>
  <c r="AE108" i="2"/>
  <c r="AE111" i="2"/>
  <c r="AE235" i="2"/>
  <c r="AE206" i="2"/>
  <c r="AE182" i="2"/>
  <c r="AE106" i="2"/>
  <c r="AE201" i="2"/>
  <c r="AE60" i="2"/>
  <c r="AE102" i="2"/>
  <c r="AE231" i="2"/>
  <c r="AE185" i="2"/>
  <c r="AE134" i="2"/>
  <c r="AE76" i="2"/>
  <c r="AE10" i="2"/>
  <c r="AE193" i="2"/>
  <c r="AE8" i="2"/>
  <c r="AE21" i="2"/>
  <c r="AE53" i="2"/>
  <c r="AE172" i="2"/>
  <c r="AE211" i="2"/>
  <c r="AE25" i="2"/>
  <c r="AE157" i="2"/>
  <c r="AE213" i="2"/>
  <c r="AE78" i="2"/>
  <c r="AE212" i="2"/>
  <c r="AE56" i="2"/>
  <c r="AE16" i="2"/>
  <c r="AE223" i="2"/>
  <c r="AE218" i="2"/>
  <c r="AE34" i="2"/>
  <c r="AE19" i="2"/>
  <c r="AE133" i="2"/>
  <c r="AE101" i="2"/>
  <c r="AE164" i="2"/>
  <c r="AE5" i="2"/>
  <c r="AE200" i="2"/>
  <c r="AE124" i="2"/>
  <c r="AE120" i="2"/>
  <c r="AE20" i="2"/>
  <c r="AE166" i="2"/>
  <c r="AE228" i="2"/>
  <c r="AE68" i="2"/>
  <c r="AE194" i="2"/>
  <c r="AE22" i="2"/>
  <c r="AE63" i="2"/>
  <c r="AE152" i="2"/>
  <c r="AE64" i="2"/>
  <c r="AE32" i="2"/>
  <c r="AE24" i="2"/>
  <c r="AE221" i="2"/>
  <c r="AE31" i="2"/>
  <c r="AE48" i="2"/>
  <c r="AE138" i="2"/>
  <c r="AE204" i="2"/>
  <c r="AE199" i="2"/>
  <c r="AE205" i="2"/>
  <c r="AE113" i="2"/>
  <c r="AE91" i="2"/>
  <c r="AE115" i="2"/>
  <c r="AE230" i="2"/>
  <c r="AE187" i="2"/>
  <c r="AE178" i="2"/>
  <c r="AE109" i="2"/>
  <c r="AE191" i="2"/>
  <c r="AE90" i="2"/>
  <c r="AE137" i="2"/>
  <c r="AE142" i="2"/>
  <c r="AE62" i="2"/>
  <c r="AE153" i="2"/>
  <c r="AE92" i="2"/>
  <c r="AE103" i="2"/>
  <c r="AE186" i="2"/>
  <c r="AE58" i="2"/>
  <c r="AE75" i="2"/>
  <c r="AE49" i="2"/>
  <c r="AE97" i="2"/>
  <c r="AE219" i="2"/>
  <c r="D231" i="2"/>
  <c r="D209" i="2"/>
  <c r="D23" i="2"/>
  <c r="D185" i="2"/>
  <c r="D125" i="2"/>
  <c r="D128" i="2"/>
  <c r="D42" i="2"/>
  <c r="D140" i="2"/>
  <c r="D142" i="2"/>
  <c r="D10" i="2"/>
  <c r="AE225" i="2"/>
  <c r="AE131" i="2"/>
  <c r="AE130" i="2"/>
  <c r="AE176" i="2"/>
  <c r="AE36" i="2"/>
  <c r="AE89" i="2"/>
  <c r="AE220" i="2"/>
  <c r="AE46" i="2"/>
  <c r="AE214" i="2"/>
  <c r="AE154" i="2"/>
  <c r="D53" i="2"/>
  <c r="D56" i="2"/>
  <c r="D93" i="2"/>
  <c r="D216" i="2"/>
  <c r="D211" i="2"/>
  <c r="D202" i="2"/>
  <c r="D200" i="2"/>
  <c r="D34" i="2"/>
  <c r="D179" i="2"/>
  <c r="D186" i="2"/>
  <c r="D123" i="2"/>
  <c r="D122" i="2"/>
  <c r="D223" i="2"/>
  <c r="D121" i="2"/>
  <c r="D201" i="2"/>
  <c r="D15" i="2"/>
  <c r="D158" i="2"/>
  <c r="D181" i="2"/>
  <c r="D28" i="2"/>
  <c r="D146" i="2"/>
  <c r="AE233" i="2"/>
  <c r="AE158" i="2"/>
  <c r="AE38" i="2"/>
  <c r="AE61" i="2"/>
  <c r="AE146" i="2"/>
  <c r="AE132" i="2"/>
  <c r="AE28" i="2"/>
  <c r="AE70" i="2"/>
  <c r="AE33" i="2"/>
  <c r="AE7" i="2"/>
  <c r="D210" i="2"/>
  <c r="D76" i="2"/>
  <c r="D27" i="2"/>
  <c r="D85" i="2"/>
  <c r="D86" i="2"/>
  <c r="D188" i="2"/>
  <c r="D189" i="2"/>
  <c r="D234" i="2"/>
  <c r="D153" i="2"/>
  <c r="D94" i="2"/>
  <c r="D39" i="2"/>
  <c r="D156" i="2"/>
  <c r="D58" i="2"/>
  <c r="D133" i="2"/>
  <c r="D183" i="2"/>
  <c r="D37" i="2"/>
  <c r="D102" i="2"/>
  <c r="D159" i="2"/>
  <c r="D151" i="2"/>
  <c r="D4" i="2"/>
  <c r="AE239" i="2"/>
  <c r="AE72" i="2"/>
  <c r="AE197" i="2"/>
  <c r="AE17" i="2"/>
  <c r="AE226" i="2"/>
  <c r="AE155" i="2"/>
  <c r="AE9" i="2"/>
  <c r="AE26" i="2"/>
  <c r="AE209" i="2"/>
  <c r="AE6" i="2"/>
  <c r="AE42" i="2"/>
  <c r="AE84" i="2"/>
  <c r="AE162" i="2"/>
  <c r="AE14" i="2"/>
  <c r="AE139" i="2"/>
  <c r="AE189" i="2"/>
  <c r="AE57" i="2"/>
  <c r="AE27" i="2"/>
  <c r="AE81" i="2"/>
  <c r="AE136" i="2"/>
  <c r="AE2" i="2"/>
  <c r="AE180" i="2"/>
  <c r="AE73" i="2"/>
  <c r="AE39" i="2"/>
  <c r="AE147" i="2"/>
  <c r="AE217" i="2"/>
  <c r="AE23" i="2"/>
  <c r="AE173" i="2"/>
  <c r="AE116" i="2"/>
  <c r="AE122" i="2"/>
  <c r="D65" i="2"/>
  <c r="D145" i="2"/>
  <c r="D215" i="2"/>
  <c r="D103" i="2"/>
  <c r="D235" i="2"/>
  <c r="D35" i="2"/>
  <c r="D208" i="2"/>
  <c r="D24" i="2"/>
  <c r="D30" i="2"/>
  <c r="D212" i="2"/>
  <c r="D107" i="2"/>
  <c r="D157" i="2"/>
  <c r="D106" i="2"/>
  <c r="D213" i="2"/>
  <c r="D139" i="2"/>
  <c r="D21" i="2"/>
  <c r="D47" i="2"/>
  <c r="D169" i="2"/>
  <c r="D71" i="2"/>
  <c r="D165" i="2"/>
  <c r="D225" i="2"/>
  <c r="D66" i="2"/>
  <c r="D172" i="2"/>
  <c r="D226" i="2"/>
  <c r="D203" i="2"/>
  <c r="D59" i="2"/>
  <c r="D61" i="2"/>
  <c r="D205" i="2"/>
  <c r="D198" i="2"/>
  <c r="D228" i="2"/>
  <c r="D129" i="2"/>
  <c r="D222" i="2"/>
  <c r="D100" i="2"/>
  <c r="D82" i="2"/>
  <c r="D79" i="2"/>
  <c r="D89" i="2"/>
  <c r="D229" i="2"/>
  <c r="D230" i="2"/>
  <c r="D227" i="2"/>
  <c r="D18" i="2"/>
  <c r="D38" i="2"/>
  <c r="D36" i="2"/>
  <c r="D17" i="2"/>
  <c r="D113" i="2"/>
  <c r="D176" i="2"/>
  <c r="D110" i="2"/>
  <c r="D14" i="2"/>
  <c r="D72" i="2"/>
  <c r="D97" i="2"/>
  <c r="D74" i="2"/>
  <c r="D218" i="2"/>
  <c r="D96" i="2"/>
  <c r="D60" i="2"/>
  <c r="D192" i="2"/>
  <c r="D91" i="2"/>
  <c r="D8" i="2"/>
  <c r="D9" i="2"/>
  <c r="D77" i="2"/>
  <c r="D87" i="2"/>
  <c r="D101" i="2"/>
  <c r="D90" i="2"/>
  <c r="D109" i="2"/>
  <c r="D155" i="2"/>
  <c r="D45" i="2"/>
  <c r="D2" i="2"/>
  <c r="D137" i="2"/>
  <c r="D174" i="2"/>
  <c r="D116" i="2"/>
  <c r="D237" i="2"/>
  <c r="D147" i="2"/>
  <c r="D104" i="2"/>
  <c r="D57" i="2"/>
  <c r="D16" i="2"/>
  <c r="D52" i="2"/>
  <c r="D193" i="2"/>
  <c r="D69" i="2"/>
  <c r="D177" i="2"/>
  <c r="D127" i="2"/>
  <c r="D220" i="2"/>
  <c r="F29" i="2"/>
  <c r="F150" i="2"/>
  <c r="F220" i="2"/>
  <c r="F165" i="2"/>
  <c r="F15" i="2"/>
  <c r="F204" i="2"/>
  <c r="F34" i="2"/>
  <c r="F190" i="2"/>
  <c r="F198" i="2"/>
  <c r="F55" i="2"/>
  <c r="D12" i="2"/>
  <c r="D163" i="2"/>
  <c r="D3" i="2"/>
  <c r="D207" i="2"/>
  <c r="D40" i="2"/>
  <c r="D29" i="2"/>
  <c r="D191" i="2"/>
  <c r="D119" i="2"/>
  <c r="D221" i="2"/>
  <c r="D111" i="2"/>
  <c r="D81" i="2"/>
  <c r="D232" i="2"/>
  <c r="D63" i="2"/>
  <c r="D22" i="2"/>
  <c r="D46" i="2"/>
  <c r="D152" i="2"/>
  <c r="D206" i="2"/>
  <c r="D98" i="2"/>
  <c r="D67" i="2"/>
  <c r="D19" i="2"/>
  <c r="D236" i="2"/>
  <c r="D44" i="2"/>
  <c r="D105" i="2"/>
  <c r="D136" i="2"/>
  <c r="D118" i="2"/>
  <c r="D43" i="2"/>
  <c r="D195" i="2"/>
  <c r="D180" i="2"/>
  <c r="D149" i="2"/>
  <c r="D62" i="2"/>
  <c r="D20" i="2"/>
  <c r="D134" i="2"/>
  <c r="D54" i="2"/>
  <c r="D148" i="2"/>
  <c r="D55" i="2"/>
  <c r="D84" i="2"/>
  <c r="D95" i="2"/>
  <c r="D219" i="2"/>
  <c r="D168" i="2"/>
  <c r="D162" i="2"/>
  <c r="D73" i="2"/>
  <c r="D70" i="2"/>
  <c r="D33" i="2"/>
  <c r="D83" i="2"/>
  <c r="D170" i="2"/>
  <c r="D78" i="2"/>
  <c r="D173" i="2"/>
  <c r="D154" i="2"/>
  <c r="D26" i="2"/>
  <c r="D167" i="2"/>
  <c r="D7" i="2"/>
  <c r="D92" i="2"/>
  <c r="D49" i="2"/>
  <c r="D48" i="2"/>
  <c r="D187" i="2"/>
  <c r="D214" i="2"/>
  <c r="D117" i="2"/>
  <c r="D131" i="2"/>
  <c r="D135" i="2"/>
  <c r="D161" i="2"/>
  <c r="F106" i="2"/>
  <c r="F17" i="2"/>
  <c r="F149" i="2"/>
  <c r="F16" i="2"/>
  <c r="F45" i="2"/>
  <c r="F110" i="2"/>
  <c r="F121" i="2"/>
  <c r="F26" i="2"/>
  <c r="F90" i="2"/>
  <c r="F230" i="2"/>
  <c r="D204" i="2"/>
  <c r="D75" i="2"/>
  <c r="D141" i="2"/>
  <c r="D184" i="2"/>
  <c r="D11" i="2"/>
  <c r="D80" i="2"/>
  <c r="D190" i="2"/>
  <c r="D196" i="2"/>
  <c r="D64" i="2"/>
  <c r="D31" i="2"/>
  <c r="D138" i="2"/>
  <c r="D197" i="2"/>
  <c r="D112" i="2"/>
  <c r="D41" i="2"/>
  <c r="D6" i="2"/>
  <c r="D126" i="2"/>
  <c r="D132" i="2"/>
  <c r="D13" i="2"/>
  <c r="D217" i="2"/>
  <c r="D120" i="2"/>
  <c r="F111" i="2"/>
  <c r="F85" i="2"/>
  <c r="F144" i="2"/>
  <c r="F4" i="2"/>
  <c r="F84" i="2"/>
  <c r="F39" i="2"/>
  <c r="F46" i="2"/>
  <c r="F180" i="2"/>
  <c r="F132" i="2"/>
  <c r="D239" i="2"/>
  <c r="D32" i="2"/>
  <c r="D50" i="2"/>
  <c r="D233" i="2"/>
  <c r="D124" i="2"/>
  <c r="D164" i="2"/>
  <c r="D99" i="2"/>
  <c r="D51" i="2"/>
  <c r="D160" i="2"/>
  <c r="D199" i="2"/>
  <c r="D166" i="2"/>
  <c r="D68" i="2"/>
  <c r="D224" i="2"/>
  <c r="D182" i="2"/>
  <c r="D144" i="2"/>
  <c r="D143" i="2"/>
  <c r="D88" i="2"/>
  <c r="D240" i="2"/>
  <c r="D150" i="2"/>
  <c r="D5" i="2"/>
  <c r="D114" i="2"/>
  <c r="D178" i="2"/>
  <c r="D25" i="2"/>
  <c r="D171" i="2"/>
  <c r="D108" i="2"/>
  <c r="D194" i="2"/>
  <c r="D175" i="2"/>
  <c r="D130" i="2"/>
  <c r="D115" i="2"/>
  <c r="D238" i="2"/>
  <c r="F168" i="2"/>
  <c r="F130" i="2"/>
  <c r="F148" i="2"/>
  <c r="F122" i="2"/>
  <c r="F174" i="2"/>
  <c r="F129" i="2"/>
  <c r="F64" i="2"/>
  <c r="F126" i="2"/>
  <c r="F211" i="2"/>
  <c r="F226" i="2"/>
  <c r="F194" i="2"/>
  <c r="F228" i="2"/>
  <c r="F105" i="2"/>
  <c r="F70" i="2"/>
  <c r="F28" i="2"/>
  <c r="F86" i="2"/>
  <c r="F87" i="2"/>
  <c r="F217" i="2"/>
  <c r="F102" i="2"/>
  <c r="F167" i="2"/>
  <c r="F237" i="2"/>
  <c r="F75" i="2"/>
  <c r="F44" i="2"/>
  <c r="F206" i="2"/>
  <c r="F54" i="2"/>
  <c r="F218" i="2"/>
  <c r="F63" i="2"/>
  <c r="F240" i="2"/>
  <c r="F112" i="2"/>
  <c r="F73" i="2"/>
  <c r="F11" i="2"/>
  <c r="F160" i="2"/>
  <c r="F47" i="2"/>
  <c r="F67" i="2"/>
  <c r="F151" i="2"/>
  <c r="F119" i="2"/>
  <c r="F142" i="2"/>
  <c r="F154" i="2"/>
  <c r="F127" i="2"/>
  <c r="F53" i="2"/>
  <c r="F216" i="2"/>
  <c r="F103" i="2"/>
  <c r="F78" i="2"/>
  <c r="F195" i="2"/>
  <c r="F57" i="2"/>
  <c r="F115" i="2"/>
  <c r="F166" i="2"/>
  <c r="F31" i="2"/>
  <c r="F134" i="2"/>
  <c r="F89" i="2"/>
  <c r="F173" i="2"/>
  <c r="F183" i="2"/>
  <c r="F193" i="2"/>
  <c r="F229" i="2"/>
  <c r="F201" i="2"/>
  <c r="F221" i="2"/>
  <c r="F210" i="2"/>
  <c r="F10" i="2"/>
  <c r="F197" i="2"/>
  <c r="F224" i="2"/>
  <c r="F179" i="2"/>
  <c r="F79" i="2"/>
  <c r="F23" i="2"/>
  <c r="F43" i="2"/>
  <c r="F22" i="2"/>
  <c r="F191" i="2"/>
  <c r="F189" i="2"/>
  <c r="F232" i="2"/>
  <c r="F108" i="2"/>
  <c r="F138" i="2"/>
  <c r="F100" i="2"/>
  <c r="F155" i="2"/>
  <c r="F177" i="2"/>
  <c r="F65" i="2"/>
  <c r="F48" i="2"/>
  <c r="F181" i="2"/>
  <c r="F196" i="2"/>
  <c r="F188" i="2"/>
  <c r="F176" i="2"/>
  <c r="F169" i="2"/>
  <c r="F199" i="2"/>
  <c r="F104" i="2"/>
  <c r="F97" i="2"/>
  <c r="F20" i="2"/>
  <c r="F202" i="2"/>
  <c r="F80" i="2"/>
  <c r="F95" i="2"/>
  <c r="F225" i="2"/>
  <c r="F30" i="2"/>
  <c r="F172" i="2"/>
  <c r="F19" i="2"/>
  <c r="F147" i="2"/>
  <c r="F18" i="2"/>
  <c r="F170" i="2"/>
  <c r="F94" i="2"/>
  <c r="F51" i="2"/>
  <c r="F42" i="2"/>
  <c r="F21" i="2"/>
  <c r="F124" i="2"/>
  <c r="F5" i="2"/>
  <c r="F107" i="2"/>
  <c r="F58" i="2"/>
  <c r="F49" i="2"/>
  <c r="F12" i="2"/>
  <c r="F164" i="2"/>
  <c r="F120" i="2"/>
  <c r="F59" i="2"/>
  <c r="F140" i="2"/>
  <c r="F234" i="2"/>
  <c r="F93" i="2"/>
  <c r="F91" i="2"/>
  <c r="F184" i="2"/>
  <c r="F35" i="2"/>
  <c r="F187" i="2"/>
  <c r="F98" i="2"/>
  <c r="F125" i="2"/>
  <c r="F77" i="2"/>
  <c r="F131" i="2"/>
  <c r="F159" i="2"/>
  <c r="F128" i="2"/>
  <c r="F212" i="2"/>
  <c r="F8" i="2"/>
  <c r="F72" i="2"/>
  <c r="F6" i="2"/>
  <c r="F163" i="2"/>
  <c r="F192" i="2"/>
  <c r="F236" i="2"/>
  <c r="F233" i="2"/>
  <c r="F52" i="2"/>
  <c r="F178" i="2"/>
  <c r="F223" i="2"/>
  <c r="F141" i="2"/>
  <c r="F175" i="2"/>
  <c r="F27" i="2"/>
  <c r="F61" i="2"/>
  <c r="F214" i="2"/>
  <c r="F81" i="2"/>
  <c r="F161" i="2"/>
  <c r="F113" i="2"/>
  <c r="F227" i="2"/>
  <c r="I31" i="2"/>
  <c r="I136" i="2"/>
  <c r="I57" i="2"/>
  <c r="I90" i="2"/>
  <c r="I100" i="2"/>
  <c r="I239" i="2"/>
  <c r="I53" i="2"/>
  <c r="I8" i="2"/>
  <c r="I101" i="2"/>
  <c r="I11" i="2"/>
  <c r="F231" i="2"/>
  <c r="F68" i="2"/>
  <c r="F82" i="2"/>
  <c r="F33" i="2"/>
  <c r="F116" i="2"/>
  <c r="F139" i="2"/>
  <c r="F136" i="2"/>
  <c r="F24" i="2"/>
  <c r="F205" i="2"/>
  <c r="F162" i="2"/>
  <c r="F92" i="2"/>
  <c r="F37" i="2"/>
  <c r="F3" i="2"/>
  <c r="F66" i="2"/>
  <c r="F123" i="2"/>
  <c r="F32" i="2"/>
  <c r="F209" i="2"/>
  <c r="F219" i="2"/>
  <c r="F99" i="2"/>
  <c r="F71" i="2"/>
  <c r="F69" i="2"/>
  <c r="F238" i="2"/>
  <c r="F157" i="2"/>
  <c r="F182" i="2"/>
  <c r="F146" i="2"/>
  <c r="F185" i="2"/>
  <c r="F76" i="2"/>
  <c r="F62" i="2"/>
  <c r="F40" i="2"/>
  <c r="F153" i="2"/>
  <c r="F74" i="2"/>
  <c r="F213" i="2"/>
  <c r="F171" i="2"/>
  <c r="F133" i="2"/>
  <c r="F25" i="2"/>
  <c r="F158" i="2"/>
  <c r="F36" i="2"/>
  <c r="F137" i="2"/>
  <c r="F109" i="2"/>
  <c r="F222" i="2"/>
  <c r="F101" i="2"/>
  <c r="F83" i="2"/>
  <c r="F200" i="2"/>
  <c r="F2" i="2"/>
  <c r="F9" i="2"/>
  <c r="F50" i="2"/>
  <c r="F88" i="2"/>
  <c r="F215" i="2"/>
  <c r="F13" i="2"/>
  <c r="F203" i="2"/>
  <c r="F41" i="2"/>
  <c r="F135" i="2"/>
  <c r="F239" i="2"/>
  <c r="F208" i="2"/>
  <c r="F96" i="2"/>
  <c r="F38" i="2"/>
  <c r="F118" i="2"/>
  <c r="F14" i="2"/>
  <c r="F56" i="2"/>
  <c r="F235" i="2"/>
  <c r="I83" i="2"/>
  <c r="I116" i="2"/>
  <c r="I143" i="2"/>
  <c r="I175" i="2"/>
  <c r="I78" i="2"/>
  <c r="I160" i="2"/>
  <c r="I85" i="2"/>
  <c r="I29" i="2"/>
  <c r="I153" i="2"/>
  <c r="I198" i="2"/>
  <c r="I185" i="2"/>
  <c r="I67" i="2"/>
  <c r="I81" i="2"/>
  <c r="I189" i="2"/>
  <c r="I149" i="2"/>
  <c r="I121" i="2"/>
  <c r="I165" i="2"/>
  <c r="I49" i="2"/>
  <c r="I91" i="2"/>
  <c r="F186" i="2"/>
  <c r="F117" i="2"/>
  <c r="F60" i="2"/>
  <c r="F145" i="2"/>
  <c r="F152" i="2"/>
  <c r="F114" i="2"/>
  <c r="F207" i="2"/>
  <c r="F156" i="2"/>
  <c r="F7" i="2"/>
  <c r="F143" i="2"/>
  <c r="I137" i="2"/>
  <c r="I227" i="2"/>
  <c r="I92" i="2"/>
  <c r="I71" i="2"/>
  <c r="I98" i="2"/>
  <c r="I220" i="2"/>
  <c r="I114" i="2"/>
  <c r="I84" i="2"/>
  <c r="I180" i="2"/>
  <c r="I17" i="2"/>
  <c r="I164" i="2"/>
  <c r="I126" i="2"/>
  <c r="I128" i="2"/>
  <c r="I157" i="2"/>
  <c r="I169" i="2"/>
  <c r="I215" i="2"/>
  <c r="I182" i="2"/>
  <c r="I213" i="2"/>
  <c r="I200" i="2"/>
  <c r="I55" i="2"/>
  <c r="I15" i="2"/>
  <c r="I127" i="2"/>
  <c r="I124" i="2"/>
  <c r="I77" i="2"/>
  <c r="I38" i="2"/>
  <c r="I158" i="2"/>
  <c r="I119" i="2"/>
  <c r="I163" i="2"/>
  <c r="I22" i="2"/>
  <c r="I188" i="2"/>
  <c r="I73" i="2"/>
  <c r="I113" i="2"/>
  <c r="I168" i="2"/>
  <c r="I64" i="2"/>
  <c r="I240" i="2"/>
  <c r="I105" i="2"/>
  <c r="I203" i="2"/>
  <c r="I109" i="2"/>
  <c r="I187" i="2"/>
  <c r="I230" i="2"/>
  <c r="I40" i="2"/>
  <c r="I58" i="2"/>
  <c r="I59" i="2"/>
  <c r="I68" i="2"/>
  <c r="I79" i="2"/>
  <c r="I232" i="2"/>
  <c r="I18" i="2"/>
  <c r="I192" i="2"/>
  <c r="I4" i="2"/>
  <c r="I193" i="2"/>
  <c r="I177" i="2"/>
  <c r="I86" i="2"/>
  <c r="I141" i="2"/>
  <c r="I97" i="2"/>
  <c r="I108" i="2"/>
  <c r="I216" i="2"/>
  <c r="I107" i="2"/>
  <c r="I7" i="2"/>
  <c r="I80" i="2"/>
  <c r="I16" i="2"/>
  <c r="I145" i="2"/>
  <c r="I61" i="2"/>
  <c r="I76" i="2"/>
  <c r="I30" i="2"/>
  <c r="I87" i="2"/>
  <c r="I2" i="2"/>
  <c r="I66" i="2"/>
  <c r="I173" i="2"/>
  <c r="I166" i="2"/>
  <c r="I47" i="2"/>
  <c r="I212" i="2"/>
  <c r="I155" i="2"/>
  <c r="I120" i="2"/>
  <c r="I171" i="2"/>
  <c r="I170" i="2"/>
  <c r="I161" i="2"/>
  <c r="I103" i="2"/>
  <c r="I74" i="2"/>
  <c r="I211" i="2"/>
  <c r="I24" i="2"/>
  <c r="I229" i="2"/>
  <c r="I130" i="2"/>
  <c r="I156" i="2"/>
  <c r="I176" i="2"/>
  <c r="I142" i="2"/>
  <c r="I26" i="2"/>
  <c r="I129" i="2"/>
  <c r="I23" i="2"/>
  <c r="I132" i="2"/>
  <c r="I110" i="2"/>
  <c r="I43" i="2"/>
  <c r="I60" i="2"/>
  <c r="I195" i="2"/>
  <c r="I12" i="2"/>
  <c r="I93" i="2"/>
  <c r="I152" i="2"/>
  <c r="I27" i="2"/>
  <c r="I52" i="2"/>
  <c r="I125" i="2"/>
  <c r="I63" i="2"/>
  <c r="I201" i="2"/>
  <c r="I13" i="2"/>
  <c r="I204" i="2"/>
  <c r="I41" i="2"/>
  <c r="I104" i="2"/>
  <c r="I162" i="2"/>
  <c r="I69" i="2"/>
  <c r="I20" i="2"/>
  <c r="I151" i="2"/>
  <c r="I36" i="2"/>
  <c r="I174" i="2"/>
  <c r="I46" i="2"/>
  <c r="I39" i="2"/>
  <c r="I72" i="2"/>
  <c r="I202" i="2"/>
  <c r="I25" i="2"/>
  <c r="I54" i="2"/>
  <c r="I154" i="2"/>
  <c r="I131" i="2"/>
  <c r="I205" i="2"/>
  <c r="I70" i="2"/>
  <c r="I159" i="2"/>
  <c r="I48" i="2"/>
  <c r="I224" i="2"/>
  <c r="I140" i="2"/>
  <c r="I139" i="2"/>
  <c r="I138" i="2"/>
  <c r="I210" i="2"/>
  <c r="I115" i="2"/>
  <c r="I147" i="2"/>
  <c r="I134" i="2"/>
  <c r="I10" i="2"/>
  <c r="I56" i="2"/>
  <c r="I181" i="2"/>
  <c r="I225" i="2"/>
  <c r="I34" i="2"/>
  <c r="I28" i="2"/>
  <c r="I5" i="2"/>
  <c r="I106" i="2"/>
  <c r="I111" i="2"/>
  <c r="I32" i="2"/>
  <c r="I42" i="2"/>
  <c r="I3" i="2"/>
  <c r="I123" i="2"/>
  <c r="I223" i="2"/>
  <c r="I148" i="2"/>
  <c r="I209" i="2"/>
  <c r="I88" i="2"/>
  <c r="I14" i="2"/>
  <c r="I146" i="2"/>
  <c r="I179" i="2"/>
  <c r="I82" i="2"/>
  <c r="I217" i="2"/>
  <c r="I208" i="2"/>
  <c r="I122" i="2"/>
  <c r="I231" i="2"/>
  <c r="I150" i="2"/>
  <c r="I9" i="2"/>
  <c r="I221" i="2"/>
  <c r="I112" i="2"/>
  <c r="I172" i="2"/>
  <c r="I199" i="2"/>
  <c r="I118" i="2"/>
  <c r="I95" i="2"/>
  <c r="I234" i="2"/>
  <c r="I99" i="2"/>
  <c r="I33" i="2"/>
  <c r="I75" i="2"/>
  <c r="I237" i="2"/>
  <c r="I35" i="2"/>
  <c r="I194" i="2"/>
  <c r="I21" i="2"/>
  <c r="I102" i="2"/>
  <c r="I94" i="2"/>
  <c r="I45" i="2"/>
  <c r="I196" i="2"/>
  <c r="I222" i="2"/>
  <c r="I186" i="2"/>
  <c r="I219" i="2"/>
  <c r="I167" i="2"/>
  <c r="I62" i="2"/>
  <c r="I51" i="2"/>
  <c r="I183" i="2"/>
  <c r="I144" i="2"/>
  <c r="I117" i="2"/>
  <c r="I235" i="2"/>
  <c r="I96" i="2"/>
  <c r="I197" i="2"/>
  <c r="I44" i="2"/>
  <c r="I228" i="2"/>
  <c r="AB229" i="2"/>
  <c r="S30" i="2"/>
  <c r="W229" i="2"/>
  <c r="R229" i="2"/>
  <c r="K229" i="2"/>
  <c r="AA192" i="2"/>
  <c r="O192" i="2"/>
  <c r="Z30" i="2"/>
  <c r="N192" i="2"/>
  <c r="N30" i="2"/>
  <c r="AC121" i="2"/>
  <c r="M233" i="2"/>
  <c r="O121" i="2"/>
  <c r="AA6" i="2"/>
  <c r="S233" i="2"/>
  <c r="B105" i="2"/>
  <c r="Z229" i="2"/>
  <c r="M229" i="2"/>
  <c r="AC192" i="2"/>
  <c r="Z121" i="2"/>
  <c r="AA105" i="2"/>
  <c r="Q105" i="2"/>
  <c r="Y192" i="2"/>
  <c r="AB228" i="2"/>
  <c r="Y228" i="2"/>
  <c r="O6" i="2"/>
  <c r="W233" i="2"/>
  <c r="R233" i="2"/>
  <c r="K233" i="2"/>
  <c r="H176" i="2"/>
  <c r="Q192" i="2"/>
  <c r="H121" i="2"/>
  <c r="B233" i="2"/>
  <c r="AC105" i="2"/>
  <c r="S121" i="2"/>
  <c r="M30" i="2"/>
  <c r="AC228" i="2"/>
  <c r="O30" i="2"/>
  <c r="N229" i="2"/>
  <c r="B6" i="2"/>
  <c r="M127" i="2"/>
  <c r="N105" i="2"/>
  <c r="B229" i="2"/>
  <c r="Y6" i="2"/>
  <c r="Q233" i="2"/>
  <c r="Q6" i="2"/>
  <c r="AB121" i="2"/>
  <c r="AB30" i="2"/>
  <c r="AA127" i="2"/>
  <c r="P105" i="2"/>
  <c r="P192" i="2"/>
  <c r="AB105" i="2"/>
  <c r="B176" i="2"/>
  <c r="AA176" i="2"/>
  <c r="S127" i="2"/>
  <c r="B127" i="2"/>
  <c r="AB176" i="2"/>
  <c r="Z192" i="2"/>
  <c r="Q127" i="2"/>
  <c r="N121" i="2"/>
  <c r="M105" i="2"/>
  <c r="N176" i="2"/>
  <c r="O228" i="2"/>
  <c r="W30" i="2"/>
  <c r="R30" i="2"/>
  <c r="K30" i="2"/>
  <c r="W105" i="2"/>
  <c r="R105" i="2"/>
  <c r="K105" i="2"/>
  <c r="Z105" i="2"/>
  <c r="S105" i="2"/>
  <c r="M228" i="2"/>
  <c r="AC176" i="2"/>
  <c r="O127" i="2"/>
  <c r="Z6" i="2"/>
  <c r="W192" i="2"/>
  <c r="R192" i="2"/>
  <c r="K192" i="2"/>
  <c r="Q30" i="2"/>
  <c r="M176" i="2"/>
  <c r="S6" i="2"/>
  <c r="B192" i="2"/>
  <c r="AA121" i="2"/>
  <c r="S176" i="2"/>
  <c r="W176" i="2"/>
  <c r="R176" i="2"/>
  <c r="K176" i="2"/>
  <c r="Y229" i="2"/>
  <c r="AC6" i="2"/>
  <c r="P30" i="2"/>
  <c r="Q121" i="2"/>
  <c r="H127" i="2"/>
  <c r="AB127" i="2"/>
  <c r="P176" i="2"/>
  <c r="B121" i="2"/>
  <c r="S192" i="2"/>
  <c r="P228" i="2"/>
  <c r="H228" i="2"/>
  <c r="AC127" i="2"/>
  <c r="Y105" i="2"/>
  <c r="AA233" i="2"/>
  <c r="M6" i="2"/>
  <c r="M192" i="2"/>
  <c r="Y233" i="2"/>
  <c r="S228" i="2"/>
  <c r="P6" i="2"/>
  <c r="H233" i="2"/>
  <c r="Y127" i="2"/>
  <c r="B228" i="2"/>
  <c r="P127" i="2"/>
  <c r="S229" i="2"/>
  <c r="AA229" i="2"/>
  <c r="W6" i="2"/>
  <c r="R6" i="2"/>
  <c r="K6" i="2"/>
  <c r="Y121" i="2"/>
  <c r="W228" i="2"/>
  <c r="R228" i="2"/>
  <c r="K228" i="2"/>
  <c r="N233" i="2"/>
  <c r="H229" i="2"/>
  <c r="O233" i="2"/>
  <c r="P121" i="2"/>
  <c r="AB233" i="2"/>
  <c r="O176" i="2"/>
  <c r="Y176" i="2"/>
  <c r="AC30" i="2"/>
  <c r="P229" i="2"/>
  <c r="W127" i="2"/>
  <c r="R127" i="2"/>
  <c r="K127" i="2"/>
  <c r="N228" i="2"/>
  <c r="H105" i="2"/>
  <c r="N6" i="2"/>
  <c r="M121" i="2"/>
  <c r="AA228" i="2"/>
  <c r="H30" i="2"/>
  <c r="Z228" i="2"/>
  <c r="B30" i="2"/>
  <c r="P233" i="2"/>
  <c r="N127" i="2"/>
  <c r="AC229" i="2"/>
  <c r="O229" i="2"/>
  <c r="O105" i="2"/>
  <c r="AA30" i="2"/>
  <c r="H192" i="2"/>
  <c r="Z176" i="2"/>
  <c r="W121" i="2"/>
  <c r="R121" i="2"/>
  <c r="K121" i="2"/>
  <c r="Q176" i="2"/>
  <c r="AC233" i="2"/>
  <c r="Q229" i="2"/>
  <c r="H6" i="2"/>
  <c r="Y30" i="2"/>
  <c r="Z127" i="2"/>
  <c r="AB6" i="2"/>
  <c r="AB192" i="2"/>
  <c r="Q228" i="2"/>
  <c r="Z233" i="2"/>
  <c r="I190" i="2"/>
  <c r="I238" i="2"/>
  <c r="I89" i="2"/>
  <c r="I37" i="2"/>
  <c r="I6" i="2"/>
  <c r="I50" i="2"/>
  <c r="I65" i="2"/>
  <c r="I226" i="2"/>
  <c r="I135" i="2"/>
  <c r="I184" i="2"/>
  <c r="I133" i="2"/>
  <c r="I19" i="2"/>
  <c r="I236" i="2"/>
  <c r="I178" i="2"/>
  <c r="I207" i="2"/>
  <c r="I206" i="2"/>
  <c r="I191" i="2"/>
  <c r="I233" i="2"/>
  <c r="I218" i="2"/>
  <c r="I214" i="2"/>
  <c r="H27" i="2"/>
  <c r="N225" i="2"/>
  <c r="H38" i="2"/>
  <c r="M38" i="2"/>
  <c r="AB49" i="2"/>
  <c r="S99" i="2"/>
  <c r="W60" i="2"/>
  <c r="R60" i="2"/>
  <c r="K60" i="2"/>
  <c r="AB187" i="2"/>
  <c r="S60" i="2"/>
  <c r="Q38" i="2"/>
  <c r="O38" i="2"/>
  <c r="AB99" i="2"/>
  <c r="Y225" i="2"/>
  <c r="W169" i="2"/>
  <c r="R169" i="2"/>
  <c r="K169" i="2"/>
  <c r="B49" i="2"/>
  <c r="Y49" i="2"/>
  <c r="AA187" i="2"/>
  <c r="AA38" i="2"/>
  <c r="S225" i="2"/>
  <c r="P169" i="2"/>
  <c r="Y60" i="2"/>
  <c r="W110" i="2"/>
  <c r="R110" i="2"/>
  <c r="K110" i="2"/>
  <c r="P49" i="2"/>
  <c r="W49" i="2"/>
  <c r="R49" i="2"/>
  <c r="K49" i="2"/>
  <c r="S27" i="2"/>
  <c r="B169" i="2"/>
  <c r="M27" i="2"/>
  <c r="S38" i="2"/>
  <c r="H110" i="2"/>
  <c r="Q60" i="2"/>
  <c r="N99" i="2"/>
  <c r="P99" i="2"/>
  <c r="H49" i="2"/>
  <c r="M60" i="2"/>
  <c r="Z110" i="2"/>
  <c r="H187" i="2"/>
  <c r="AC169" i="2"/>
  <c r="M181" i="2"/>
  <c r="M169" i="2"/>
  <c r="W38" i="2"/>
  <c r="R38" i="2"/>
  <c r="K38" i="2"/>
  <c r="Z187" i="2"/>
  <c r="W187" i="2"/>
  <c r="R187" i="2"/>
  <c r="K187" i="2"/>
  <c r="B60" i="2"/>
  <c r="Z99" i="2"/>
  <c r="N187" i="2"/>
  <c r="Z60" i="2"/>
  <c r="H60" i="2"/>
  <c r="M49" i="2"/>
  <c r="H169" i="2"/>
  <c r="O181" i="2"/>
  <c r="Z49" i="2"/>
  <c r="P225" i="2"/>
  <c r="P181" i="2"/>
  <c r="M99" i="2"/>
  <c r="Y169" i="2"/>
  <c r="Z27" i="2"/>
  <c r="AC27" i="2"/>
  <c r="AB169" i="2"/>
  <c r="AA49" i="2"/>
  <c r="AC99" i="2"/>
  <c r="P60" i="2"/>
  <c r="B181" i="2"/>
  <c r="O225" i="2"/>
  <c r="Q225" i="2"/>
  <c r="P27" i="2"/>
  <c r="B110" i="2"/>
  <c r="W181" i="2"/>
  <c r="R181" i="2"/>
  <c r="K181" i="2"/>
  <c r="M110" i="2"/>
  <c r="B187" i="2"/>
  <c r="AB225" i="2"/>
  <c r="H225" i="2"/>
  <c r="AA27" i="2"/>
  <c r="Q110" i="2"/>
  <c r="AB181" i="2"/>
  <c r="AB27" i="2"/>
  <c r="Q49" i="2"/>
  <c r="B99" i="2"/>
  <c r="W27" i="2"/>
  <c r="R27" i="2"/>
  <c r="K27" i="2"/>
  <c r="Q187" i="2"/>
  <c r="Z181" i="2"/>
  <c r="B27" i="2"/>
  <c r="AB60" i="2"/>
  <c r="S187" i="2"/>
  <c r="O187" i="2"/>
  <c r="W99" i="2"/>
  <c r="R99" i="2"/>
  <c r="K99" i="2"/>
  <c r="B38" i="2"/>
  <c r="O99" i="2"/>
  <c r="S181" i="2"/>
  <c r="AA60" i="2"/>
  <c r="Z225" i="2"/>
  <c r="AA181" i="2"/>
  <c r="Y27" i="2"/>
  <c r="AC187" i="2"/>
  <c r="AC181" i="2"/>
  <c r="AB38" i="2"/>
  <c r="N27" i="2"/>
  <c r="AC225" i="2"/>
  <c r="N110" i="2"/>
  <c r="Q169" i="2"/>
  <c r="Y181" i="2"/>
  <c r="O49" i="2"/>
  <c r="AB110" i="2"/>
  <c r="O169" i="2"/>
  <c r="AA99" i="2"/>
  <c r="N38" i="2"/>
  <c r="P110" i="2"/>
  <c r="Y110" i="2"/>
  <c r="Y38" i="2"/>
  <c r="O27" i="2"/>
  <c r="H181" i="2"/>
  <c r="Y187" i="2"/>
  <c r="B225" i="2"/>
  <c r="W225" i="2"/>
  <c r="R225" i="2"/>
  <c r="K225" i="2"/>
  <c r="H99" i="2"/>
  <c r="O110" i="2"/>
  <c r="AC38" i="2"/>
  <c r="S49" i="2"/>
  <c r="Y99" i="2"/>
  <c r="M225" i="2"/>
  <c r="S110" i="2"/>
  <c r="AA169" i="2"/>
  <c r="AA110" i="2"/>
  <c r="AC60" i="2"/>
  <c r="N181" i="2"/>
  <c r="N49" i="2"/>
  <c r="Z38" i="2"/>
  <c r="Z169" i="2"/>
  <c r="N60" i="2"/>
  <c r="M187" i="2"/>
  <c r="S169" i="2"/>
  <c r="Q181" i="2"/>
  <c r="Q99" i="2"/>
  <c r="AC49" i="2"/>
  <c r="O60" i="2"/>
  <c r="N169" i="2"/>
  <c r="AC110" i="2"/>
  <c r="P38" i="2"/>
  <c r="AA225" i="2"/>
  <c r="P187" i="2"/>
  <c r="Q27" i="2"/>
  <c r="Z128" i="2"/>
  <c r="O171" i="2"/>
  <c r="Y148" i="2"/>
  <c r="H167" i="2"/>
  <c r="B148" i="2"/>
  <c r="O92" i="2"/>
  <c r="S18" i="2"/>
  <c r="AA128" i="2"/>
  <c r="S167" i="2"/>
  <c r="AB171" i="2"/>
  <c r="Y171" i="2"/>
  <c r="B18" i="2"/>
  <c r="Q68" i="2"/>
  <c r="AB167" i="2"/>
  <c r="M18" i="2"/>
  <c r="P84" i="2"/>
  <c r="B92" i="2"/>
  <c r="Z167" i="2"/>
  <c r="N218" i="2"/>
  <c r="W84" i="2"/>
  <c r="R84" i="2"/>
  <c r="K84" i="2"/>
  <c r="AC92" i="2"/>
  <c r="Q84" i="2"/>
  <c r="O148" i="2"/>
  <c r="H148" i="2"/>
  <c r="B167" i="2"/>
  <c r="AC68" i="2"/>
  <c r="O128" i="2"/>
  <c r="H84" i="2"/>
  <c r="AB148" i="2"/>
  <c r="AA167" i="2"/>
  <c r="Q218" i="2"/>
  <c r="W18" i="2"/>
  <c r="R18" i="2"/>
  <c r="K18" i="2"/>
  <c r="N171" i="2"/>
  <c r="H198" i="2"/>
  <c r="S84" i="2"/>
  <c r="Y84" i="2"/>
  <c r="AC171" i="2"/>
  <c r="AB84" i="2"/>
  <c r="Z68" i="2"/>
  <c r="B68" i="2"/>
  <c r="Y68" i="2"/>
  <c r="Z198" i="2"/>
  <c r="AC148" i="2"/>
  <c r="AA68" i="2"/>
  <c r="N198" i="2"/>
  <c r="M68" i="2"/>
  <c r="M167" i="2"/>
  <c r="P148" i="2"/>
  <c r="B198" i="2"/>
  <c r="Z18" i="2"/>
  <c r="Z171" i="2"/>
  <c r="Y218" i="2"/>
  <c r="N148" i="2"/>
  <c r="H68" i="2"/>
  <c r="S218" i="2"/>
  <c r="AA148" i="2"/>
  <c r="B128" i="2"/>
  <c r="Q171" i="2"/>
  <c r="N18" i="2"/>
  <c r="P198" i="2"/>
  <c r="AB92" i="2"/>
  <c r="AC128" i="2"/>
  <c r="Y128" i="2"/>
  <c r="P92" i="2"/>
  <c r="N167" i="2"/>
  <c r="B171" i="2"/>
  <c r="Q92" i="2"/>
  <c r="Q167" i="2"/>
  <c r="B84" i="2"/>
  <c r="Q18" i="2"/>
  <c r="S92" i="2"/>
  <c r="AC218" i="2"/>
  <c r="H128" i="2"/>
  <c r="O198" i="2"/>
  <c r="H218" i="2"/>
  <c r="AA84" i="2"/>
  <c r="Y198" i="2"/>
  <c r="M198" i="2"/>
  <c r="O167" i="2"/>
  <c r="N128" i="2"/>
  <c r="AC84" i="2"/>
  <c r="AC198" i="2"/>
  <c r="O18" i="2"/>
  <c r="O68" i="2"/>
  <c r="AC18" i="2"/>
  <c r="S171" i="2"/>
  <c r="Z148" i="2"/>
  <c r="Z92" i="2"/>
  <c r="AB198" i="2"/>
  <c r="N84" i="2"/>
  <c r="S198" i="2"/>
  <c r="M171" i="2"/>
  <c r="S68" i="2"/>
  <c r="AB18" i="2"/>
  <c r="W148" i="2"/>
  <c r="R148" i="2"/>
  <c r="K148" i="2"/>
  <c r="AA18" i="2"/>
  <c r="S128" i="2"/>
  <c r="AB128" i="2"/>
  <c r="P218" i="2"/>
  <c r="W92" i="2"/>
  <c r="R92" i="2"/>
  <c r="K92" i="2"/>
  <c r="P128" i="2"/>
  <c r="B218" i="2"/>
  <c r="AA171" i="2"/>
  <c r="Y18" i="2"/>
  <c r="H18" i="2"/>
  <c r="M218" i="2"/>
  <c r="Q148" i="2"/>
  <c r="N92" i="2"/>
  <c r="W198" i="2"/>
  <c r="R198" i="2"/>
  <c r="K198" i="2"/>
  <c r="P68" i="2"/>
  <c r="Q198" i="2"/>
  <c r="Y167" i="2"/>
  <c r="P171" i="2"/>
  <c r="H171" i="2"/>
  <c r="W167" i="2"/>
  <c r="R167" i="2"/>
  <c r="K167" i="2"/>
  <c r="AB218" i="2"/>
  <c r="Q128" i="2"/>
  <c r="O218" i="2"/>
  <c r="AA218" i="2"/>
  <c r="M92" i="2"/>
  <c r="AA92" i="2"/>
  <c r="P167" i="2"/>
  <c r="S148" i="2"/>
  <c r="W128" i="2"/>
  <c r="R128" i="2"/>
  <c r="K128" i="2"/>
  <c r="AB68" i="2"/>
  <c r="N68" i="2"/>
  <c r="Z218" i="2"/>
  <c r="Y92" i="2"/>
  <c r="O84" i="2"/>
  <c r="Z84" i="2"/>
  <c r="M128" i="2"/>
  <c r="M148" i="2"/>
  <c r="W171" i="2"/>
  <c r="R171" i="2"/>
  <c r="K171" i="2"/>
  <c r="AC167" i="2"/>
  <c r="W68" i="2"/>
  <c r="R68" i="2"/>
  <c r="K68" i="2"/>
  <c r="P18" i="2"/>
  <c r="W218" i="2"/>
  <c r="R218" i="2"/>
  <c r="K218" i="2"/>
  <c r="AA198" i="2"/>
  <c r="M84" i="2"/>
  <c r="H92" i="2"/>
  <c r="H72" i="2"/>
  <c r="AC16" i="2"/>
  <c r="B195" i="2"/>
  <c r="Z72" i="2"/>
  <c r="W39" i="2"/>
  <c r="R39" i="2"/>
  <c r="K39" i="2"/>
  <c r="P194" i="2"/>
  <c r="O16" i="2"/>
  <c r="P47" i="2"/>
  <c r="B47" i="2"/>
  <c r="AC194" i="2"/>
  <c r="H194" i="2"/>
  <c r="M117" i="2"/>
  <c r="N195" i="2"/>
  <c r="S39" i="2"/>
  <c r="AB47" i="2"/>
  <c r="AB117" i="2"/>
  <c r="H8" i="2"/>
  <c r="Y47" i="2"/>
  <c r="H202" i="2"/>
  <c r="Z196" i="2"/>
  <c r="H39" i="2"/>
  <c r="W202" i="2"/>
  <c r="R202" i="2"/>
  <c r="K202" i="2"/>
  <c r="P195" i="2"/>
  <c r="S117" i="2"/>
  <c r="B202" i="2"/>
  <c r="O196" i="2"/>
  <c r="M72" i="2"/>
  <c r="N16" i="2"/>
  <c r="AA72" i="2"/>
  <c r="M47" i="2"/>
  <c r="O72" i="2"/>
  <c r="AC39" i="2"/>
  <c r="O195" i="2"/>
  <c r="AA196" i="2"/>
  <c r="Y195" i="2"/>
  <c r="AA47" i="2"/>
  <c r="AA117" i="2"/>
  <c r="AA39" i="2"/>
  <c r="N196" i="2"/>
  <c r="Y194" i="2"/>
  <c r="P39" i="2"/>
  <c r="AC47" i="2"/>
  <c r="B8" i="2"/>
  <c r="S195" i="2"/>
  <c r="B196" i="2"/>
  <c r="N47" i="2"/>
  <c r="Q194" i="2"/>
  <c r="W16" i="2"/>
  <c r="R16" i="2"/>
  <c r="K16" i="2"/>
  <c r="H196" i="2"/>
  <c r="N202" i="2"/>
  <c r="Z195" i="2"/>
  <c r="Z39" i="2"/>
  <c r="AB8" i="2"/>
  <c r="Y72" i="2"/>
  <c r="O194" i="2"/>
  <c r="N39" i="2"/>
  <c r="AB72" i="2"/>
  <c r="O8" i="2"/>
  <c r="Q47" i="2"/>
  <c r="P8" i="2"/>
  <c r="Z8" i="2"/>
  <c r="N72" i="2"/>
  <c r="N117" i="2"/>
  <c r="AB16" i="2"/>
  <c r="Z47" i="2"/>
  <c r="M16" i="2"/>
  <c r="Z194" i="2"/>
  <c r="S196" i="2"/>
  <c r="B16" i="2"/>
  <c r="S202" i="2"/>
  <c r="W47" i="2"/>
  <c r="R47" i="2"/>
  <c r="K47" i="2"/>
  <c r="W196" i="2"/>
  <c r="R196" i="2"/>
  <c r="K196" i="2"/>
  <c r="P16" i="2"/>
  <c r="S72" i="2"/>
  <c r="AC117" i="2"/>
  <c r="O47" i="2"/>
  <c r="P202" i="2"/>
  <c r="AB202" i="2"/>
  <c r="O117" i="2"/>
  <c r="H16" i="2"/>
  <c r="H195" i="2"/>
  <c r="AC196" i="2"/>
  <c r="AC202" i="2"/>
  <c r="AC195" i="2"/>
  <c r="Q8" i="2"/>
  <c r="Q195" i="2"/>
  <c r="AC72" i="2"/>
  <c r="AB194" i="2"/>
  <c r="W195" i="2"/>
  <c r="R195" i="2"/>
  <c r="K195" i="2"/>
  <c r="Y8" i="2"/>
  <c r="W8" i="2"/>
  <c r="R8" i="2"/>
  <c r="K8" i="2"/>
  <c r="B117" i="2"/>
  <c r="Y39" i="2"/>
  <c r="Z16" i="2"/>
  <c r="M39" i="2"/>
  <c r="Y196" i="2"/>
  <c r="Y117" i="2"/>
  <c r="M8" i="2"/>
  <c r="M196" i="2"/>
  <c r="M195" i="2"/>
  <c r="AA202" i="2"/>
  <c r="Q16" i="2"/>
  <c r="Q196" i="2"/>
  <c r="O39" i="2"/>
  <c r="AB195" i="2"/>
  <c r="P196" i="2"/>
  <c r="S8" i="2"/>
  <c r="AA194" i="2"/>
  <c r="B72" i="2"/>
  <c r="Y16" i="2"/>
  <c r="Q202" i="2"/>
  <c r="N194" i="2"/>
  <c r="B39" i="2"/>
  <c r="O202" i="2"/>
  <c r="Z117" i="2"/>
  <c r="AC8" i="2"/>
  <c r="AB39" i="2"/>
  <c r="M202" i="2"/>
  <c r="P72" i="2"/>
  <c r="S16" i="2"/>
  <c r="M194" i="2"/>
  <c r="S194" i="2"/>
  <c r="P117" i="2"/>
  <c r="W194" i="2"/>
  <c r="R194" i="2"/>
  <c r="K194" i="2"/>
  <c r="Q72" i="2"/>
  <c r="H117" i="2"/>
  <c r="AA8" i="2"/>
  <c r="Z202" i="2"/>
  <c r="Q117" i="2"/>
  <c r="AA195" i="2"/>
  <c r="S47" i="2"/>
  <c r="B194" i="2"/>
  <c r="N8" i="2"/>
  <c r="AA16" i="2"/>
  <c r="AB196" i="2"/>
  <c r="Q39" i="2"/>
  <c r="H47" i="2"/>
  <c r="W72" i="2"/>
  <c r="R72" i="2"/>
  <c r="K72" i="2"/>
  <c r="Y202" i="2"/>
  <c r="W117" i="2"/>
  <c r="R117" i="2"/>
  <c r="K117" i="2"/>
  <c r="Q31" i="2"/>
  <c r="M57" i="2"/>
  <c r="Y172" i="2"/>
  <c r="H122" i="2"/>
  <c r="S183" i="2"/>
  <c r="AC208" i="2"/>
  <c r="AB183" i="2"/>
  <c r="S208" i="2"/>
  <c r="O57" i="2"/>
  <c r="Q226" i="2"/>
  <c r="AA235" i="2"/>
  <c r="B57" i="2"/>
  <c r="S226" i="2"/>
  <c r="AB75" i="2"/>
  <c r="N173" i="2"/>
  <c r="Z57" i="2"/>
  <c r="S31" i="2"/>
  <c r="Q122" i="2"/>
  <c r="M31" i="2"/>
  <c r="H183" i="2"/>
  <c r="S122" i="2"/>
  <c r="M172" i="2"/>
  <c r="W122" i="2"/>
  <c r="R122" i="2"/>
  <c r="K122" i="2"/>
  <c r="Q183" i="2"/>
  <c r="Z75" i="2"/>
  <c r="N235" i="2"/>
  <c r="O235" i="2"/>
  <c r="B172" i="2"/>
  <c r="AC31" i="2"/>
  <c r="W31" i="2"/>
  <c r="R31" i="2"/>
  <c r="K31" i="2"/>
  <c r="Y173" i="2"/>
  <c r="Y208" i="2"/>
  <c r="AB122" i="2"/>
  <c r="Y235" i="2"/>
  <c r="P226" i="2"/>
  <c r="AA75" i="2"/>
  <c r="W183" i="2"/>
  <c r="R183" i="2"/>
  <c r="K183" i="2"/>
  <c r="Y226" i="2"/>
  <c r="AB226" i="2"/>
  <c r="AC173" i="2"/>
  <c r="H31" i="2"/>
  <c r="B122" i="2"/>
  <c r="AA172" i="2"/>
  <c r="AC172" i="2"/>
  <c r="H226" i="2"/>
  <c r="Z226" i="2"/>
  <c r="N172" i="2"/>
  <c r="AC57" i="2"/>
  <c r="S172" i="2"/>
  <c r="H235" i="2"/>
  <c r="B235" i="2"/>
  <c r="AC183" i="2"/>
  <c r="Z122" i="2"/>
  <c r="O208" i="2"/>
  <c r="W57" i="2"/>
  <c r="R57" i="2"/>
  <c r="K57" i="2"/>
  <c r="H173" i="2"/>
  <c r="AB173" i="2"/>
  <c r="AC75" i="2"/>
  <c r="AA57" i="2"/>
  <c r="B183" i="2"/>
  <c r="P183" i="2"/>
  <c r="S173" i="2"/>
  <c r="Q173" i="2"/>
  <c r="O75" i="2"/>
  <c r="Q235" i="2"/>
  <c r="P57" i="2"/>
  <c r="AA31" i="2"/>
  <c r="M226" i="2"/>
  <c r="N208" i="2"/>
  <c r="AA208" i="2"/>
  <c r="Z172" i="2"/>
  <c r="W226" i="2"/>
  <c r="R226" i="2"/>
  <c r="K226" i="2"/>
  <c r="M122" i="2"/>
  <c r="H75" i="2"/>
  <c r="P208" i="2"/>
  <c r="O31" i="2"/>
  <c r="O183" i="2"/>
  <c r="N31" i="2"/>
  <c r="M183" i="2"/>
  <c r="W172" i="2"/>
  <c r="R172" i="2"/>
  <c r="K172" i="2"/>
  <c r="H57" i="2"/>
  <c r="N57" i="2"/>
  <c r="Q172" i="2"/>
  <c r="O226" i="2"/>
  <c r="Y122" i="2"/>
  <c r="Z235" i="2"/>
  <c r="Z208" i="2"/>
  <c r="O122" i="2"/>
  <c r="M235" i="2"/>
  <c r="H172" i="2"/>
  <c r="O172" i="2"/>
  <c r="AC226" i="2"/>
  <c r="Q208" i="2"/>
  <c r="M173" i="2"/>
  <c r="B173" i="2"/>
  <c r="AB208" i="2"/>
  <c r="AB31" i="2"/>
  <c r="Y57" i="2"/>
  <c r="O173" i="2"/>
  <c r="AA122" i="2"/>
  <c r="W75" i="2"/>
  <c r="R75" i="2"/>
  <c r="K75" i="2"/>
  <c r="Z183" i="2"/>
  <c r="AB57" i="2"/>
  <c r="AC122" i="2"/>
  <c r="B208" i="2"/>
  <c r="P75" i="2"/>
  <c r="W173" i="2"/>
  <c r="R173" i="2"/>
  <c r="K173" i="2"/>
  <c r="S235" i="2"/>
  <c r="P235" i="2"/>
  <c r="H208" i="2"/>
  <c r="AA183" i="2"/>
  <c r="P31" i="2"/>
  <c r="Y31" i="2"/>
  <c r="Z173" i="2"/>
  <c r="AA226" i="2"/>
  <c r="S75" i="2"/>
  <c r="W235" i="2"/>
  <c r="R235" i="2"/>
  <c r="K235" i="2"/>
  <c r="AB172" i="2"/>
  <c r="Q75" i="2"/>
  <c r="M208" i="2"/>
  <c r="B75" i="2"/>
  <c r="N75" i="2"/>
  <c r="Y75" i="2"/>
  <c r="B226" i="2"/>
  <c r="B31" i="2"/>
  <c r="AC235" i="2"/>
  <c r="P122" i="2"/>
  <c r="Y183" i="2"/>
  <c r="S57" i="2"/>
  <c r="W208" i="2"/>
  <c r="R208" i="2"/>
  <c r="K208" i="2"/>
  <c r="AB235" i="2"/>
  <c r="N226" i="2"/>
  <c r="N183" i="2"/>
  <c r="P172" i="2"/>
  <c r="P173" i="2"/>
  <c r="M75" i="2"/>
  <c r="N122" i="2"/>
  <c r="Q57" i="2"/>
  <c r="Z31" i="2"/>
  <c r="AA173" i="2"/>
  <c r="P90" i="2"/>
  <c r="Q89" i="2"/>
  <c r="P185" i="2"/>
  <c r="H89" i="2"/>
  <c r="AA90" i="2"/>
  <c r="Y205" i="2"/>
  <c r="O89" i="2"/>
  <c r="Z205" i="2"/>
  <c r="N239" i="2"/>
  <c r="O205" i="2"/>
  <c r="N137" i="2"/>
  <c r="AA137" i="2"/>
  <c r="M113" i="2"/>
  <c r="N113" i="2"/>
  <c r="P89" i="2"/>
  <c r="Z113" i="2"/>
  <c r="AB90" i="2"/>
  <c r="H185" i="2"/>
  <c r="B185" i="2"/>
  <c r="H239" i="2"/>
  <c r="Q90" i="2"/>
  <c r="W113" i="2"/>
  <c r="R113" i="2"/>
  <c r="K113" i="2"/>
  <c r="S211" i="2"/>
  <c r="M100" i="2"/>
  <c r="AC205" i="2"/>
  <c r="Y90" i="2"/>
  <c r="AB100" i="2"/>
  <c r="P239" i="2"/>
  <c r="H205" i="2"/>
  <c r="O185" i="2"/>
  <c r="B239" i="2"/>
  <c r="AB113" i="2"/>
  <c r="Z211" i="2"/>
  <c r="B89" i="2"/>
  <c r="P137" i="2"/>
  <c r="N211" i="2"/>
  <c r="B100" i="2"/>
  <c r="AC90" i="2"/>
  <c r="Q211" i="2"/>
  <c r="Y239" i="2"/>
  <c r="AA89" i="2"/>
  <c r="H100" i="2"/>
  <c r="W90" i="2"/>
  <c r="R90" i="2"/>
  <c r="K90" i="2"/>
  <c r="W185" i="2"/>
  <c r="R185" i="2"/>
  <c r="K185" i="2"/>
  <c r="Z239" i="2"/>
  <c r="AC239" i="2"/>
  <c r="M137" i="2"/>
  <c r="B211" i="2"/>
  <c r="Q185" i="2"/>
  <c r="S137" i="2"/>
  <c r="N100" i="2"/>
  <c r="Y89" i="2"/>
  <c r="P205" i="2"/>
  <c r="AA211" i="2"/>
  <c r="AC137" i="2"/>
  <c r="Z137" i="2"/>
  <c r="AC113" i="2"/>
  <c r="AB185" i="2"/>
  <c r="AC89" i="2"/>
  <c r="Q239" i="2"/>
  <c r="Y100" i="2"/>
  <c r="AC211" i="2"/>
  <c r="W205" i="2"/>
  <c r="R205" i="2"/>
  <c r="K205" i="2"/>
  <c r="Q100" i="2"/>
  <c r="S185" i="2"/>
  <c r="N185" i="2"/>
  <c r="AB205" i="2"/>
  <c r="Z100" i="2"/>
  <c r="S205" i="2"/>
  <c r="Y211" i="2"/>
  <c r="M205" i="2"/>
  <c r="W211" i="2"/>
  <c r="R211" i="2"/>
  <c r="K211" i="2"/>
  <c r="Y137" i="2"/>
  <c r="S113" i="2"/>
  <c r="H211" i="2"/>
  <c r="O100" i="2"/>
  <c r="Y185" i="2"/>
  <c r="Y113" i="2"/>
  <c r="P100" i="2"/>
  <c r="AB239" i="2"/>
  <c r="H137" i="2"/>
  <c r="W89" i="2"/>
  <c r="R89" i="2"/>
  <c r="K89" i="2"/>
  <c r="AC100" i="2"/>
  <c r="W239" i="2"/>
  <c r="R239" i="2"/>
  <c r="K239" i="2"/>
  <c r="AB89" i="2"/>
  <c r="W137" i="2"/>
  <c r="R137" i="2"/>
  <c r="K137" i="2"/>
  <c r="N89" i="2"/>
  <c r="Z89" i="2"/>
  <c r="AB211" i="2"/>
  <c r="B205" i="2"/>
  <c r="B90" i="2"/>
  <c r="H90" i="2"/>
  <c r="S89" i="2"/>
  <c r="O239" i="2"/>
  <c r="N90" i="2"/>
  <c r="AA205" i="2"/>
  <c r="B113" i="2"/>
  <c r="P113" i="2"/>
  <c r="N205" i="2"/>
  <c r="AA100" i="2"/>
  <c r="S239" i="2"/>
  <c r="O211" i="2"/>
  <c r="Q113" i="2"/>
  <c r="AB137" i="2"/>
  <c r="Q137" i="2"/>
  <c r="Z90" i="2"/>
  <c r="H113" i="2"/>
  <c r="AA239" i="2"/>
  <c r="B137" i="2"/>
  <c r="M90" i="2"/>
  <c r="AA185" i="2"/>
  <c r="AA113" i="2"/>
  <c r="Z185" i="2"/>
  <c r="O90" i="2"/>
  <c r="O137" i="2"/>
  <c r="M211" i="2"/>
  <c r="P211" i="2"/>
  <c r="M89" i="2"/>
  <c r="Q205" i="2"/>
  <c r="O113" i="2"/>
  <c r="M185" i="2"/>
  <c r="M239" i="2"/>
  <c r="AC185" i="2"/>
  <c r="W100" i="2"/>
  <c r="R100" i="2"/>
  <c r="K100" i="2"/>
  <c r="S100" i="2"/>
  <c r="S90" i="2"/>
  <c r="B19" i="2"/>
  <c r="AB177" i="2"/>
  <c r="N123" i="2"/>
  <c r="Y71" i="2"/>
  <c r="Q115" i="2"/>
  <c r="AB71" i="2"/>
  <c r="AA86" i="2"/>
  <c r="AC61" i="2"/>
  <c r="H123" i="2"/>
  <c r="S177" i="2"/>
  <c r="H159" i="2"/>
  <c r="W86" i="2"/>
  <c r="R86" i="2"/>
  <c r="K86" i="2"/>
  <c r="N61" i="2"/>
  <c r="B177" i="2"/>
  <c r="W153" i="2"/>
  <c r="R153" i="2"/>
  <c r="K153" i="2"/>
  <c r="AC7" i="2"/>
  <c r="Z177" i="2"/>
  <c r="Z71" i="2"/>
  <c r="Y19" i="2"/>
  <c r="N177" i="2"/>
  <c r="Q123" i="2"/>
  <c r="O159" i="2"/>
  <c r="Z19" i="2"/>
  <c r="AA115" i="2"/>
  <c r="Z153" i="2"/>
  <c r="Y7" i="2"/>
  <c r="N159" i="2"/>
  <c r="M86" i="2"/>
  <c r="P71" i="2"/>
  <c r="AC71" i="2"/>
  <c r="P86" i="2"/>
  <c r="AB115" i="2"/>
  <c r="Q153" i="2"/>
  <c r="B71" i="2"/>
  <c r="AA177" i="2"/>
  <c r="Z61" i="2"/>
  <c r="Q177" i="2"/>
  <c r="S123" i="2"/>
  <c r="P7" i="2"/>
  <c r="Q61" i="2"/>
  <c r="Z123" i="2"/>
  <c r="M177" i="2"/>
  <c r="S86" i="2"/>
  <c r="Y123" i="2"/>
  <c r="H19" i="2"/>
  <c r="AB7" i="2"/>
  <c r="Q7" i="2"/>
  <c r="W61" i="2"/>
  <c r="R61" i="2"/>
  <c r="K61" i="2"/>
  <c r="Q159" i="2"/>
  <c r="AB86" i="2"/>
  <c r="B115" i="2"/>
  <c r="AB123" i="2"/>
  <c r="M115" i="2"/>
  <c r="S159" i="2"/>
  <c r="P153" i="2"/>
  <c r="AC19" i="2"/>
  <c r="AA153" i="2"/>
  <c r="AA159" i="2"/>
  <c r="AB19" i="2"/>
  <c r="AC153" i="2"/>
  <c r="AB159" i="2"/>
  <c r="AA123" i="2"/>
  <c r="AC159" i="2"/>
  <c r="S71" i="2"/>
  <c r="W71" i="2"/>
  <c r="R71" i="2"/>
  <c r="K71" i="2"/>
  <c r="P61" i="2"/>
  <c r="P115" i="2"/>
  <c r="M71" i="2"/>
  <c r="B61" i="2"/>
  <c r="AA7" i="2"/>
  <c r="Y159" i="2"/>
  <c r="W177" i="2"/>
  <c r="R177" i="2"/>
  <c r="K177" i="2"/>
  <c r="O153" i="2"/>
  <c r="M153" i="2"/>
  <c r="P177" i="2"/>
  <c r="Z159" i="2"/>
  <c r="N7" i="2"/>
  <c r="AC123" i="2"/>
  <c r="AA61" i="2"/>
  <c r="S115" i="2"/>
  <c r="P19" i="2"/>
  <c r="AA71" i="2"/>
  <c r="Q19" i="2"/>
  <c r="M123" i="2"/>
  <c r="P123" i="2"/>
  <c r="AB153" i="2"/>
  <c r="O123" i="2"/>
  <c r="H86" i="2"/>
  <c r="W159" i="2"/>
  <c r="R159" i="2"/>
  <c r="K159" i="2"/>
  <c r="Z7" i="2"/>
  <c r="AC115" i="2"/>
  <c r="S153" i="2"/>
  <c r="Q86" i="2"/>
  <c r="O86" i="2"/>
  <c r="W7" i="2"/>
  <c r="R7" i="2"/>
  <c r="K7" i="2"/>
  <c r="Z115" i="2"/>
  <c r="M19" i="2"/>
  <c r="AC86" i="2"/>
  <c r="Y61" i="2"/>
  <c r="O19" i="2"/>
  <c r="O115" i="2"/>
  <c r="H7" i="2"/>
  <c r="W115" i="2"/>
  <c r="R115" i="2"/>
  <c r="K115" i="2"/>
  <c r="O7" i="2"/>
  <c r="N153" i="2"/>
  <c r="S19" i="2"/>
  <c r="M61" i="2"/>
  <c r="AA19" i="2"/>
  <c r="B7" i="2"/>
  <c r="AB61" i="2"/>
  <c r="P159" i="2"/>
  <c r="H61" i="2"/>
  <c r="W123" i="2"/>
  <c r="R123" i="2"/>
  <c r="K123" i="2"/>
  <c r="Z86" i="2"/>
  <c r="H153" i="2"/>
  <c r="Y177" i="2"/>
  <c r="AC177" i="2"/>
  <c r="O71" i="2"/>
  <c r="H177" i="2"/>
  <c r="Y115" i="2"/>
  <c r="M159" i="2"/>
  <c r="Y86" i="2"/>
  <c r="N86" i="2"/>
  <c r="S61" i="2"/>
  <c r="S7" i="2"/>
  <c r="Y153" i="2"/>
  <c r="H71" i="2"/>
  <c r="N19" i="2"/>
  <c r="O61" i="2"/>
  <c r="B86" i="2"/>
  <c r="H115" i="2"/>
  <c r="B159" i="2"/>
  <c r="B153" i="2"/>
  <c r="Q71" i="2"/>
  <c r="O177" i="2"/>
  <c r="M7" i="2"/>
  <c r="N71" i="2"/>
  <c r="B123" i="2"/>
  <c r="W19" i="2"/>
  <c r="R19" i="2"/>
  <c r="K19" i="2"/>
  <c r="N115" i="2"/>
  <c r="B209" i="2"/>
  <c r="O154" i="2"/>
  <c r="AC65" i="2"/>
  <c r="W151" i="2"/>
  <c r="R151" i="2"/>
  <c r="K151" i="2"/>
  <c r="AA55" i="2"/>
  <c r="Z209" i="2"/>
  <c r="B130" i="2"/>
  <c r="AA151" i="2"/>
  <c r="S25" i="2"/>
  <c r="B21" i="2"/>
  <c r="AA209" i="2"/>
  <c r="Q209" i="2"/>
  <c r="S223" i="2"/>
  <c r="O151" i="2"/>
  <c r="Y65" i="2"/>
  <c r="W25" i="2"/>
  <c r="R25" i="2"/>
  <c r="K25" i="2"/>
  <c r="N108" i="2"/>
  <c r="AC21" i="2"/>
  <c r="W223" i="2"/>
  <c r="R223" i="2"/>
  <c r="K223" i="2"/>
  <c r="P154" i="2"/>
  <c r="B154" i="2"/>
  <c r="Y154" i="2"/>
  <c r="AC154" i="2"/>
  <c r="AB65" i="2"/>
  <c r="B55" i="2"/>
  <c r="Y130" i="2"/>
  <c r="AA25" i="2"/>
  <c r="Z151" i="2"/>
  <c r="Q65" i="2"/>
  <c r="AC130" i="2"/>
  <c r="H25" i="2"/>
  <c r="S130" i="2"/>
  <c r="AB108" i="2"/>
  <c r="Z108" i="2"/>
  <c r="O223" i="2"/>
  <c r="AA223" i="2"/>
  <c r="S55" i="2"/>
  <c r="O108" i="2"/>
  <c r="H21" i="2"/>
  <c r="AA130" i="2"/>
  <c r="B65" i="2"/>
  <c r="N25" i="2"/>
  <c r="M55" i="2"/>
  <c r="P25" i="2"/>
  <c r="M65" i="2"/>
  <c r="W209" i="2"/>
  <c r="R209" i="2"/>
  <c r="K209" i="2"/>
  <c r="N55" i="2"/>
  <c r="W154" i="2"/>
  <c r="R154" i="2"/>
  <c r="K154" i="2"/>
  <c r="W55" i="2"/>
  <c r="R55" i="2"/>
  <c r="K55" i="2"/>
  <c r="P65" i="2"/>
  <c r="AB130" i="2"/>
  <c r="P21" i="2"/>
  <c r="N151" i="2"/>
  <c r="Z223" i="2"/>
  <c r="S151" i="2"/>
  <c r="Y21" i="2"/>
  <c r="Q223" i="2"/>
  <c r="Q21" i="2"/>
  <c r="O55" i="2"/>
  <c r="Q108" i="2"/>
  <c r="B108" i="2"/>
  <c r="Y223" i="2"/>
  <c r="Q25" i="2"/>
  <c r="H209" i="2"/>
  <c r="M108" i="2"/>
  <c r="Z21" i="2"/>
  <c r="M21" i="2"/>
  <c r="P55" i="2"/>
  <c r="M154" i="2"/>
  <c r="AB151" i="2"/>
  <c r="AA21" i="2"/>
  <c r="P130" i="2"/>
  <c r="Q130" i="2"/>
  <c r="AC55" i="2"/>
  <c r="AB209" i="2"/>
  <c r="H130" i="2"/>
  <c r="P151" i="2"/>
  <c r="N223" i="2"/>
  <c r="AC223" i="2"/>
  <c r="W108" i="2"/>
  <c r="R108" i="2"/>
  <c r="K108" i="2"/>
  <c r="Q154" i="2"/>
  <c r="W21" i="2"/>
  <c r="R21" i="2"/>
  <c r="K21" i="2"/>
  <c r="AC108" i="2"/>
  <c r="AC25" i="2"/>
  <c r="AC151" i="2"/>
  <c r="H65" i="2"/>
  <c r="M209" i="2"/>
  <c r="Y25" i="2"/>
  <c r="Q151" i="2"/>
  <c r="S65" i="2"/>
  <c r="AC209" i="2"/>
  <c r="S21" i="2"/>
  <c r="AB21" i="2"/>
  <c r="H223" i="2"/>
  <c r="N154" i="2"/>
  <c r="M151" i="2"/>
  <c r="Z65" i="2"/>
  <c r="H154" i="2"/>
  <c r="AA65" i="2"/>
  <c r="B223" i="2"/>
  <c r="O65" i="2"/>
  <c r="AA108" i="2"/>
  <c r="W65" i="2"/>
  <c r="R65" i="2"/>
  <c r="K65" i="2"/>
  <c r="AB55" i="2"/>
  <c r="AA154" i="2"/>
  <c r="AB154" i="2"/>
  <c r="Y209" i="2"/>
  <c r="O209" i="2"/>
  <c r="B151" i="2"/>
  <c r="H55" i="2"/>
  <c r="Z25" i="2"/>
  <c r="S154" i="2"/>
  <c r="Z130" i="2"/>
  <c r="S108" i="2"/>
  <c r="M130" i="2"/>
  <c r="M25" i="2"/>
  <c r="N130" i="2"/>
  <c r="AB25" i="2"/>
  <c r="AB223" i="2"/>
  <c r="M223" i="2"/>
  <c r="N209" i="2"/>
  <c r="P209" i="2"/>
  <c r="Y55" i="2"/>
  <c r="Q55" i="2"/>
  <c r="Y151" i="2"/>
  <c r="N21" i="2"/>
  <c r="O130" i="2"/>
  <c r="O25" i="2"/>
  <c r="Y108" i="2"/>
  <c r="H151" i="2"/>
  <c r="P108" i="2"/>
  <c r="B25" i="2"/>
  <c r="Z154" i="2"/>
  <c r="W130" i="2"/>
  <c r="R130" i="2"/>
  <c r="K130" i="2"/>
  <c r="N65" i="2"/>
  <c r="O21" i="2"/>
  <c r="Z55" i="2"/>
  <c r="P223" i="2"/>
  <c r="S209" i="2"/>
  <c r="H108" i="2"/>
  <c r="H191" i="2"/>
  <c r="Q2" i="2"/>
  <c r="AB191" i="2"/>
  <c r="Q199" i="2"/>
  <c r="P26" i="2"/>
  <c r="Z191" i="2"/>
  <c r="Q240" i="2"/>
  <c r="P133" i="2"/>
  <c r="Z136" i="2"/>
  <c r="B133" i="2"/>
  <c r="Z193" i="2"/>
  <c r="N240" i="2"/>
  <c r="AC193" i="2"/>
  <c r="S136" i="2"/>
  <c r="W191" i="2"/>
  <c r="R191" i="2"/>
  <c r="K191" i="2"/>
  <c r="W26" i="2"/>
  <c r="R26" i="2"/>
  <c r="K26" i="2"/>
  <c r="P136" i="2"/>
  <c r="Z26" i="2"/>
  <c r="AC2" i="2"/>
  <c r="M199" i="2"/>
  <c r="Z158" i="2"/>
  <c r="B136" i="2"/>
  <c r="M158" i="2"/>
  <c r="S133" i="2"/>
  <c r="O26" i="2"/>
  <c r="N2" i="2"/>
  <c r="O240" i="2"/>
  <c r="Q11" i="2"/>
  <c r="H158" i="2"/>
  <c r="B191" i="2"/>
  <c r="Y133" i="2"/>
  <c r="AC191" i="2"/>
  <c r="N26" i="2"/>
  <c r="B158" i="2"/>
  <c r="Y240" i="2"/>
  <c r="Q193" i="2"/>
  <c r="AC158" i="2"/>
  <c r="W158" i="2"/>
  <c r="R158" i="2"/>
  <c r="K158" i="2"/>
  <c r="M193" i="2"/>
  <c r="AB11" i="2"/>
  <c r="Z2" i="2"/>
  <c r="AA193" i="2"/>
  <c r="AC133" i="2"/>
  <c r="W193" i="2"/>
  <c r="R193" i="2"/>
  <c r="K193" i="2"/>
  <c r="AA191" i="2"/>
  <c r="Q158" i="2"/>
  <c r="N158" i="2"/>
  <c r="N11" i="2"/>
  <c r="AA240" i="2"/>
  <c r="O2" i="2"/>
  <c r="P11" i="2"/>
  <c r="AB240" i="2"/>
  <c r="P199" i="2"/>
  <c r="S158" i="2"/>
  <c r="H240" i="2"/>
  <c r="M11" i="2"/>
  <c r="W199" i="2"/>
  <c r="R199" i="2"/>
  <c r="K199" i="2"/>
  <c r="Y193" i="2"/>
  <c r="AC26" i="2"/>
  <c r="O191" i="2"/>
  <c r="AB26" i="2"/>
  <c r="N133" i="2"/>
  <c r="O158" i="2"/>
  <c r="H26" i="2"/>
  <c r="O11" i="2"/>
  <c r="W133" i="2"/>
  <c r="R133" i="2"/>
  <c r="K133" i="2"/>
  <c r="Y199" i="2"/>
  <c r="AC240" i="2"/>
  <c r="M191" i="2"/>
  <c r="H133" i="2"/>
  <c r="N191" i="2"/>
  <c r="W136" i="2"/>
  <c r="R136" i="2"/>
  <c r="K136" i="2"/>
  <c r="S11" i="2"/>
  <c r="N136" i="2"/>
  <c r="AA199" i="2"/>
  <c r="B199" i="2"/>
  <c r="W11" i="2"/>
  <c r="R11" i="2"/>
  <c r="K11" i="2"/>
  <c r="Q191" i="2"/>
  <c r="P2" i="2"/>
  <c r="S2" i="2"/>
  <c r="P158" i="2"/>
  <c r="P191" i="2"/>
  <c r="Y136" i="2"/>
  <c r="P193" i="2"/>
  <c r="N199" i="2"/>
  <c r="AB136" i="2"/>
  <c r="S191" i="2"/>
  <c r="H2" i="2"/>
  <c r="Q26" i="2"/>
  <c r="Z240" i="2"/>
  <c r="AB199" i="2"/>
  <c r="AC136" i="2"/>
  <c r="P240" i="2"/>
  <c r="Y158" i="2"/>
  <c r="Y11" i="2"/>
  <c r="AA133" i="2"/>
  <c r="Y2" i="2"/>
  <c r="B193" i="2"/>
  <c r="H199" i="2"/>
  <c r="AA26" i="2"/>
  <c r="S199" i="2"/>
  <c r="Q136" i="2"/>
  <c r="S26" i="2"/>
  <c r="AB158" i="2"/>
  <c r="O136" i="2"/>
  <c r="Z133" i="2"/>
  <c r="M26" i="2"/>
  <c r="AB193" i="2"/>
  <c r="W2" i="2"/>
  <c r="R2" i="2"/>
  <c r="K2" i="2"/>
  <c r="H136" i="2"/>
  <c r="Q133" i="2"/>
  <c r="AC199" i="2"/>
  <c r="AA2" i="2"/>
  <c r="M133" i="2"/>
  <c r="B2" i="2"/>
  <c r="B11" i="2"/>
  <c r="M240" i="2"/>
  <c r="B240" i="2"/>
  <c r="AC11" i="2"/>
  <c r="H11" i="2"/>
  <c r="O199" i="2"/>
  <c r="AA11" i="2"/>
  <c r="S240" i="2"/>
  <c r="O193" i="2"/>
  <c r="N193" i="2"/>
  <c r="S193" i="2"/>
  <c r="B26" i="2"/>
  <c r="AB133" i="2"/>
  <c r="M2" i="2"/>
  <c r="W240" i="2"/>
  <c r="R240" i="2"/>
  <c r="K240" i="2"/>
  <c r="H193" i="2"/>
  <c r="Y26" i="2"/>
  <c r="AA136" i="2"/>
  <c r="Z199" i="2"/>
  <c r="O133" i="2"/>
  <c r="Y191" i="2"/>
  <c r="AB2" i="2"/>
  <c r="AA158" i="2"/>
  <c r="Z11" i="2"/>
  <c r="M136" i="2"/>
  <c r="AB111" i="2"/>
  <c r="W201" i="2"/>
  <c r="R201" i="2"/>
  <c r="K201" i="2"/>
  <c r="N74" i="2"/>
  <c r="Q111" i="2"/>
  <c r="B186" i="2"/>
  <c r="Y74" i="2"/>
  <c r="Q186" i="2"/>
  <c r="W186" i="2"/>
  <c r="R186" i="2"/>
  <c r="K186" i="2"/>
  <c r="AC66" i="2"/>
  <c r="B118" i="2"/>
  <c r="Q74" i="2"/>
  <c r="Z118" i="2"/>
  <c r="S206" i="2"/>
  <c r="AC15" i="2"/>
  <c r="S111" i="2"/>
  <c r="Z74" i="2"/>
  <c r="M201" i="2"/>
  <c r="AC118" i="2"/>
  <c r="AA206" i="2"/>
  <c r="N87" i="2"/>
  <c r="P87" i="2"/>
  <c r="B15" i="2"/>
  <c r="AC87" i="2"/>
  <c r="AC206" i="2"/>
  <c r="O186" i="2"/>
  <c r="H206" i="2"/>
  <c r="AB186" i="2"/>
  <c r="AC232" i="2"/>
  <c r="AA201" i="2"/>
  <c r="W66" i="2"/>
  <c r="R66" i="2"/>
  <c r="K66" i="2"/>
  <c r="P186" i="2"/>
  <c r="M186" i="2"/>
  <c r="Y15" i="2"/>
  <c r="AB201" i="2"/>
  <c r="S87" i="2"/>
  <c r="Z66" i="2"/>
  <c r="AB15" i="2"/>
  <c r="W111" i="2"/>
  <c r="R111" i="2"/>
  <c r="K111" i="2"/>
  <c r="AA87" i="2"/>
  <c r="P15" i="2"/>
  <c r="P74" i="2"/>
  <c r="Q232" i="2"/>
  <c r="AB232" i="2"/>
  <c r="Z111" i="2"/>
  <c r="B232" i="2"/>
  <c r="AB118" i="2"/>
  <c r="N66" i="2"/>
  <c r="W15" i="2"/>
  <c r="R15" i="2"/>
  <c r="K15" i="2"/>
  <c r="P201" i="2"/>
  <c r="W206" i="2"/>
  <c r="R206" i="2"/>
  <c r="K206" i="2"/>
  <c r="AA74" i="2"/>
  <c r="H186" i="2"/>
  <c r="S201" i="2"/>
  <c r="AC74" i="2"/>
  <c r="H232" i="2"/>
  <c r="O74" i="2"/>
  <c r="Y201" i="2"/>
  <c r="AC186" i="2"/>
  <c r="S66" i="2"/>
  <c r="P232" i="2"/>
  <c r="O232" i="2"/>
  <c r="H66" i="2"/>
  <c r="O87" i="2"/>
  <c r="AA111" i="2"/>
  <c r="B201" i="2"/>
  <c r="N186" i="2"/>
  <c r="B206" i="2"/>
  <c r="B66" i="2"/>
  <c r="AA232" i="2"/>
  <c r="Q66" i="2"/>
  <c r="P206" i="2"/>
  <c r="N201" i="2"/>
  <c r="AB206" i="2"/>
  <c r="O118" i="2"/>
  <c r="N15" i="2"/>
  <c r="W74" i="2"/>
  <c r="R74" i="2"/>
  <c r="K74" i="2"/>
  <c r="Y206" i="2"/>
  <c r="H74" i="2"/>
  <c r="Q87" i="2"/>
  <c r="Z87" i="2"/>
  <c r="M66" i="2"/>
  <c r="M206" i="2"/>
  <c r="M118" i="2"/>
  <c r="AB74" i="2"/>
  <c r="O66" i="2"/>
  <c r="Z186" i="2"/>
  <c r="W118" i="2"/>
  <c r="R118" i="2"/>
  <c r="K118" i="2"/>
  <c r="B87" i="2"/>
  <c r="AC201" i="2"/>
  <c r="AB87" i="2"/>
  <c r="O15" i="2"/>
  <c r="S74" i="2"/>
  <c r="AC111" i="2"/>
  <c r="AA118" i="2"/>
  <c r="H201" i="2"/>
  <c r="H15" i="2"/>
  <c r="Z232" i="2"/>
  <c r="Z206" i="2"/>
  <c r="H118" i="2"/>
  <c r="S15" i="2"/>
  <c r="Y111" i="2"/>
  <c r="O111" i="2"/>
  <c r="N206" i="2"/>
  <c r="Q15" i="2"/>
  <c r="O201" i="2"/>
  <c r="Q118" i="2"/>
  <c r="S232" i="2"/>
  <c r="Z201" i="2"/>
  <c r="Y66" i="2"/>
  <c r="Y186" i="2"/>
  <c r="AB66" i="2"/>
  <c r="S118" i="2"/>
  <c r="Y232" i="2"/>
  <c r="M74" i="2"/>
  <c r="M111" i="2"/>
  <c r="M15" i="2"/>
  <c r="S186" i="2"/>
  <c r="P118" i="2"/>
  <c r="P111" i="2"/>
  <c r="N118" i="2"/>
  <c r="M87" i="2"/>
  <c r="Z15" i="2"/>
  <c r="M232" i="2"/>
  <c r="W232" i="2"/>
  <c r="R232" i="2"/>
  <c r="K232" i="2"/>
  <c r="W87" i="2"/>
  <c r="R87" i="2"/>
  <c r="K87" i="2"/>
  <c r="N111" i="2"/>
  <c r="AA66" i="2"/>
  <c r="H87" i="2"/>
  <c r="Q206" i="2"/>
  <c r="Y118" i="2"/>
  <c r="H111" i="2"/>
  <c r="AA186" i="2"/>
  <c r="Y87" i="2"/>
  <c r="B111" i="2"/>
  <c r="P66" i="2"/>
  <c r="O206" i="2"/>
  <c r="N232" i="2"/>
  <c r="AA15" i="2"/>
  <c r="B74" i="2"/>
  <c r="Q201" i="2"/>
  <c r="Y109" i="2"/>
  <c r="N20" i="2"/>
  <c r="O51" i="2"/>
  <c r="B48" i="2"/>
  <c r="Y20" i="2"/>
  <c r="Y150" i="2"/>
  <c r="P76" i="2"/>
  <c r="Q109" i="2"/>
  <c r="M237" i="2"/>
  <c r="Q174" i="2"/>
  <c r="B221" i="2"/>
  <c r="AA48" i="2"/>
  <c r="N174" i="2"/>
  <c r="N237" i="2"/>
  <c r="B20" i="2"/>
  <c r="M48" i="2"/>
  <c r="O76" i="2"/>
  <c r="H48" i="2"/>
  <c r="P48" i="2"/>
  <c r="W221" i="2"/>
  <c r="R221" i="2"/>
  <c r="K221" i="2"/>
  <c r="H51" i="2"/>
  <c r="M174" i="2"/>
  <c r="Z174" i="2"/>
  <c r="N48" i="2"/>
  <c r="AC237" i="2"/>
  <c r="B51" i="2"/>
  <c r="Q20" i="2"/>
  <c r="W150" i="2"/>
  <c r="R150" i="2"/>
  <c r="K150" i="2"/>
  <c r="N109" i="2"/>
  <c r="Q48" i="2"/>
  <c r="W76" i="2"/>
  <c r="R76" i="2"/>
  <c r="K76" i="2"/>
  <c r="H237" i="2"/>
  <c r="M97" i="2"/>
  <c r="S48" i="2"/>
  <c r="AB221" i="2"/>
  <c r="Y237" i="2"/>
  <c r="AC48" i="2"/>
  <c r="Z51" i="2"/>
  <c r="O150" i="2"/>
  <c r="AB237" i="2"/>
  <c r="AA109" i="2"/>
  <c r="S174" i="2"/>
  <c r="AB51" i="2"/>
  <c r="M221" i="2"/>
  <c r="Z221" i="2"/>
  <c r="O48" i="2"/>
  <c r="B97" i="2"/>
  <c r="H97" i="2"/>
  <c r="H109" i="2"/>
  <c r="AA237" i="2"/>
  <c r="Z48" i="2"/>
  <c r="AB109" i="2"/>
  <c r="Q51" i="2"/>
  <c r="O237" i="2"/>
  <c r="P237" i="2"/>
  <c r="N97" i="2"/>
  <c r="AB150" i="2"/>
  <c r="N76" i="2"/>
  <c r="B150" i="2"/>
  <c r="Q76" i="2"/>
  <c r="S97" i="2"/>
  <c r="B237" i="2"/>
  <c r="S51" i="2"/>
  <c r="P109" i="2"/>
  <c r="M20" i="2"/>
  <c r="AA51" i="2"/>
  <c r="W109" i="2"/>
  <c r="R109" i="2"/>
  <c r="K109" i="2"/>
  <c r="Y76" i="2"/>
  <c r="AC76" i="2"/>
  <c r="Z20" i="2"/>
  <c r="H174" i="2"/>
  <c r="O97" i="2"/>
  <c r="M150" i="2"/>
  <c r="O109" i="2"/>
  <c r="W51" i="2"/>
  <c r="R51" i="2"/>
  <c r="K51" i="2"/>
  <c r="H76" i="2"/>
  <c r="Z76" i="2"/>
  <c r="H150" i="2"/>
  <c r="P20" i="2"/>
  <c r="W97" i="2"/>
  <c r="R97" i="2"/>
  <c r="K97" i="2"/>
  <c r="M109" i="2"/>
  <c r="B109" i="2"/>
  <c r="N150" i="2"/>
  <c r="AC150" i="2"/>
  <c r="AA174" i="2"/>
  <c r="O20" i="2"/>
  <c r="AC174" i="2"/>
  <c r="AC221" i="2"/>
  <c r="P174" i="2"/>
  <c r="N221" i="2"/>
  <c r="P150" i="2"/>
  <c r="Z150" i="2"/>
  <c r="AB174" i="2"/>
  <c r="AA20" i="2"/>
  <c r="AA221" i="2"/>
  <c r="AA150" i="2"/>
  <c r="H20" i="2"/>
  <c r="M76" i="2"/>
  <c r="AC51" i="2"/>
  <c r="O174" i="2"/>
  <c r="M51" i="2"/>
  <c r="P221" i="2"/>
  <c r="P97" i="2"/>
  <c r="S221" i="2"/>
  <c r="Z237" i="2"/>
  <c r="Y221" i="2"/>
  <c r="S150" i="2"/>
  <c r="AA76" i="2"/>
  <c r="B174" i="2"/>
  <c r="AC97" i="2"/>
  <c r="N51" i="2"/>
  <c r="AB48" i="2"/>
  <c r="AB76" i="2"/>
  <c r="Y97" i="2"/>
  <c r="S237" i="2"/>
  <c r="O221" i="2"/>
  <c r="W174" i="2"/>
  <c r="R174" i="2"/>
  <c r="K174" i="2"/>
  <c r="W237" i="2"/>
  <c r="R237" i="2"/>
  <c r="K237" i="2"/>
  <c r="P51" i="2"/>
  <c r="W48" i="2"/>
  <c r="R48" i="2"/>
  <c r="K48" i="2"/>
  <c r="AC20" i="2"/>
  <c r="AC109" i="2"/>
  <c r="AA97" i="2"/>
  <c r="B76" i="2"/>
  <c r="H221" i="2"/>
  <c r="Z97" i="2"/>
  <c r="AB20" i="2"/>
  <c r="AB97" i="2"/>
  <c r="W20" i="2"/>
  <c r="R20" i="2"/>
  <c r="K20" i="2"/>
  <c r="Z109" i="2"/>
  <c r="Y51" i="2"/>
  <c r="Q237" i="2"/>
  <c r="S76" i="2"/>
  <c r="Q150" i="2"/>
  <c r="S109" i="2"/>
  <c r="Y174" i="2"/>
  <c r="Y48" i="2"/>
  <c r="Q97" i="2"/>
  <c r="S20" i="2"/>
  <c r="Q221" i="2"/>
  <c r="AB114" i="2"/>
  <c r="Q106" i="2"/>
  <c r="Z93" i="2"/>
  <c r="P114" i="2"/>
  <c r="N85" i="2"/>
  <c r="Y91" i="2"/>
  <c r="B234" i="2"/>
  <c r="O234" i="2"/>
  <c r="AA29" i="2"/>
  <c r="H106" i="2"/>
  <c r="O59" i="2"/>
  <c r="W106" i="2"/>
  <c r="R106" i="2"/>
  <c r="K106" i="2"/>
  <c r="M24" i="2"/>
  <c r="P91" i="2"/>
  <c r="Y85" i="2"/>
  <c r="O91" i="2"/>
  <c r="B91" i="2"/>
  <c r="Z29" i="2"/>
  <c r="N29" i="2"/>
  <c r="W114" i="2"/>
  <c r="R114" i="2"/>
  <c r="K114" i="2"/>
  <c r="M114" i="2"/>
  <c r="M29" i="2"/>
  <c r="AC93" i="2"/>
  <c r="AB24" i="2"/>
  <c r="N152" i="2"/>
  <c r="W234" i="2"/>
  <c r="R234" i="2"/>
  <c r="K234" i="2"/>
  <c r="S234" i="2"/>
  <c r="N24" i="2"/>
  <c r="H85" i="2"/>
  <c r="AA93" i="2"/>
  <c r="P93" i="2"/>
  <c r="H234" i="2"/>
  <c r="Q152" i="2"/>
  <c r="AA152" i="2"/>
  <c r="N114" i="2"/>
  <c r="AA91" i="2"/>
  <c r="O93" i="2"/>
  <c r="Z91" i="2"/>
  <c r="B93" i="2"/>
  <c r="H152" i="2"/>
  <c r="AA106" i="2"/>
  <c r="AB85" i="2"/>
  <c r="P234" i="2"/>
  <c r="O152" i="2"/>
  <c r="S85" i="2"/>
  <c r="P85" i="2"/>
  <c r="B29" i="2"/>
  <c r="B59" i="2"/>
  <c r="Z152" i="2"/>
  <c r="S93" i="2"/>
  <c r="S91" i="2"/>
  <c r="AC24" i="2"/>
  <c r="B106" i="2"/>
  <c r="AB59" i="2"/>
  <c r="S106" i="2"/>
  <c r="P24" i="2"/>
  <c r="Y59" i="2"/>
  <c r="Y93" i="2"/>
  <c r="AA59" i="2"/>
  <c r="AA234" i="2"/>
  <c r="H91" i="2"/>
  <c r="AB234" i="2"/>
  <c r="S114" i="2"/>
  <c r="P152" i="2"/>
  <c r="Q93" i="2"/>
  <c r="O29" i="2"/>
  <c r="Y29" i="2"/>
  <c r="AC106" i="2"/>
  <c r="AB93" i="2"/>
  <c r="Z59" i="2"/>
  <c r="W93" i="2"/>
  <c r="R93" i="2"/>
  <c r="K93" i="2"/>
  <c r="AC29" i="2"/>
  <c r="W29" i="2"/>
  <c r="R29" i="2"/>
  <c r="K29" i="2"/>
  <c r="P59" i="2"/>
  <c r="S24" i="2"/>
  <c r="M234" i="2"/>
  <c r="Q85" i="2"/>
  <c r="Z24" i="2"/>
  <c r="S152" i="2"/>
  <c r="Z234" i="2"/>
  <c r="N93" i="2"/>
  <c r="H93" i="2"/>
  <c r="Z106" i="2"/>
  <c r="N106" i="2"/>
  <c r="AB29" i="2"/>
  <c r="B85" i="2"/>
  <c r="S29" i="2"/>
  <c r="M59" i="2"/>
  <c r="N91" i="2"/>
  <c r="N234" i="2"/>
  <c r="W24" i="2"/>
  <c r="R24" i="2"/>
  <c r="K24" i="2"/>
  <c r="S59" i="2"/>
  <c r="AB152" i="2"/>
  <c r="AA24" i="2"/>
  <c r="AA85" i="2"/>
  <c r="N59" i="2"/>
  <c r="Q114" i="2"/>
  <c r="Z85" i="2"/>
  <c r="AC114" i="2"/>
  <c r="AA114" i="2"/>
  <c r="O114" i="2"/>
  <c r="Q91" i="2"/>
  <c r="M152" i="2"/>
  <c r="AB106" i="2"/>
  <c r="Y24" i="2"/>
  <c r="B114" i="2"/>
  <c r="AC85" i="2"/>
  <c r="H29" i="2"/>
  <c r="W85" i="2"/>
  <c r="R85" i="2"/>
  <c r="K85" i="2"/>
  <c r="B152" i="2"/>
  <c r="P29" i="2"/>
  <c r="W59" i="2"/>
  <c r="R59" i="2"/>
  <c r="K59" i="2"/>
  <c r="B24" i="2"/>
  <c r="H114" i="2"/>
  <c r="M91" i="2"/>
  <c r="M106" i="2"/>
  <c r="Q59" i="2"/>
  <c r="Y114" i="2"/>
  <c r="AC59" i="2"/>
  <c r="W152" i="2"/>
  <c r="R152" i="2"/>
  <c r="K152" i="2"/>
  <c r="O24" i="2"/>
  <c r="Q24" i="2"/>
  <c r="O106" i="2"/>
  <c r="Q234" i="2"/>
  <c r="AC152" i="2"/>
  <c r="AB91" i="2"/>
  <c r="M85" i="2"/>
  <c r="Y234" i="2"/>
  <c r="Q29" i="2"/>
  <c r="AC234" i="2"/>
  <c r="AC91" i="2"/>
  <c r="H24" i="2"/>
  <c r="H59" i="2"/>
  <c r="Z114" i="2"/>
  <c r="P106" i="2"/>
  <c r="Y106" i="2"/>
  <c r="Y152" i="2"/>
  <c r="W91" i="2"/>
  <c r="R91" i="2"/>
  <c r="K91" i="2"/>
  <c r="M93" i="2"/>
  <c r="O85" i="2"/>
  <c r="AB44" i="2"/>
  <c r="P189" i="2"/>
  <c r="S23" i="2"/>
  <c r="Y112" i="2"/>
  <c r="S210" i="2"/>
  <c r="B238" i="2"/>
  <c r="N112" i="2"/>
  <c r="Q112" i="2"/>
  <c r="S238" i="2"/>
  <c r="Q129" i="2"/>
  <c r="AB23" i="2"/>
  <c r="B129" i="2"/>
  <c r="AA112" i="2"/>
  <c r="S132" i="2"/>
  <c r="M238" i="2"/>
  <c r="Q53" i="2"/>
  <c r="Z53" i="2"/>
  <c r="AA53" i="2"/>
  <c r="N53" i="2"/>
  <c r="O44" i="2"/>
  <c r="AA238" i="2"/>
  <c r="Z189" i="2"/>
  <c r="P23" i="2"/>
  <c r="W132" i="2"/>
  <c r="R132" i="2"/>
  <c r="K132" i="2"/>
  <c r="AC53" i="2"/>
  <c r="AA162" i="2"/>
  <c r="N44" i="2"/>
  <c r="AB238" i="2"/>
  <c r="N129" i="2"/>
  <c r="AC238" i="2"/>
  <c r="P53" i="2"/>
  <c r="M210" i="2"/>
  <c r="Y162" i="2"/>
  <c r="H129" i="2"/>
  <c r="AA132" i="2"/>
  <c r="S112" i="2"/>
  <c r="B132" i="2"/>
  <c r="O189" i="2"/>
  <c r="H132" i="2"/>
  <c r="N23" i="2"/>
  <c r="AB210" i="2"/>
  <c r="AC189" i="2"/>
  <c r="M112" i="2"/>
  <c r="S162" i="2"/>
  <c r="P210" i="2"/>
  <c r="H189" i="2"/>
  <c r="H53" i="2"/>
  <c r="W210" i="2"/>
  <c r="R210" i="2"/>
  <c r="K210" i="2"/>
  <c r="Q189" i="2"/>
  <c r="Z132" i="2"/>
  <c r="AA129" i="2"/>
  <c r="B189" i="2"/>
  <c r="AB129" i="2"/>
  <c r="Z23" i="2"/>
  <c r="Y189" i="2"/>
  <c r="N162" i="2"/>
  <c r="B44" i="2"/>
  <c r="P44" i="2"/>
  <c r="M44" i="2"/>
  <c r="S189" i="2"/>
  <c r="N238" i="2"/>
  <c r="B53" i="2"/>
  <c r="W189" i="2"/>
  <c r="R189" i="2"/>
  <c r="K189" i="2"/>
  <c r="Z238" i="2"/>
  <c r="H238" i="2"/>
  <c r="AA210" i="2"/>
  <c r="W162" i="2"/>
  <c r="R162" i="2"/>
  <c r="K162" i="2"/>
  <c r="Z44" i="2"/>
  <c r="AC112" i="2"/>
  <c r="Q162" i="2"/>
  <c r="O112" i="2"/>
  <c r="M189" i="2"/>
  <c r="AB162" i="2"/>
  <c r="M23" i="2"/>
  <c r="Q44" i="2"/>
  <c r="W238" i="2"/>
  <c r="R238" i="2"/>
  <c r="K238" i="2"/>
  <c r="H210" i="2"/>
  <c r="Q238" i="2"/>
  <c r="O238" i="2"/>
  <c r="B210" i="2"/>
  <c r="P162" i="2"/>
  <c r="P112" i="2"/>
  <c r="N132" i="2"/>
  <c r="Z162" i="2"/>
  <c r="N210" i="2"/>
  <c r="Q210" i="2"/>
  <c r="O210" i="2"/>
  <c r="H112" i="2"/>
  <c r="S44" i="2"/>
  <c r="Z112" i="2"/>
  <c r="AC162" i="2"/>
  <c r="B23" i="2"/>
  <c r="W53" i="2"/>
  <c r="R53" i="2"/>
  <c r="K53" i="2"/>
  <c r="O132" i="2"/>
  <c r="S129" i="2"/>
  <c r="B162" i="2"/>
  <c r="Y44" i="2"/>
  <c r="W23" i="2"/>
  <c r="R23" i="2"/>
  <c r="K23" i="2"/>
  <c r="M53" i="2"/>
  <c r="Q23" i="2"/>
  <c r="S53" i="2"/>
  <c r="Y53" i="2"/>
  <c r="M132" i="2"/>
  <c r="AC132" i="2"/>
  <c r="Y132" i="2"/>
  <c r="Y210" i="2"/>
  <c r="H23" i="2"/>
  <c r="AC23" i="2"/>
  <c r="M129" i="2"/>
  <c r="Y129" i="2"/>
  <c r="O23" i="2"/>
  <c r="Z129" i="2"/>
  <c r="Y23" i="2"/>
  <c r="AC129" i="2"/>
  <c r="P129" i="2"/>
  <c r="O129" i="2"/>
  <c r="AB189" i="2"/>
  <c r="M162" i="2"/>
  <c r="Z210" i="2"/>
  <c r="W44" i="2"/>
  <c r="R44" i="2"/>
  <c r="K44" i="2"/>
  <c r="P132" i="2"/>
  <c r="Y238" i="2"/>
  <c r="N189" i="2"/>
  <c r="O162" i="2"/>
  <c r="O53" i="2"/>
  <c r="B112" i="2"/>
  <c r="H44" i="2"/>
  <c r="AB132" i="2"/>
  <c r="AC44" i="2"/>
  <c r="AB112" i="2"/>
  <c r="W112" i="2"/>
  <c r="R112" i="2"/>
  <c r="K112" i="2"/>
  <c r="AC210" i="2"/>
  <c r="AB53" i="2"/>
  <c r="AA23" i="2"/>
  <c r="AA189" i="2"/>
  <c r="AA44" i="2"/>
  <c r="P238" i="2"/>
  <c r="Q132" i="2"/>
  <c r="W129" i="2"/>
  <c r="R129" i="2"/>
  <c r="K129" i="2"/>
  <c r="H162" i="2"/>
  <c r="S81" i="2"/>
  <c r="Z135" i="2"/>
  <c r="Y231" i="2"/>
  <c r="Y188" i="2"/>
  <c r="B135" i="2"/>
  <c r="AB81" i="2"/>
  <c r="P81" i="2"/>
  <c r="AB135" i="2"/>
  <c r="H231" i="2"/>
  <c r="Z104" i="2"/>
  <c r="N104" i="2"/>
  <c r="B188" i="2"/>
  <c r="B10" i="2"/>
  <c r="AB188" i="2"/>
  <c r="B179" i="2"/>
  <c r="B43" i="2"/>
  <c r="M81" i="2"/>
  <c r="AB43" i="2"/>
  <c r="B231" i="2"/>
  <c r="N188" i="2"/>
  <c r="AC37" i="2"/>
  <c r="Z43" i="2"/>
  <c r="W179" i="2"/>
  <c r="R179" i="2"/>
  <c r="K179" i="2"/>
  <c r="Q10" i="2"/>
  <c r="Q135" i="2"/>
  <c r="S231" i="2"/>
  <c r="N43" i="2"/>
  <c r="Z10" i="2"/>
  <c r="Z188" i="2"/>
  <c r="O104" i="2"/>
  <c r="S179" i="2"/>
  <c r="AA179" i="2"/>
  <c r="AB231" i="2"/>
  <c r="Y10" i="2"/>
  <c r="AA58" i="2"/>
  <c r="AC188" i="2"/>
  <c r="Q37" i="2"/>
  <c r="H135" i="2"/>
  <c r="Z81" i="2"/>
  <c r="AB104" i="2"/>
  <c r="AB10" i="2"/>
  <c r="Y179" i="2"/>
  <c r="AA10" i="2"/>
  <c r="AB58" i="2"/>
  <c r="H81" i="2"/>
  <c r="M10" i="2"/>
  <c r="AC231" i="2"/>
  <c r="P58" i="2"/>
  <c r="Q188" i="2"/>
  <c r="M43" i="2"/>
  <c r="O81" i="2"/>
  <c r="P188" i="2"/>
  <c r="W10" i="2"/>
  <c r="R10" i="2"/>
  <c r="K10" i="2"/>
  <c r="O231" i="2"/>
  <c r="M188" i="2"/>
  <c r="M179" i="2"/>
  <c r="AB37" i="2"/>
  <c r="P179" i="2"/>
  <c r="AA135" i="2"/>
  <c r="O37" i="2"/>
  <c r="S104" i="2"/>
  <c r="AC58" i="2"/>
  <c r="Q43" i="2"/>
  <c r="AC10" i="2"/>
  <c r="Y104" i="2"/>
  <c r="Z231" i="2"/>
  <c r="M37" i="2"/>
  <c r="W231" i="2"/>
  <c r="R231" i="2"/>
  <c r="K231" i="2"/>
  <c r="M135" i="2"/>
  <c r="AA231" i="2"/>
  <c r="AA81" i="2"/>
  <c r="B81" i="2"/>
  <c r="O58" i="2"/>
  <c r="AA104" i="2"/>
  <c r="S43" i="2"/>
  <c r="Y81" i="2"/>
  <c r="AA37" i="2"/>
  <c r="S10" i="2"/>
  <c r="P135" i="2"/>
  <c r="N135" i="2"/>
  <c r="S58" i="2"/>
  <c r="O188" i="2"/>
  <c r="AC179" i="2"/>
  <c r="M231" i="2"/>
  <c r="M58" i="2"/>
  <c r="B58" i="2"/>
  <c r="S188" i="2"/>
  <c r="M104" i="2"/>
  <c r="Z58" i="2"/>
  <c r="H37" i="2"/>
  <c r="P37" i="2"/>
  <c r="Q81" i="2"/>
  <c r="AB179" i="2"/>
  <c r="W81" i="2"/>
  <c r="R81" i="2"/>
  <c r="K81" i="2"/>
  <c r="Y58" i="2"/>
  <c r="W58" i="2"/>
  <c r="R58" i="2"/>
  <c r="K58" i="2"/>
  <c r="B104" i="2"/>
  <c r="O43" i="2"/>
  <c r="N179" i="2"/>
  <c r="Z37" i="2"/>
  <c r="S37" i="2"/>
  <c r="Z179" i="2"/>
  <c r="Y37" i="2"/>
  <c r="B37" i="2"/>
  <c r="O179" i="2"/>
  <c r="Q58" i="2"/>
  <c r="W104" i="2"/>
  <c r="R104" i="2"/>
  <c r="K104" i="2"/>
  <c r="O10" i="2"/>
  <c r="S135" i="2"/>
  <c r="N81" i="2"/>
  <c r="Q231" i="2"/>
  <c r="N231" i="2"/>
  <c r="AA43" i="2"/>
  <c r="AC43" i="2"/>
  <c r="H43" i="2"/>
  <c r="P43" i="2"/>
  <c r="P10" i="2"/>
  <c r="H10" i="2"/>
  <c r="AC135" i="2"/>
  <c r="Y43" i="2"/>
  <c r="P104" i="2"/>
  <c r="AA188" i="2"/>
  <c r="W37" i="2"/>
  <c r="R37" i="2"/>
  <c r="K37" i="2"/>
  <c r="AC104" i="2"/>
  <c r="W135" i="2"/>
  <c r="R135" i="2"/>
  <c r="K135" i="2"/>
  <c r="W188" i="2"/>
  <c r="R188" i="2"/>
  <c r="K188" i="2"/>
  <c r="H179" i="2"/>
  <c r="Q104" i="2"/>
  <c r="H58" i="2"/>
  <c r="Y135" i="2"/>
  <c r="H188" i="2"/>
  <c r="Q179" i="2"/>
  <c r="W43" i="2"/>
  <c r="R43" i="2"/>
  <c r="K43" i="2"/>
  <c r="N58" i="2"/>
  <c r="N10" i="2"/>
  <c r="AC81" i="2"/>
  <c r="P231" i="2"/>
  <c r="O135" i="2"/>
  <c r="H104" i="2"/>
  <c r="N37" i="2"/>
  <c r="Q64" i="2"/>
  <c r="S94" i="2"/>
  <c r="AA28" i="2"/>
  <c r="Z160" i="2"/>
  <c r="S64" i="2"/>
  <c r="AA204" i="2"/>
  <c r="S213" i="2"/>
  <c r="P213" i="2"/>
  <c r="M28" i="2"/>
  <c r="W213" i="2"/>
  <c r="R213" i="2"/>
  <c r="K213" i="2"/>
  <c r="AB94" i="2"/>
  <c r="O160" i="2"/>
  <c r="N213" i="2"/>
  <c r="Z28" i="2"/>
  <c r="Q222" i="2"/>
  <c r="AA219" i="2"/>
  <c r="Y213" i="2"/>
  <c r="Y197" i="2"/>
  <c r="AA197" i="2"/>
  <c r="Y222" i="2"/>
  <c r="H204" i="2"/>
  <c r="Q160" i="2"/>
  <c r="S219" i="2"/>
  <c r="AC64" i="2"/>
  <c r="B219" i="2"/>
  <c r="H197" i="2"/>
  <c r="M222" i="2"/>
  <c r="S28" i="2"/>
  <c r="H160" i="2"/>
  <c r="W222" i="2"/>
  <c r="R222" i="2"/>
  <c r="K222" i="2"/>
  <c r="N222" i="2"/>
  <c r="O222" i="2"/>
  <c r="P28" i="2"/>
  <c r="S79" i="2"/>
  <c r="AA64" i="2"/>
  <c r="M213" i="2"/>
  <c r="AB79" i="2"/>
  <c r="AC204" i="2"/>
  <c r="AA160" i="2"/>
  <c r="Z222" i="2"/>
  <c r="Z213" i="2"/>
  <c r="B213" i="2"/>
  <c r="Z219" i="2"/>
  <c r="Q204" i="2"/>
  <c r="O204" i="2"/>
  <c r="P64" i="2"/>
  <c r="Z94" i="2"/>
  <c r="S160" i="2"/>
  <c r="B204" i="2"/>
  <c r="W197" i="2"/>
  <c r="R197" i="2"/>
  <c r="K197" i="2"/>
  <c r="Y79" i="2"/>
  <c r="H64" i="2"/>
  <c r="S204" i="2"/>
  <c r="Q213" i="2"/>
  <c r="B197" i="2"/>
  <c r="M197" i="2"/>
  <c r="M160" i="2"/>
  <c r="P219" i="2"/>
  <c r="Q28" i="2"/>
  <c r="AC222" i="2"/>
  <c r="Q197" i="2"/>
  <c r="AB204" i="2"/>
  <c r="W64" i="2"/>
  <c r="R64" i="2"/>
  <c r="K64" i="2"/>
  <c r="AA79" i="2"/>
  <c r="O64" i="2"/>
  <c r="AA222" i="2"/>
  <c r="M94" i="2"/>
  <c r="N28" i="2"/>
  <c r="P79" i="2"/>
  <c r="AC79" i="2"/>
  <c r="P160" i="2"/>
  <c r="N94" i="2"/>
  <c r="B94" i="2"/>
  <c r="AC94" i="2"/>
  <c r="Q219" i="2"/>
  <c r="W28" i="2"/>
  <c r="R28" i="2"/>
  <c r="K28" i="2"/>
  <c r="AA94" i="2"/>
  <c r="N79" i="2"/>
  <c r="B79" i="2"/>
  <c r="H219" i="2"/>
  <c r="Z64" i="2"/>
  <c r="Y64" i="2"/>
  <c r="M79" i="2"/>
  <c r="Z197" i="2"/>
  <c r="Z204" i="2"/>
  <c r="W219" i="2"/>
  <c r="R219" i="2"/>
  <c r="K219" i="2"/>
  <c r="N204" i="2"/>
  <c r="H94" i="2"/>
  <c r="Y28" i="2"/>
  <c r="N64" i="2"/>
  <c r="AB213" i="2"/>
  <c r="H28" i="2"/>
  <c r="W204" i="2"/>
  <c r="R204" i="2"/>
  <c r="K204" i="2"/>
  <c r="N219" i="2"/>
  <c r="Q79" i="2"/>
  <c r="Q94" i="2"/>
  <c r="O94" i="2"/>
  <c r="O197" i="2"/>
  <c r="M219" i="2"/>
  <c r="H222" i="2"/>
  <c r="W94" i="2"/>
  <c r="R94" i="2"/>
  <c r="K94" i="2"/>
  <c r="W79" i="2"/>
  <c r="R79" i="2"/>
  <c r="K79" i="2"/>
  <c r="P204" i="2"/>
  <c r="Z79" i="2"/>
  <c r="AB160" i="2"/>
  <c r="AB64" i="2"/>
  <c r="AC197" i="2"/>
  <c r="H213" i="2"/>
  <c r="AB197" i="2"/>
  <c r="AB28" i="2"/>
  <c r="AB219" i="2"/>
  <c r="B28" i="2"/>
  <c r="O79" i="2"/>
  <c r="Y160" i="2"/>
  <c r="M204" i="2"/>
  <c r="B222" i="2"/>
  <c r="AA213" i="2"/>
  <c r="Y94" i="2"/>
  <c r="W160" i="2"/>
  <c r="R160" i="2"/>
  <c r="K160" i="2"/>
  <c r="O213" i="2"/>
  <c r="O28" i="2"/>
  <c r="AC160" i="2"/>
  <c r="N197" i="2"/>
  <c r="B160" i="2"/>
  <c r="O219" i="2"/>
  <c r="B64" i="2"/>
  <c r="Y219" i="2"/>
  <c r="AB222" i="2"/>
  <c r="S222" i="2"/>
  <c r="P197" i="2"/>
  <c r="P222" i="2"/>
  <c r="Y204" i="2"/>
  <c r="AC28" i="2"/>
  <c r="M64" i="2"/>
  <c r="S197" i="2"/>
  <c r="H79" i="2"/>
  <c r="AC213" i="2"/>
  <c r="AC219" i="2"/>
  <c r="N160" i="2"/>
  <c r="P94" i="2"/>
  <c r="N182" i="2"/>
  <c r="S175" i="2"/>
  <c r="B54" i="2"/>
  <c r="AA143" i="2"/>
  <c r="Z182" i="2"/>
  <c r="Y142" i="2"/>
  <c r="N143" i="2"/>
  <c r="AA190" i="2"/>
  <c r="AC131" i="2"/>
  <c r="M143" i="2"/>
  <c r="AC161" i="2"/>
  <c r="P142" i="2"/>
  <c r="AB161" i="2"/>
  <c r="AB131" i="2"/>
  <c r="W161" i="2"/>
  <c r="R161" i="2"/>
  <c r="K161" i="2"/>
  <c r="P182" i="2"/>
  <c r="H182" i="2"/>
  <c r="Q182" i="2"/>
  <c r="M149" i="2"/>
  <c r="S120" i="2"/>
  <c r="P175" i="2"/>
  <c r="Q120" i="2"/>
  <c r="N54" i="2"/>
  <c r="M175" i="2"/>
  <c r="AB120" i="2"/>
  <c r="Z120" i="2"/>
  <c r="H54" i="2"/>
  <c r="O142" i="2"/>
  <c r="S182" i="2"/>
  <c r="O131" i="2"/>
  <c r="AA175" i="2"/>
  <c r="Y131" i="2"/>
  <c r="AA182" i="2"/>
  <c r="Q190" i="2"/>
  <c r="Y161" i="2"/>
  <c r="AC120" i="2"/>
  <c r="S131" i="2"/>
  <c r="AC190" i="2"/>
  <c r="W54" i="2"/>
  <c r="R54" i="2"/>
  <c r="K54" i="2"/>
  <c r="AA54" i="2"/>
  <c r="AB54" i="2"/>
  <c r="M182" i="2"/>
  <c r="S161" i="2"/>
  <c r="N142" i="2"/>
  <c r="AB175" i="2"/>
  <c r="B149" i="2"/>
  <c r="P161" i="2"/>
  <c r="W175" i="2"/>
  <c r="R175" i="2"/>
  <c r="K175" i="2"/>
  <c r="O182" i="2"/>
  <c r="H175" i="2"/>
  <c r="W190" i="2"/>
  <c r="R190" i="2"/>
  <c r="K190" i="2"/>
  <c r="W149" i="2"/>
  <c r="R149" i="2"/>
  <c r="K149" i="2"/>
  <c r="S143" i="2"/>
  <c r="P54" i="2"/>
  <c r="AA131" i="2"/>
  <c r="B175" i="2"/>
  <c r="O143" i="2"/>
  <c r="M120" i="2"/>
  <c r="B142" i="2"/>
  <c r="Q131" i="2"/>
  <c r="H161" i="2"/>
  <c r="AC149" i="2"/>
  <c r="N175" i="2"/>
  <c r="M54" i="2"/>
  <c r="O149" i="2"/>
  <c r="Z175" i="2"/>
  <c r="Y54" i="2"/>
  <c r="B161" i="2"/>
  <c r="N149" i="2"/>
  <c r="Q161" i="2"/>
  <c r="Y190" i="2"/>
  <c r="AA161" i="2"/>
  <c r="M161" i="2"/>
  <c r="P131" i="2"/>
  <c r="Y182" i="2"/>
  <c r="Q54" i="2"/>
  <c r="W182" i="2"/>
  <c r="R182" i="2"/>
  <c r="K182" i="2"/>
  <c r="H142" i="2"/>
  <c r="O120" i="2"/>
  <c r="Z143" i="2"/>
  <c r="S190" i="2"/>
  <c r="AA120" i="2"/>
  <c r="W143" i="2"/>
  <c r="R143" i="2"/>
  <c r="K143" i="2"/>
  <c r="Z131" i="2"/>
  <c r="P190" i="2"/>
  <c r="H120" i="2"/>
  <c r="Z149" i="2"/>
  <c r="N161" i="2"/>
  <c r="Y175" i="2"/>
  <c r="AC175" i="2"/>
  <c r="AA149" i="2"/>
  <c r="Z54" i="2"/>
  <c r="Y143" i="2"/>
  <c r="M142" i="2"/>
  <c r="W142" i="2"/>
  <c r="R142" i="2"/>
  <c r="K142" i="2"/>
  <c r="Z190" i="2"/>
  <c r="N120" i="2"/>
  <c r="Y149" i="2"/>
  <c r="S54" i="2"/>
  <c r="P149" i="2"/>
  <c r="Q149" i="2"/>
  <c r="B190" i="2"/>
  <c r="AB143" i="2"/>
  <c r="H131" i="2"/>
  <c r="AC182" i="2"/>
  <c r="AC143" i="2"/>
  <c r="O175" i="2"/>
  <c r="N131" i="2"/>
  <c r="Z142" i="2"/>
  <c r="B120" i="2"/>
  <c r="O190" i="2"/>
  <c r="AA142" i="2"/>
  <c r="W120" i="2"/>
  <c r="R120" i="2"/>
  <c r="K120" i="2"/>
  <c r="S142" i="2"/>
  <c r="Y120" i="2"/>
  <c r="B131" i="2"/>
  <c r="M190" i="2"/>
  <c r="N190" i="2"/>
  <c r="H143" i="2"/>
  <c r="P143" i="2"/>
  <c r="H190" i="2"/>
  <c r="Z161" i="2"/>
  <c r="B143" i="2"/>
  <c r="H149" i="2"/>
  <c r="AB182" i="2"/>
  <c r="O54" i="2"/>
  <c r="AB149" i="2"/>
  <c r="Q142" i="2"/>
  <c r="AB142" i="2"/>
  <c r="W131" i="2"/>
  <c r="R131" i="2"/>
  <c r="K131" i="2"/>
  <c r="Q143" i="2"/>
  <c r="P120" i="2"/>
  <c r="S149" i="2"/>
  <c r="M131" i="2"/>
  <c r="AC142" i="2"/>
  <c r="O161" i="2"/>
  <c r="AC54" i="2"/>
  <c r="AB190" i="2"/>
  <c r="B182" i="2"/>
  <c r="Q175" i="2"/>
  <c r="B101" i="2"/>
  <c r="B96" i="2"/>
  <c r="Z69" i="2"/>
  <c r="W96" i="2"/>
  <c r="R96" i="2"/>
  <c r="K96" i="2"/>
  <c r="M101" i="2"/>
  <c r="S96" i="2"/>
  <c r="P22" i="2"/>
  <c r="P69" i="2"/>
  <c r="Y227" i="2"/>
  <c r="Q227" i="2"/>
  <c r="AB101" i="2"/>
  <c r="N22" i="2"/>
  <c r="Z73" i="2"/>
  <c r="W22" i="2"/>
  <c r="R22" i="2"/>
  <c r="K22" i="2"/>
  <c r="Q96" i="2"/>
  <c r="AB96" i="2"/>
  <c r="Y69" i="2"/>
  <c r="S73" i="2"/>
  <c r="P139" i="2"/>
  <c r="W227" i="2"/>
  <c r="R227" i="2"/>
  <c r="K227" i="2"/>
  <c r="N69" i="2"/>
  <c r="Y73" i="2"/>
  <c r="AC33" i="2"/>
  <c r="N73" i="2"/>
  <c r="S139" i="2"/>
  <c r="P101" i="2"/>
  <c r="Y33" i="2"/>
  <c r="S22" i="2"/>
  <c r="P33" i="2"/>
  <c r="B56" i="2"/>
  <c r="AC22" i="2"/>
  <c r="O33" i="2"/>
  <c r="Y236" i="2"/>
  <c r="O69" i="2"/>
  <c r="M227" i="2"/>
  <c r="O101" i="2"/>
  <c r="AB73" i="2"/>
  <c r="Q139" i="2"/>
  <c r="H236" i="2"/>
  <c r="B73" i="2"/>
  <c r="Z227" i="2"/>
  <c r="H69" i="2"/>
  <c r="N139" i="2"/>
  <c r="AC236" i="2"/>
  <c r="H139" i="2"/>
  <c r="Q236" i="2"/>
  <c r="AA139" i="2"/>
  <c r="AB22" i="2"/>
  <c r="W69" i="2"/>
  <c r="R69" i="2"/>
  <c r="K69" i="2"/>
  <c r="B69" i="2"/>
  <c r="O56" i="2"/>
  <c r="AB227" i="2"/>
  <c r="N236" i="2"/>
  <c r="N227" i="2"/>
  <c r="AA101" i="2"/>
  <c r="S101" i="2"/>
  <c r="P236" i="2"/>
  <c r="N101" i="2"/>
  <c r="W139" i="2"/>
  <c r="R139" i="2"/>
  <c r="K139" i="2"/>
  <c r="S33" i="2"/>
  <c r="Y22" i="2"/>
  <c r="AA22" i="2"/>
  <c r="AC96" i="2"/>
  <c r="M236" i="2"/>
  <c r="Y101" i="2"/>
  <c r="AA96" i="2"/>
  <c r="Y56" i="2"/>
  <c r="W236" i="2"/>
  <c r="R236" i="2"/>
  <c r="K236" i="2"/>
  <c r="P227" i="2"/>
  <c r="M56" i="2"/>
  <c r="O236" i="2"/>
  <c r="Z22" i="2"/>
  <c r="H96" i="2"/>
  <c r="M96" i="2"/>
  <c r="W56" i="2"/>
  <c r="R56" i="2"/>
  <c r="K56" i="2"/>
  <c r="H101" i="2"/>
  <c r="W101" i="2"/>
  <c r="R101" i="2"/>
  <c r="K101" i="2"/>
  <c r="M69" i="2"/>
  <c r="Z33" i="2"/>
  <c r="AB69" i="2"/>
  <c r="P73" i="2"/>
  <c r="H56" i="2"/>
  <c r="Z56" i="2"/>
  <c r="S69" i="2"/>
  <c r="AA73" i="2"/>
  <c r="AB56" i="2"/>
  <c r="Z236" i="2"/>
  <c r="B227" i="2"/>
  <c r="P56" i="2"/>
  <c r="O22" i="2"/>
  <c r="S236" i="2"/>
  <c r="Q69" i="2"/>
  <c r="H33" i="2"/>
  <c r="P96" i="2"/>
  <c r="O73" i="2"/>
  <c r="AB139" i="2"/>
  <c r="H227" i="2"/>
  <c r="AA33" i="2"/>
  <c r="N33" i="2"/>
  <c r="B236" i="2"/>
  <c r="M139" i="2"/>
  <c r="M22" i="2"/>
  <c r="N56" i="2"/>
  <c r="Z101" i="2"/>
  <c r="O139" i="2"/>
  <c r="S227" i="2"/>
  <c r="AA56" i="2"/>
  <c r="S56" i="2"/>
  <c r="AC139" i="2"/>
  <c r="Z96" i="2"/>
  <c r="AA69" i="2"/>
  <c r="Q22" i="2"/>
  <c r="H22" i="2"/>
  <c r="Z139" i="2"/>
  <c r="M33" i="2"/>
  <c r="W73" i="2"/>
  <c r="R73" i="2"/>
  <c r="K73" i="2"/>
  <c r="AC227" i="2"/>
  <c r="AC101" i="2"/>
  <c r="M73" i="2"/>
  <c r="AC56" i="2"/>
  <c r="Y139" i="2"/>
  <c r="AB33" i="2"/>
  <c r="O96" i="2"/>
  <c r="W33" i="2"/>
  <c r="R33" i="2"/>
  <c r="K33" i="2"/>
  <c r="AC73" i="2"/>
  <c r="AA227" i="2"/>
  <c r="N96" i="2"/>
  <c r="Q33" i="2"/>
  <c r="AA236" i="2"/>
  <c r="AC69" i="2"/>
  <c r="B33" i="2"/>
  <c r="Q73" i="2"/>
  <c r="Q56" i="2"/>
  <c r="Q101" i="2"/>
  <c r="Y96" i="2"/>
  <c r="H73" i="2"/>
  <c r="AB236" i="2"/>
  <c r="B139" i="2"/>
  <c r="B22" i="2"/>
  <c r="O227" i="2"/>
  <c r="M35" i="2"/>
  <c r="AA103" i="2"/>
  <c r="AB103" i="2"/>
  <c r="AC157" i="2"/>
  <c r="AA126" i="2"/>
  <c r="AA34" i="2"/>
  <c r="P103" i="2"/>
  <c r="P212" i="2"/>
  <c r="AB212" i="2"/>
  <c r="B157" i="2"/>
  <c r="AB126" i="2"/>
  <c r="AA35" i="2"/>
  <c r="Y126" i="2"/>
  <c r="B103" i="2"/>
  <c r="O230" i="2"/>
  <c r="H126" i="2"/>
  <c r="W230" i="2"/>
  <c r="R230" i="2"/>
  <c r="K230" i="2"/>
  <c r="P224" i="2"/>
  <c r="AA157" i="2"/>
  <c r="AC230" i="2"/>
  <c r="Q52" i="2"/>
  <c r="B34" i="2"/>
  <c r="Z35" i="2"/>
  <c r="Q212" i="2"/>
  <c r="AC224" i="2"/>
  <c r="H230" i="2"/>
  <c r="H224" i="2"/>
  <c r="AB230" i="2"/>
  <c r="M34" i="2"/>
  <c r="S224" i="2"/>
  <c r="W217" i="2"/>
  <c r="R217" i="2"/>
  <c r="K217" i="2"/>
  <c r="H157" i="2"/>
  <c r="Q126" i="2"/>
  <c r="S35" i="2"/>
  <c r="W103" i="2"/>
  <c r="R103" i="2"/>
  <c r="K103" i="2"/>
  <c r="Y52" i="2"/>
  <c r="Z103" i="2"/>
  <c r="AB35" i="2"/>
  <c r="B52" i="2"/>
  <c r="N217" i="2"/>
  <c r="P52" i="2"/>
  <c r="Z34" i="2"/>
  <c r="W157" i="2"/>
  <c r="R157" i="2"/>
  <c r="K157" i="2"/>
  <c r="O212" i="2"/>
  <c r="AC34" i="2"/>
  <c r="M157" i="2"/>
  <c r="S230" i="2"/>
  <c r="P157" i="2"/>
  <c r="M230" i="2"/>
  <c r="M126" i="2"/>
  <c r="AB52" i="2"/>
  <c r="M52" i="2"/>
  <c r="M224" i="2"/>
  <c r="Z157" i="2"/>
  <c r="H52" i="2"/>
  <c r="Y217" i="2"/>
  <c r="N157" i="2"/>
  <c r="Z224" i="2"/>
  <c r="Q157" i="2"/>
  <c r="AC52" i="2"/>
  <c r="Q230" i="2"/>
  <c r="Y34" i="2"/>
  <c r="H217" i="2"/>
  <c r="P217" i="2"/>
  <c r="Y35" i="2"/>
  <c r="AA230" i="2"/>
  <c r="S34" i="2"/>
  <c r="O126" i="2"/>
  <c r="S212" i="2"/>
  <c r="AA217" i="2"/>
  <c r="P230" i="2"/>
  <c r="AB157" i="2"/>
  <c r="Z52" i="2"/>
  <c r="N103" i="2"/>
  <c r="H212" i="2"/>
  <c r="AB224" i="2"/>
  <c r="B230" i="2"/>
  <c r="AC126" i="2"/>
  <c r="AA52" i="2"/>
  <c r="AA212" i="2"/>
  <c r="W52" i="2"/>
  <c r="R52" i="2"/>
  <c r="K52" i="2"/>
  <c r="H103" i="2"/>
  <c r="Q34" i="2"/>
  <c r="M103" i="2"/>
  <c r="Y224" i="2"/>
  <c r="W126" i="2"/>
  <c r="R126" i="2"/>
  <c r="K126" i="2"/>
  <c r="N34" i="2"/>
  <c r="Y230" i="2"/>
  <c r="B224" i="2"/>
  <c r="M212" i="2"/>
  <c r="N35" i="2"/>
  <c r="AC35" i="2"/>
  <c r="B126" i="2"/>
  <c r="Q217" i="2"/>
  <c r="W35" i="2"/>
  <c r="R35" i="2"/>
  <c r="K35" i="2"/>
  <c r="P126" i="2"/>
  <c r="Y212" i="2"/>
  <c r="AC217" i="2"/>
  <c r="N224" i="2"/>
  <c r="S126" i="2"/>
  <c r="S103" i="2"/>
  <c r="W34" i="2"/>
  <c r="R34" i="2"/>
  <c r="K34" i="2"/>
  <c r="H34" i="2"/>
  <c r="N52" i="2"/>
  <c r="P35" i="2"/>
  <c r="B217" i="2"/>
  <c r="O217" i="2"/>
  <c r="N212" i="2"/>
  <c r="AC103" i="2"/>
  <c r="O34" i="2"/>
  <c r="B212" i="2"/>
  <c r="Q35" i="2"/>
  <c r="Z126" i="2"/>
  <c r="Q103" i="2"/>
  <c r="H35" i="2"/>
  <c r="M217" i="2"/>
  <c r="Z217" i="2"/>
  <c r="AB217" i="2"/>
  <c r="O52" i="2"/>
  <c r="O35" i="2"/>
  <c r="AA224" i="2"/>
  <c r="Q224" i="2"/>
  <c r="Z230" i="2"/>
  <c r="O157" i="2"/>
  <c r="AC212" i="2"/>
  <c r="W224" i="2"/>
  <c r="R224" i="2"/>
  <c r="K224" i="2"/>
  <c r="AB34" i="2"/>
  <c r="Y103" i="2"/>
  <c r="W212" i="2"/>
  <c r="R212" i="2"/>
  <c r="K212" i="2"/>
  <c r="O103" i="2"/>
  <c r="N230" i="2"/>
  <c r="S217" i="2"/>
  <c r="Z212" i="2"/>
  <c r="N126" i="2"/>
  <c r="Y157" i="2"/>
  <c r="P34" i="2"/>
  <c r="S52" i="2"/>
  <c r="O224" i="2"/>
  <c r="S157" i="2"/>
  <c r="B35" i="2"/>
  <c r="AA138" i="2"/>
  <c r="AA32" i="2"/>
  <c r="N134" i="2"/>
  <c r="AC203" i="2"/>
  <c r="O138" i="2"/>
  <c r="Z138" i="2"/>
  <c r="Q107" i="2"/>
  <c r="S13" i="2"/>
  <c r="S32" i="2"/>
  <c r="W13" i="2"/>
  <c r="R13" i="2"/>
  <c r="K13" i="2"/>
  <c r="Q134" i="2"/>
  <c r="Q13" i="2"/>
  <c r="Y203" i="2"/>
  <c r="AA134" i="2"/>
  <c r="O107" i="2"/>
  <c r="M166" i="2"/>
  <c r="H83" i="2"/>
  <c r="B203" i="2"/>
  <c r="B134" i="2"/>
  <c r="AA13" i="2"/>
  <c r="P166" i="2"/>
  <c r="Q83" i="2"/>
  <c r="W138" i="2"/>
  <c r="R138" i="2"/>
  <c r="K138" i="2"/>
  <c r="S138" i="2"/>
  <c r="S62" i="2"/>
  <c r="Q32" i="2"/>
  <c r="P83" i="2"/>
  <c r="P32" i="2"/>
  <c r="AC32" i="2"/>
  <c r="N83" i="2"/>
  <c r="W32" i="2"/>
  <c r="R32" i="2"/>
  <c r="K32" i="2"/>
  <c r="Z203" i="2"/>
  <c r="AA144" i="2"/>
  <c r="Y83" i="2"/>
  <c r="O83" i="2"/>
  <c r="H13" i="2"/>
  <c r="H134" i="2"/>
  <c r="O144" i="2"/>
  <c r="W166" i="2"/>
  <c r="R166" i="2"/>
  <c r="K166" i="2"/>
  <c r="B32" i="2"/>
  <c r="Y62" i="2"/>
  <c r="N62" i="2"/>
  <c r="AC107" i="2"/>
  <c r="AA166" i="2"/>
  <c r="AB62" i="2"/>
  <c r="S166" i="2"/>
  <c r="N32" i="2"/>
  <c r="H203" i="2"/>
  <c r="AB32" i="2"/>
  <c r="H32" i="2"/>
  <c r="O13" i="2"/>
  <c r="B62" i="2"/>
  <c r="W134" i="2"/>
  <c r="R134" i="2"/>
  <c r="K134" i="2"/>
  <c r="Y107" i="2"/>
  <c r="W62" i="2"/>
  <c r="R62" i="2"/>
  <c r="K62" i="2"/>
  <c r="M138" i="2"/>
  <c r="AC62" i="2"/>
  <c r="M83" i="2"/>
  <c r="Z166" i="2"/>
  <c r="O203" i="2"/>
  <c r="M107" i="2"/>
  <c r="P62" i="2"/>
  <c r="P144" i="2"/>
  <c r="AC83" i="2"/>
  <c r="AA62" i="2"/>
  <c r="Y13" i="2"/>
  <c r="H166" i="2"/>
  <c r="Y134" i="2"/>
  <c r="Y166" i="2"/>
  <c r="W203" i="2"/>
  <c r="R203" i="2"/>
  <c r="K203" i="2"/>
  <c r="B138" i="2"/>
  <c r="P107" i="2"/>
  <c r="B13" i="2"/>
  <c r="S134" i="2"/>
  <c r="Y138" i="2"/>
  <c r="Z32" i="2"/>
  <c r="AB138" i="2"/>
  <c r="P134" i="2"/>
  <c r="M144" i="2"/>
  <c r="O32" i="2"/>
  <c r="AC13" i="2"/>
  <c r="Z144" i="2"/>
  <c r="S144" i="2"/>
  <c r="W83" i="2"/>
  <c r="R83" i="2"/>
  <c r="K83" i="2"/>
  <c r="Q166" i="2"/>
  <c r="AA203" i="2"/>
  <c r="B166" i="2"/>
  <c r="P13" i="2"/>
  <c r="P203" i="2"/>
  <c r="AB13" i="2"/>
  <c r="Q144" i="2"/>
  <c r="AB107" i="2"/>
  <c r="O62" i="2"/>
  <c r="N166" i="2"/>
  <c r="B83" i="2"/>
  <c r="W144" i="2"/>
  <c r="R144" i="2"/>
  <c r="K144" i="2"/>
  <c r="N107" i="2"/>
  <c r="B107" i="2"/>
  <c r="Z134" i="2"/>
  <c r="M13" i="2"/>
  <c r="Y144" i="2"/>
  <c r="AC138" i="2"/>
  <c r="H138" i="2"/>
  <c r="AB144" i="2"/>
  <c r="N203" i="2"/>
  <c r="S203" i="2"/>
  <c r="Q203" i="2"/>
  <c r="AC166" i="2"/>
  <c r="Z13" i="2"/>
  <c r="Y32" i="2"/>
  <c r="Z107" i="2"/>
  <c r="H62" i="2"/>
  <c r="M203" i="2"/>
  <c r="AC134" i="2"/>
  <c r="B144" i="2"/>
  <c r="S83" i="2"/>
  <c r="Z62" i="2"/>
  <c r="Z83" i="2"/>
  <c r="M62" i="2"/>
  <c r="AC144" i="2"/>
  <c r="Q138" i="2"/>
  <c r="H107" i="2"/>
  <c r="AA83" i="2"/>
  <c r="H144" i="2"/>
  <c r="P138" i="2"/>
  <c r="W107" i="2"/>
  <c r="R107" i="2"/>
  <c r="K107" i="2"/>
  <c r="M134" i="2"/>
  <c r="O166" i="2"/>
  <c r="O134" i="2"/>
  <c r="AA107" i="2"/>
  <c r="AB83" i="2"/>
  <c r="N138" i="2"/>
  <c r="N144" i="2"/>
  <c r="Q62" i="2"/>
  <c r="AB203" i="2"/>
  <c r="N13" i="2"/>
  <c r="AB134" i="2"/>
  <c r="AB166" i="2"/>
  <c r="M32" i="2"/>
  <c r="S107" i="2"/>
  <c r="AB41" i="2"/>
  <c r="O80" i="2"/>
  <c r="Z80" i="2"/>
  <c r="H200" i="2"/>
  <c r="B145" i="2"/>
  <c r="AC41" i="2"/>
  <c r="P215" i="2"/>
  <c r="O41" i="2"/>
  <c r="Q163" i="2"/>
  <c r="M163" i="2"/>
  <c r="O165" i="2"/>
  <c r="M102" i="2"/>
  <c r="AA163" i="2"/>
  <c r="AA165" i="2"/>
  <c r="S200" i="2"/>
  <c r="Q215" i="2"/>
  <c r="M41" i="2"/>
  <c r="Z215" i="2"/>
  <c r="M4" i="2"/>
  <c r="B4" i="2"/>
  <c r="Q41" i="2"/>
  <c r="AA102" i="2"/>
  <c r="AA40" i="2"/>
  <c r="W200" i="2"/>
  <c r="R200" i="2"/>
  <c r="K200" i="2"/>
  <c r="AC165" i="2"/>
  <c r="AB163" i="2"/>
  <c r="W40" i="2"/>
  <c r="R40" i="2"/>
  <c r="K40" i="2"/>
  <c r="B215" i="2"/>
  <c r="H40" i="2"/>
  <c r="M165" i="2"/>
  <c r="Y145" i="2"/>
  <c r="W102" i="2"/>
  <c r="R102" i="2"/>
  <c r="K102" i="2"/>
  <c r="S4" i="2"/>
  <c r="AA4" i="2"/>
  <c r="Y215" i="2"/>
  <c r="O215" i="2"/>
  <c r="N200" i="2"/>
  <c r="AC215" i="2"/>
  <c r="AC4" i="2"/>
  <c r="Y80" i="2"/>
  <c r="S165" i="2"/>
  <c r="N102" i="2"/>
  <c r="O4" i="2"/>
  <c r="H165" i="2"/>
  <c r="B80" i="2"/>
  <c r="Z145" i="2"/>
  <c r="Q165" i="2"/>
  <c r="P41" i="2"/>
  <c r="Q80" i="2"/>
  <c r="O145" i="2"/>
  <c r="Q200" i="2"/>
  <c r="Z41" i="2"/>
  <c r="AC200" i="2"/>
  <c r="AB4" i="2"/>
  <c r="Q4" i="2"/>
  <c r="P200" i="2"/>
  <c r="M80" i="2"/>
  <c r="N165" i="2"/>
  <c r="Z40" i="2"/>
  <c r="AA80" i="2"/>
  <c r="W215" i="2"/>
  <c r="R215" i="2"/>
  <c r="K215" i="2"/>
  <c r="S163" i="2"/>
  <c r="S102" i="2"/>
  <c r="Q102" i="2"/>
  <c r="S40" i="2"/>
  <c r="M215" i="2"/>
  <c r="P102" i="2"/>
  <c r="B40" i="2"/>
  <c r="Y4" i="2"/>
  <c r="H80" i="2"/>
  <c r="M145" i="2"/>
  <c r="Y200" i="2"/>
  <c r="AC80" i="2"/>
  <c r="M40" i="2"/>
  <c r="H163" i="2"/>
  <c r="H41" i="2"/>
  <c r="O40" i="2"/>
  <c r="N80" i="2"/>
  <c r="N41" i="2"/>
  <c r="W163" i="2"/>
  <c r="R163" i="2"/>
  <c r="K163" i="2"/>
  <c r="B41" i="2"/>
  <c r="P4" i="2"/>
  <c r="AB102" i="2"/>
  <c r="O102" i="2"/>
  <c r="AC102" i="2"/>
  <c r="W41" i="2"/>
  <c r="R41" i="2"/>
  <c r="K41" i="2"/>
  <c r="AB165" i="2"/>
  <c r="N215" i="2"/>
  <c r="N145" i="2"/>
  <c r="AA41" i="2"/>
  <c r="H215" i="2"/>
  <c r="B200" i="2"/>
  <c r="N163" i="2"/>
  <c r="Y41" i="2"/>
  <c r="Z4" i="2"/>
  <c r="Q40" i="2"/>
  <c r="H145" i="2"/>
  <c r="W80" i="2"/>
  <c r="R80" i="2"/>
  <c r="K80" i="2"/>
  <c r="S145" i="2"/>
  <c r="B102" i="2"/>
  <c r="AB40" i="2"/>
  <c r="Z102" i="2"/>
  <c r="W4" i="2"/>
  <c r="R4" i="2"/>
  <c r="K4" i="2"/>
  <c r="AB215" i="2"/>
  <c r="O163" i="2"/>
  <c r="Z163" i="2"/>
  <c r="P145" i="2"/>
  <c r="AB80" i="2"/>
  <c r="Z200" i="2"/>
  <c r="Q145" i="2"/>
  <c r="H102" i="2"/>
  <c r="N4" i="2"/>
  <c r="W165" i="2"/>
  <c r="R165" i="2"/>
  <c r="K165" i="2"/>
  <c r="AC40" i="2"/>
  <c r="Y163" i="2"/>
  <c r="AA215" i="2"/>
  <c r="N40" i="2"/>
  <c r="B163" i="2"/>
  <c r="P80" i="2"/>
  <c r="B165" i="2"/>
  <c r="Y40" i="2"/>
  <c r="P163" i="2"/>
  <c r="Y165" i="2"/>
  <c r="O200" i="2"/>
  <c r="Z165" i="2"/>
  <c r="AC145" i="2"/>
  <c r="AA145" i="2"/>
  <c r="AB145" i="2"/>
  <c r="AB200" i="2"/>
  <c r="M200" i="2"/>
  <c r="W145" i="2"/>
  <c r="R145" i="2"/>
  <c r="K145" i="2"/>
  <c r="AA200" i="2"/>
  <c r="AC163" i="2"/>
  <c r="H4" i="2"/>
  <c r="Y102" i="2"/>
  <c r="P165" i="2"/>
  <c r="S80" i="2"/>
  <c r="S215" i="2"/>
  <c r="P40" i="2"/>
  <c r="S41" i="2"/>
  <c r="V86" i="2"/>
  <c r="V56" i="2"/>
  <c r="V217" i="2"/>
  <c r="V60" i="2"/>
  <c r="V89" i="2"/>
  <c r="V29" i="2"/>
  <c r="V214" i="2"/>
  <c r="V46" i="2"/>
  <c r="V2" i="2"/>
  <c r="O178" i="2"/>
  <c r="AC170" i="2"/>
  <c r="P184" i="2"/>
  <c r="H42" i="2"/>
  <c r="Q180" i="2"/>
  <c r="N178" i="2"/>
  <c r="O42" i="2"/>
  <c r="AA184" i="2"/>
  <c r="H184" i="2"/>
  <c r="AB156" i="2"/>
  <c r="S180" i="2"/>
  <c r="W170" i="2"/>
  <c r="R170" i="2"/>
  <c r="K170" i="2"/>
  <c r="AC180" i="2"/>
  <c r="Z140" i="2"/>
  <c r="AA42" i="2"/>
  <c r="Q156" i="2"/>
  <c r="P140" i="2"/>
  <c r="W140" i="2"/>
  <c r="R140" i="2"/>
  <c r="K140" i="2"/>
  <c r="S156" i="2"/>
  <c r="W42" i="2"/>
  <c r="R42" i="2"/>
  <c r="K42" i="2"/>
  <c r="S140" i="2"/>
  <c r="AA78" i="2"/>
  <c r="H180" i="2"/>
  <c r="Q42" i="2"/>
  <c r="P170" i="2"/>
  <c r="Q178" i="2"/>
  <c r="S78" i="2"/>
  <c r="M140" i="2"/>
  <c r="AC78" i="2"/>
  <c r="Z170" i="2"/>
  <c r="N42" i="2"/>
  <c r="Y180" i="2"/>
  <c r="AA170" i="2"/>
  <c r="P178" i="2"/>
  <c r="H178" i="2"/>
  <c r="M180" i="2"/>
  <c r="M119" i="2"/>
  <c r="M78" i="2"/>
  <c r="Y140" i="2"/>
  <c r="N184" i="2"/>
  <c r="Q140" i="2"/>
  <c r="Q119" i="2"/>
  <c r="Y42" i="2"/>
  <c r="B140" i="2"/>
  <c r="AC156" i="2"/>
  <c r="H98" i="2"/>
  <c r="S178" i="2"/>
  <c r="B178" i="2"/>
  <c r="H156" i="2"/>
  <c r="AA98" i="2"/>
  <c r="M42" i="2"/>
  <c r="O78" i="2"/>
  <c r="AB184" i="2"/>
  <c r="Y119" i="2"/>
  <c r="Y98" i="2"/>
  <c r="Z78" i="2"/>
  <c r="Z184" i="2"/>
  <c r="N119" i="2"/>
  <c r="P180" i="2"/>
  <c r="AC140" i="2"/>
  <c r="B42" i="2"/>
  <c r="N98" i="2"/>
  <c r="Y156" i="2"/>
  <c r="B98" i="2"/>
  <c r="M170" i="2"/>
  <c r="M184" i="2"/>
  <c r="AA180" i="2"/>
  <c r="S98" i="2"/>
  <c r="W119" i="2"/>
  <c r="R119" i="2"/>
  <c r="K119" i="2"/>
  <c r="Q170" i="2"/>
  <c r="W98" i="2"/>
  <c r="R98" i="2"/>
  <c r="K98" i="2"/>
  <c r="AB178" i="2"/>
  <c r="Z178" i="2"/>
  <c r="N140" i="2"/>
  <c r="P42" i="2"/>
  <c r="AC178" i="2"/>
  <c r="H78" i="2"/>
  <c r="N170" i="2"/>
  <c r="W180" i="2"/>
  <c r="R180" i="2"/>
  <c r="K180" i="2"/>
  <c r="B180" i="2"/>
  <c r="Q78" i="2"/>
  <c r="H119" i="2"/>
  <c r="Y170" i="2"/>
  <c r="S170" i="2"/>
  <c r="N78" i="2"/>
  <c r="N156" i="2"/>
  <c r="B119" i="2"/>
  <c r="N180" i="2"/>
  <c r="W156" i="2"/>
  <c r="R156" i="2"/>
  <c r="K156" i="2"/>
  <c r="O180" i="2"/>
  <c r="Y178" i="2"/>
  <c r="Q98" i="2"/>
  <c r="AC184" i="2"/>
  <c r="AC42" i="2"/>
  <c r="B156" i="2"/>
  <c r="M178" i="2"/>
  <c r="H140" i="2"/>
  <c r="Q184" i="2"/>
  <c r="P98" i="2"/>
  <c r="Y78" i="2"/>
  <c r="AC119" i="2"/>
  <c r="AB140" i="2"/>
  <c r="AA119" i="2"/>
  <c r="B170" i="2"/>
  <c r="Z119" i="2"/>
  <c r="P156" i="2"/>
  <c r="O98" i="2"/>
  <c r="B184" i="2"/>
  <c r="Z98" i="2"/>
  <c r="AB42" i="2"/>
  <c r="O170" i="2"/>
  <c r="W78" i="2"/>
  <c r="R78" i="2"/>
  <c r="K78" i="2"/>
  <c r="Z156" i="2"/>
  <c r="S42" i="2"/>
  <c r="AB119" i="2"/>
  <c r="P78" i="2"/>
  <c r="B78" i="2"/>
  <c r="S119" i="2"/>
  <c r="O119" i="2"/>
  <c r="O140" i="2"/>
  <c r="O156" i="2"/>
  <c r="AB98" i="2"/>
  <c r="H170" i="2"/>
  <c r="Y184" i="2"/>
  <c r="AA178" i="2"/>
  <c r="M156" i="2"/>
  <c r="Z180" i="2"/>
  <c r="M98" i="2"/>
  <c r="W184" i="2"/>
  <c r="R184" i="2"/>
  <c r="K184" i="2"/>
  <c r="S184" i="2"/>
  <c r="AB170" i="2"/>
  <c r="Z42" i="2"/>
  <c r="AB78" i="2"/>
  <c r="AC98" i="2"/>
  <c r="AA140" i="2"/>
  <c r="O184" i="2"/>
  <c r="W178" i="2"/>
  <c r="R178" i="2"/>
  <c r="K178" i="2"/>
  <c r="AB180" i="2"/>
  <c r="AA156" i="2"/>
  <c r="P119" i="2"/>
  <c r="V57" i="2"/>
  <c r="V195" i="2"/>
  <c r="V145" i="2"/>
  <c r="V170" i="2"/>
  <c r="V48" i="2"/>
  <c r="V58" i="2"/>
  <c r="V109" i="2"/>
  <c r="V158" i="2"/>
  <c r="V18" i="2"/>
  <c r="V127" i="2"/>
  <c r="M147" i="2"/>
  <c r="N155" i="2"/>
  <c r="W63" i="2"/>
  <c r="R63" i="2"/>
  <c r="K63" i="2"/>
  <c r="AC50" i="2"/>
  <c r="N82" i="2"/>
  <c r="W82" i="2"/>
  <c r="R82" i="2"/>
  <c r="K82" i="2"/>
  <c r="B50" i="2"/>
  <c r="B82" i="2"/>
  <c r="H168" i="2"/>
  <c r="AA155" i="2"/>
  <c r="AB214" i="2"/>
  <c r="Z214" i="2"/>
  <c r="H88" i="2"/>
  <c r="AC147" i="2"/>
  <c r="AA17" i="2"/>
  <c r="AA147" i="2"/>
  <c r="P155" i="2"/>
  <c r="M88" i="2"/>
  <c r="H214" i="2"/>
  <c r="M168" i="2"/>
  <c r="Y9" i="2"/>
  <c r="B88" i="2"/>
  <c r="P88" i="2"/>
  <c r="O17" i="2"/>
  <c r="S9" i="2"/>
  <c r="Q50" i="2"/>
  <c r="P63" i="2"/>
  <c r="O147" i="2"/>
  <c r="Z168" i="2"/>
  <c r="AB82" i="2"/>
  <c r="Y82" i="2"/>
  <c r="Z155" i="2"/>
  <c r="S147" i="2"/>
  <c r="S155" i="2"/>
  <c r="AA9" i="2"/>
  <c r="H147" i="2"/>
  <c r="W214" i="2"/>
  <c r="R214" i="2"/>
  <c r="K214" i="2"/>
  <c r="M155" i="2"/>
  <c r="B9" i="2"/>
  <c r="S88" i="2"/>
  <c r="Q63" i="2"/>
  <c r="N147" i="2"/>
  <c r="B147" i="2"/>
  <c r="W50" i="2"/>
  <c r="R50" i="2"/>
  <c r="K50" i="2"/>
  <c r="AA82" i="2"/>
  <c r="W168" i="2"/>
  <c r="R168" i="2"/>
  <c r="K168" i="2"/>
  <c r="Z17" i="2"/>
  <c r="Z147" i="2"/>
  <c r="Y147" i="2"/>
  <c r="O82" i="2"/>
  <c r="AA88" i="2"/>
  <c r="S82" i="2"/>
  <c r="Q214" i="2"/>
  <c r="P50" i="2"/>
  <c r="AB63" i="2"/>
  <c r="Q82" i="2"/>
  <c r="Q168" i="2"/>
  <c r="O155" i="2"/>
  <c r="P9" i="2"/>
  <c r="S214" i="2"/>
  <c r="AC214" i="2"/>
  <c r="Z82" i="2"/>
  <c r="Y168" i="2"/>
  <c r="M50" i="2"/>
  <c r="N17" i="2"/>
  <c r="AC168" i="2"/>
  <c r="P214" i="2"/>
  <c r="M63" i="2"/>
  <c r="N9" i="2"/>
  <c r="N168" i="2"/>
  <c r="S50" i="2"/>
  <c r="W88" i="2"/>
  <c r="R88" i="2"/>
  <c r="K88" i="2"/>
  <c r="AA50" i="2"/>
  <c r="Z63" i="2"/>
  <c r="Q17" i="2"/>
  <c r="B17" i="2"/>
  <c r="AC155" i="2"/>
  <c r="AC17" i="2"/>
  <c r="Y155" i="2"/>
  <c r="W147" i="2"/>
  <c r="R147" i="2"/>
  <c r="K147" i="2"/>
  <c r="W17" i="2"/>
  <c r="R17" i="2"/>
  <c r="K17" i="2"/>
  <c r="M9" i="2"/>
  <c r="B63" i="2"/>
  <c r="Y17" i="2"/>
  <c r="S17" i="2"/>
  <c r="AB155" i="2"/>
  <c r="Q147" i="2"/>
  <c r="Q9" i="2"/>
  <c r="M82" i="2"/>
  <c r="AC82" i="2"/>
  <c r="H9" i="2"/>
  <c r="Y88" i="2"/>
  <c r="AB17" i="2"/>
  <c r="P82" i="2"/>
  <c r="O9" i="2"/>
  <c r="O214" i="2"/>
  <c r="O88" i="2"/>
  <c r="AB168" i="2"/>
  <c r="AA63" i="2"/>
  <c r="B214" i="2"/>
  <c r="B155" i="2"/>
  <c r="H63" i="2"/>
  <c r="W155" i="2"/>
  <c r="R155" i="2"/>
  <c r="K155" i="2"/>
  <c r="AA168" i="2"/>
  <c r="Z88" i="2"/>
  <c r="Y214" i="2"/>
  <c r="AC88" i="2"/>
  <c r="AB88" i="2"/>
  <c r="Z50" i="2"/>
  <c r="N63" i="2"/>
  <c r="P17" i="2"/>
  <c r="S63" i="2"/>
  <c r="Y50" i="2"/>
  <c r="P147" i="2"/>
  <c r="AA214" i="2"/>
  <c r="N50" i="2"/>
  <c r="AB9" i="2"/>
  <c r="AC9" i="2"/>
  <c r="AB50" i="2"/>
  <c r="Z9" i="2"/>
  <c r="H155" i="2"/>
  <c r="B168" i="2"/>
  <c r="O50" i="2"/>
  <c r="O63" i="2"/>
  <c r="S168" i="2"/>
  <c r="P168" i="2"/>
  <c r="N88" i="2"/>
  <c r="Y63" i="2"/>
  <c r="M17" i="2"/>
  <c r="M214" i="2"/>
  <c r="AB147" i="2"/>
  <c r="Q88" i="2"/>
  <c r="N214" i="2"/>
  <c r="H82" i="2"/>
  <c r="Q155" i="2"/>
  <c r="H50" i="2"/>
  <c r="O168" i="2"/>
  <c r="W9" i="2"/>
  <c r="R9" i="2"/>
  <c r="K9" i="2"/>
  <c r="H17" i="2"/>
  <c r="AC63" i="2"/>
  <c r="V186" i="2"/>
  <c r="V192" i="2"/>
  <c r="V193" i="2"/>
  <c r="V52" i="2"/>
  <c r="V28" i="2"/>
  <c r="V189" i="2"/>
  <c r="V116" i="2"/>
  <c r="V160" i="2"/>
  <c r="V132" i="2"/>
  <c r="V103" i="2"/>
  <c r="V76" i="2"/>
  <c r="V140" i="2"/>
  <c r="V219" i="2"/>
  <c r="V112" i="2"/>
  <c r="V26" i="2"/>
  <c r="V99" i="2"/>
  <c r="V15" i="2"/>
  <c r="V87" i="2"/>
  <c r="V234" i="2"/>
  <c r="V101" i="2"/>
  <c r="V222" i="2"/>
  <c r="V197" i="2"/>
  <c r="V41" i="2"/>
  <c r="V16" i="2"/>
  <c r="V198" i="2"/>
  <c r="V104" i="2"/>
  <c r="V54" i="2"/>
  <c r="V152" i="2"/>
  <c r="V161" i="2"/>
  <c r="V74" i="2"/>
  <c r="V12" i="2"/>
  <c r="V142" i="2"/>
  <c r="V210" i="2"/>
  <c r="V19" i="2"/>
  <c r="V231" i="2"/>
  <c r="V35" i="2"/>
  <c r="V118" i="2"/>
  <c r="V191" i="2"/>
  <c r="V133" i="2"/>
  <c r="V113" i="2"/>
  <c r="H216" i="2"/>
  <c r="M146" i="2"/>
  <c r="Z146" i="2"/>
  <c r="M125" i="2"/>
  <c r="Y164" i="2"/>
  <c r="O216" i="2"/>
  <c r="O164" i="2"/>
  <c r="P95" i="2"/>
  <c r="Q124" i="2"/>
  <c r="AA216" i="2"/>
  <c r="W164" i="2"/>
  <c r="R164" i="2"/>
  <c r="K164" i="2"/>
  <c r="B125" i="2"/>
  <c r="Z67" i="2"/>
  <c r="Z14" i="2"/>
  <c r="Y95" i="2"/>
  <c r="O95" i="2"/>
  <c r="O125" i="2"/>
  <c r="S146" i="2"/>
  <c r="O67" i="2"/>
  <c r="AB46" i="2"/>
  <c r="M3" i="2"/>
  <c r="Y67" i="2"/>
  <c r="Z3" i="2"/>
  <c r="M46" i="2"/>
  <c r="N125" i="2"/>
  <c r="N164" i="2"/>
  <c r="P216" i="2"/>
  <c r="W125" i="2"/>
  <c r="R125" i="2"/>
  <c r="K125" i="2"/>
  <c r="P125" i="2"/>
  <c r="S216" i="2"/>
  <c r="AB3" i="2"/>
  <c r="O46" i="2"/>
  <c r="S14" i="2"/>
  <c r="AB124" i="2"/>
  <c r="Y125" i="2"/>
  <c r="Q216" i="2"/>
  <c r="N124" i="2"/>
  <c r="AA164" i="2"/>
  <c r="S3" i="2"/>
  <c r="Q67" i="2"/>
  <c r="P3" i="2"/>
  <c r="W146" i="2"/>
  <c r="R146" i="2"/>
  <c r="K146" i="2"/>
  <c r="M14" i="2"/>
  <c r="O14" i="2"/>
  <c r="W14" i="2"/>
  <c r="R14" i="2"/>
  <c r="K14" i="2"/>
  <c r="M67" i="2"/>
  <c r="N216" i="2"/>
  <c r="P124" i="2"/>
  <c r="B46" i="2"/>
  <c r="P46" i="2"/>
  <c r="H125" i="2"/>
  <c r="Q14" i="2"/>
  <c r="H164" i="2"/>
  <c r="Q3" i="2"/>
  <c r="B67" i="2"/>
  <c r="H3" i="2"/>
  <c r="Y3" i="2"/>
  <c r="M95" i="2"/>
  <c r="AA3" i="2"/>
  <c r="AC146" i="2"/>
  <c r="Z46" i="2"/>
  <c r="B146" i="2"/>
  <c r="Q146" i="2"/>
  <c r="AB95" i="2"/>
  <c r="AB67" i="2"/>
  <c r="AA124" i="2"/>
  <c r="Q95" i="2"/>
  <c r="Y216" i="2"/>
  <c r="M164" i="2"/>
  <c r="W216" i="2"/>
  <c r="R216" i="2"/>
  <c r="K216" i="2"/>
  <c r="N46" i="2"/>
  <c r="S95" i="2"/>
  <c r="Q125" i="2"/>
  <c r="B124" i="2"/>
  <c r="AB216" i="2"/>
  <c r="S125" i="2"/>
  <c r="AC14" i="2"/>
  <c r="Z125" i="2"/>
  <c r="B14" i="2"/>
  <c r="S46" i="2"/>
  <c r="H124" i="2"/>
  <c r="AA95" i="2"/>
  <c r="AA146" i="2"/>
  <c r="H67" i="2"/>
  <c r="Z95" i="2"/>
  <c r="M216" i="2"/>
  <c r="AA14" i="2"/>
  <c r="W46" i="2"/>
  <c r="R46" i="2"/>
  <c r="K46" i="2"/>
  <c r="AC46" i="2"/>
  <c r="S164" i="2"/>
  <c r="B3" i="2"/>
  <c r="Q46" i="2"/>
  <c r="S124" i="2"/>
  <c r="AC164" i="2"/>
  <c r="AB14" i="2"/>
  <c r="AC3" i="2"/>
  <c r="O146" i="2"/>
  <c r="Y46" i="2"/>
  <c r="W124" i="2"/>
  <c r="R124" i="2"/>
  <c r="K124" i="2"/>
  <c r="H95" i="2"/>
  <c r="P146" i="2"/>
  <c r="O124" i="2"/>
  <c r="Z124" i="2"/>
  <c r="P164" i="2"/>
  <c r="AA46" i="2"/>
  <c r="N146" i="2"/>
  <c r="P67" i="2"/>
  <c r="AB125" i="2"/>
  <c r="O3" i="2"/>
  <c r="AB146" i="2"/>
  <c r="AC67" i="2"/>
  <c r="B95" i="2"/>
  <c r="H14" i="2"/>
  <c r="S67" i="2"/>
  <c r="W67" i="2"/>
  <c r="R67" i="2"/>
  <c r="K67" i="2"/>
  <c r="P14" i="2"/>
  <c r="AC216" i="2"/>
  <c r="Q164" i="2"/>
  <c r="M124" i="2"/>
  <c r="H146" i="2"/>
  <c r="Z216" i="2"/>
  <c r="AC95" i="2"/>
  <c r="AC124" i="2"/>
  <c r="N67" i="2"/>
  <c r="N14" i="2"/>
  <c r="AA125" i="2"/>
  <c r="B164" i="2"/>
  <c r="N95" i="2"/>
  <c r="AB164" i="2"/>
  <c r="W3" i="2"/>
  <c r="R3" i="2"/>
  <c r="K3" i="2"/>
  <c r="Y124" i="2"/>
  <c r="Y146" i="2"/>
  <c r="AC125" i="2"/>
  <c r="Y14" i="2"/>
  <c r="Z164" i="2"/>
  <c r="B216" i="2"/>
  <c r="H46" i="2"/>
  <c r="W95" i="2"/>
  <c r="R95" i="2"/>
  <c r="K95" i="2"/>
  <c r="N3" i="2"/>
  <c r="AA67" i="2"/>
  <c r="V7" i="2"/>
  <c r="V121" i="2"/>
  <c r="V143" i="2"/>
  <c r="V92" i="2"/>
  <c r="V22" i="2"/>
  <c r="V163" i="2"/>
  <c r="V206" i="2"/>
  <c r="V209" i="2"/>
  <c r="V27" i="2"/>
  <c r="V235" i="2"/>
  <c r="AB141" i="2"/>
  <c r="P116" i="2"/>
  <c r="B116" i="2"/>
  <c r="Z70" i="2"/>
  <c r="P70" i="2"/>
  <c r="N116" i="2"/>
  <c r="Q207" i="2"/>
  <c r="B220" i="2"/>
  <c r="Q36" i="2"/>
  <c r="S116" i="2"/>
  <c r="Y116" i="2"/>
  <c r="Y220" i="2"/>
  <c r="Q5" i="2"/>
  <c r="H207" i="2"/>
  <c r="Q116" i="2"/>
  <c r="N70" i="2"/>
  <c r="AA70" i="2"/>
  <c r="O220" i="2"/>
  <c r="Q70" i="2"/>
  <c r="M45" i="2"/>
  <c r="AC12" i="2"/>
  <c r="O70" i="2"/>
  <c r="H36" i="2"/>
  <c r="S207" i="2"/>
  <c r="P220" i="2"/>
  <c r="AA116" i="2"/>
  <c r="W12" i="2"/>
  <c r="R12" i="2"/>
  <c r="K12" i="2"/>
  <c r="Y77" i="2"/>
  <c r="H141" i="2"/>
  <c r="AA220" i="2"/>
  <c r="O116" i="2"/>
  <c r="Z12" i="2"/>
  <c r="S141" i="2"/>
  <c r="Y70" i="2"/>
  <c r="P141" i="2"/>
  <c r="AB116" i="2"/>
  <c r="H5" i="2"/>
  <c r="B141" i="2"/>
  <c r="Y36" i="2"/>
  <c r="M116" i="2"/>
  <c r="Z77" i="2"/>
  <c r="S220" i="2"/>
  <c r="Z220" i="2"/>
  <c r="O207" i="2"/>
  <c r="AC45" i="2"/>
  <c r="Z5" i="2"/>
  <c r="AC220" i="2"/>
  <c r="Z36" i="2"/>
  <c r="AC70" i="2"/>
  <c r="Q220" i="2"/>
  <c r="B36" i="2"/>
  <c r="AB220" i="2"/>
  <c r="H45" i="2"/>
  <c r="P45" i="2"/>
  <c r="AB12" i="2"/>
  <c r="Z45" i="2"/>
  <c r="W36" i="2"/>
  <c r="R36" i="2"/>
  <c r="K36" i="2"/>
  <c r="AB36" i="2"/>
  <c r="Z141" i="2"/>
  <c r="AC36" i="2"/>
  <c r="N220" i="2"/>
  <c r="B70" i="2"/>
  <c r="AA12" i="2"/>
  <c r="B77" i="2"/>
  <c r="AC207" i="2"/>
  <c r="O12" i="2"/>
  <c r="W116" i="2"/>
  <c r="R116" i="2"/>
  <c r="K116" i="2"/>
  <c r="AB45" i="2"/>
  <c r="B12" i="2"/>
  <c r="Y12" i="2"/>
  <c r="AA77" i="2"/>
  <c r="Y45" i="2"/>
  <c r="AB77" i="2"/>
  <c r="B5" i="2"/>
  <c r="S70" i="2"/>
  <c r="H77" i="2"/>
  <c r="S77" i="2"/>
  <c r="M220" i="2"/>
  <c r="P12" i="2"/>
  <c r="Z116" i="2"/>
  <c r="W5" i="2"/>
  <c r="R5" i="2"/>
  <c r="K5" i="2"/>
  <c r="AA45" i="2"/>
  <c r="N12" i="2"/>
  <c r="Q45" i="2"/>
  <c r="O36" i="2"/>
  <c r="Y5" i="2"/>
  <c r="W77" i="2"/>
  <c r="R77" i="2"/>
  <c r="K77" i="2"/>
  <c r="W70" i="2"/>
  <c r="R70" i="2"/>
  <c r="K70" i="2"/>
  <c r="N45" i="2"/>
  <c r="N207" i="2"/>
  <c r="H70" i="2"/>
  <c r="AA5" i="2"/>
  <c r="M5" i="2"/>
  <c r="AA207" i="2"/>
  <c r="P36" i="2"/>
  <c r="M12" i="2"/>
  <c r="O77" i="2"/>
  <c r="W207" i="2"/>
  <c r="R207" i="2"/>
  <c r="K207" i="2"/>
  <c r="H220" i="2"/>
  <c r="S5" i="2"/>
  <c r="AA141" i="2"/>
  <c r="AC77" i="2"/>
  <c r="O5" i="2"/>
  <c r="P207" i="2"/>
  <c r="AC5" i="2"/>
  <c r="AA36" i="2"/>
  <c r="AC141" i="2"/>
  <c r="Y207" i="2"/>
  <c r="B45" i="2"/>
  <c r="P77" i="2"/>
  <c r="Q141" i="2"/>
  <c r="S45" i="2"/>
  <c r="M207" i="2"/>
  <c r="Q77" i="2"/>
  <c r="S12" i="2"/>
  <c r="M77" i="2"/>
  <c r="Y141" i="2"/>
  <c r="M70" i="2"/>
  <c r="AB5" i="2"/>
  <c r="Z207" i="2"/>
  <c r="O141" i="2"/>
  <c r="W141" i="2"/>
  <c r="R141" i="2"/>
  <c r="K141" i="2"/>
  <c r="S36" i="2"/>
  <c r="Q12" i="2"/>
  <c r="M36" i="2"/>
  <c r="AB207" i="2"/>
  <c r="AC116" i="2"/>
  <c r="M141" i="2"/>
  <c r="W45" i="2"/>
  <c r="R45" i="2"/>
  <c r="K45" i="2"/>
  <c r="P5" i="2"/>
  <c r="N5" i="2"/>
  <c r="N36" i="2"/>
  <c r="B207" i="2"/>
  <c r="H116" i="2"/>
  <c r="N77" i="2"/>
  <c r="W220" i="2"/>
  <c r="R220" i="2"/>
  <c r="K220" i="2"/>
  <c r="H12" i="2"/>
  <c r="N141" i="2"/>
  <c r="O45" i="2"/>
  <c r="AB70" i="2"/>
  <c r="V153" i="2"/>
  <c r="V208" i="2"/>
  <c r="V55" i="2"/>
  <c r="V175" i="2"/>
  <c r="V37" i="2"/>
  <c r="V183" i="2"/>
  <c r="V157" i="2"/>
  <c r="V228" i="2"/>
  <c r="V105" i="2"/>
  <c r="V223" i="2"/>
  <c r="V224" i="2"/>
  <c r="V207" i="2"/>
  <c r="V179" i="2"/>
  <c r="V141" i="2"/>
  <c r="V96" i="2"/>
  <c r="V115" i="2"/>
  <c r="V194" i="2"/>
  <c r="V148" i="2"/>
  <c r="V137" i="2"/>
  <c r="V39" i="2"/>
  <c r="V129" i="2"/>
  <c r="V98" i="2"/>
  <c r="V117" i="2"/>
  <c r="V227" i="2"/>
  <c r="V47" i="2"/>
  <c r="V68" i="2"/>
  <c r="V239" i="2"/>
  <c r="V168" i="2"/>
  <c r="V218" i="2"/>
  <c r="V237" i="2"/>
  <c r="V24" i="2"/>
  <c r="V124" i="2"/>
  <c r="V97" i="2"/>
  <c r="V238" i="2"/>
  <c r="V21" i="2"/>
  <c r="V88" i="2"/>
  <c r="V66" i="2"/>
  <c r="V156" i="2"/>
  <c r="V151" i="2"/>
  <c r="V5" i="2"/>
  <c r="V171" i="2"/>
  <c r="V64" i="2"/>
  <c r="V205" i="2"/>
  <c r="V135" i="2"/>
  <c r="V188" i="2"/>
  <c r="V130" i="2"/>
  <c r="V230" i="2"/>
  <c r="V17" i="2"/>
  <c r="V212" i="2"/>
  <c r="V203" i="2"/>
  <c r="V13" i="2"/>
  <c r="V69" i="2"/>
  <c r="V42" i="2"/>
  <c r="V213" i="2"/>
  <c r="V128" i="2"/>
  <c r="V83" i="2"/>
  <c r="V166" i="2"/>
  <c r="V40" i="2"/>
  <c r="V59" i="2"/>
  <c r="V204" i="2"/>
  <c r="V70" i="2"/>
  <c r="V144" i="2"/>
  <c r="V184" i="2"/>
  <c r="V31" i="2"/>
  <c r="V233" i="2"/>
  <c r="V11" i="2"/>
  <c r="V102" i="2"/>
  <c r="V79" i="2"/>
  <c r="V34" i="2"/>
  <c r="V111" i="2"/>
  <c r="V62" i="2"/>
  <c r="V174" i="2"/>
  <c r="V176" i="2"/>
  <c r="V80" i="2"/>
  <c r="V8" i="2"/>
  <c r="V180" i="2"/>
  <c r="V38" i="2"/>
  <c r="V200" i="2"/>
  <c r="V100" i="2"/>
  <c r="V190" i="2"/>
  <c r="V240" i="2"/>
  <c r="V165" i="2"/>
  <c r="V4" i="2"/>
  <c r="V30" i="2"/>
  <c r="V91" i="2"/>
  <c r="V33" i="2"/>
  <c r="V221" i="2"/>
  <c r="V122" i="2"/>
  <c r="V51" i="2"/>
  <c r="V53" i="2"/>
  <c r="V136" i="2"/>
  <c r="V36" i="2"/>
  <c r="V211" i="2"/>
  <c r="V63" i="2"/>
  <c r="V85" i="2"/>
  <c r="V178" i="2"/>
  <c r="V45" i="2"/>
  <c r="V187" i="2"/>
  <c r="V125" i="2"/>
  <c r="V73" i="2"/>
  <c r="V72" i="2"/>
  <c r="V49" i="2"/>
  <c r="V14" i="2"/>
  <c r="V199" i="2"/>
  <c r="V94" i="2"/>
  <c r="V114" i="2"/>
  <c r="V43" i="2"/>
  <c r="V84" i="2"/>
  <c r="V167" i="2"/>
  <c r="V196" i="2"/>
  <c r="V159" i="2"/>
  <c r="V77" i="2"/>
  <c r="V138" i="2"/>
  <c r="V172" i="2"/>
  <c r="V78" i="2"/>
  <c r="V120" i="2"/>
  <c r="V32" i="2"/>
  <c r="V44" i="2"/>
  <c r="V185" i="2"/>
  <c r="V67" i="2"/>
  <c r="X117" i="2"/>
  <c r="X169" i="2"/>
  <c r="X129" i="2"/>
  <c r="X45" i="2"/>
  <c r="X155" i="2"/>
  <c r="X151" i="2"/>
  <c r="X193" i="2"/>
  <c r="X85" i="2"/>
  <c r="X83" i="2"/>
  <c r="X53" i="2"/>
  <c r="V173" i="2"/>
  <c r="V75" i="2"/>
  <c r="V95" i="2"/>
  <c r="V236" i="2"/>
  <c r="V146" i="2"/>
  <c r="V226" i="2"/>
  <c r="V216" i="2"/>
  <c r="V182" i="2"/>
  <c r="V6" i="2"/>
  <c r="V123" i="2"/>
  <c r="V90" i="2"/>
  <c r="V164" i="2"/>
  <c r="V93" i="2"/>
  <c r="V25" i="2"/>
  <c r="V232" i="2"/>
  <c r="V61" i="2"/>
  <c r="V81" i="2"/>
  <c r="V177" i="2"/>
  <c r="V50" i="2"/>
  <c r="V150" i="2"/>
  <c r="V225" i="2"/>
  <c r="V139" i="2"/>
  <c r="V20" i="2"/>
  <c r="V10" i="2"/>
  <c r="V131" i="2"/>
  <c r="V229" i="2"/>
  <c r="V126" i="2"/>
  <c r="V220" i="2"/>
  <c r="V3" i="2"/>
  <c r="V110" i="2"/>
  <c r="X80" i="2"/>
  <c r="X133" i="2"/>
  <c r="X84" i="2"/>
  <c r="X19" i="2"/>
  <c r="X239" i="2"/>
  <c r="X59" i="2"/>
  <c r="X68" i="2"/>
  <c r="X201" i="2"/>
  <c r="X121" i="2"/>
  <c r="X39" i="2"/>
  <c r="V181" i="2"/>
  <c r="V154" i="2"/>
  <c r="V169" i="2"/>
  <c r="V107" i="2"/>
  <c r="V65" i="2"/>
  <c r="V147" i="2"/>
  <c r="V155" i="2"/>
  <c r="V9" i="2"/>
  <c r="V108" i="2"/>
  <c r="V215" i="2"/>
  <c r="X134" i="2"/>
  <c r="X33" i="2"/>
  <c r="X116" i="2"/>
  <c r="X190" i="2"/>
  <c r="X64" i="2"/>
  <c r="X192" i="2"/>
  <c r="X175" i="2"/>
  <c r="X74" i="2"/>
  <c r="X63" i="2"/>
  <c r="X18" i="2"/>
  <c r="V119" i="2"/>
  <c r="V202" i="2"/>
  <c r="V162" i="2"/>
  <c r="V201" i="2"/>
  <c r="V23" i="2"/>
  <c r="V149" i="2"/>
  <c r="V106" i="2"/>
  <c r="V134" i="2"/>
  <c r="V82" i="2"/>
  <c r="V71" i="2"/>
  <c r="X120" i="2"/>
  <c r="X167" i="2"/>
  <c r="X92" i="2"/>
  <c r="X67" i="2"/>
  <c r="X97" i="2"/>
  <c r="X24" i="2"/>
  <c r="X12" i="2"/>
  <c r="X221" i="2"/>
  <c r="X191" i="2"/>
  <c r="X8" i="2"/>
  <c r="X136" i="2"/>
  <c r="X162" i="2"/>
  <c r="X164" i="2"/>
  <c r="X180" i="2"/>
  <c r="X158" i="2"/>
  <c r="X35" i="2"/>
  <c r="X101" i="2"/>
  <c r="X148" i="2"/>
  <c r="X152" i="2"/>
  <c r="X212" i="2"/>
  <c r="X89" i="2"/>
  <c r="X31" i="2"/>
  <c r="X137" i="2"/>
  <c r="X62" i="2"/>
  <c r="X40" i="2"/>
  <c r="X15" i="2"/>
  <c r="X144" i="2"/>
  <c r="X170" i="2"/>
  <c r="X17" i="2"/>
  <c r="X220" i="2"/>
  <c r="X58" i="2"/>
  <c r="X160" i="2"/>
  <c r="X237" i="2"/>
  <c r="X56" i="2"/>
  <c r="X47" i="2"/>
  <c r="X87" i="2"/>
  <c r="X29" i="2"/>
  <c r="X189" i="2"/>
  <c r="X139" i="2"/>
  <c r="X16" i="2"/>
  <c r="X26" i="2"/>
  <c r="X111" i="2"/>
  <c r="X95" i="2"/>
  <c r="X57" i="2"/>
  <c r="X186" i="2"/>
  <c r="X231" i="2"/>
  <c r="X223" i="2"/>
  <c r="X143" i="2"/>
  <c r="X54" i="2"/>
  <c r="X232" i="2"/>
  <c r="X147" i="2"/>
  <c r="X2" i="2"/>
  <c r="X219" i="2"/>
  <c r="X141" i="2"/>
  <c r="X113" i="2"/>
  <c r="X25" i="2"/>
  <c r="X165" i="2"/>
  <c r="X9" i="2"/>
  <c r="X37" i="2"/>
  <c r="X44" i="2"/>
  <c r="X38" i="2"/>
  <c r="X51" i="2"/>
  <c r="X66" i="2"/>
  <c r="X102" i="2"/>
  <c r="X94" i="2"/>
  <c r="X21" i="2"/>
  <c r="X176" i="2"/>
  <c r="X27" i="2"/>
  <c r="X150" i="2"/>
  <c r="X112" i="2"/>
  <c r="X174" i="2"/>
  <c r="X213" i="2"/>
  <c r="X13" i="2"/>
  <c r="X4" i="2"/>
  <c r="X122" i="2"/>
  <c r="X114" i="2"/>
  <c r="X172" i="2"/>
  <c r="X22" i="2"/>
  <c r="X132" i="2"/>
  <c r="X46" i="2"/>
  <c r="X88" i="2"/>
  <c r="X153" i="2"/>
  <c r="X204" i="2"/>
  <c r="X115" i="2"/>
  <c r="X60" i="2"/>
  <c r="X3" i="2"/>
  <c r="X77" i="2"/>
  <c r="X70" i="2"/>
  <c r="X218" i="2"/>
  <c r="X226" i="2"/>
  <c r="X52" i="2"/>
  <c r="X100" i="2"/>
  <c r="X127" i="2"/>
  <c r="X199" i="2"/>
  <c r="X208" i="2"/>
  <c r="X217" i="2"/>
  <c r="X69" i="2"/>
  <c r="X28" i="2"/>
  <c r="X230" i="2"/>
  <c r="X130" i="2"/>
  <c r="X195" i="2"/>
  <c r="X211" i="2"/>
  <c r="X81" i="2"/>
  <c r="X79" i="2"/>
  <c r="X173" i="2"/>
  <c r="X222" i="2"/>
  <c r="X210" i="2"/>
  <c r="X34" i="2"/>
  <c r="X187" i="2"/>
  <c r="X55" i="2"/>
  <c r="X105" i="2"/>
  <c r="X215" i="2"/>
  <c r="X203" i="2"/>
  <c r="X177" i="2"/>
  <c r="X229" i="2"/>
  <c r="X14" i="2"/>
  <c r="X235" i="2"/>
  <c r="X224" i="2"/>
  <c r="X163" i="2"/>
  <c r="X236" i="2"/>
  <c r="X154" i="2"/>
  <c r="X11" i="2"/>
  <c r="X76" i="2"/>
  <c r="X82" i="2"/>
  <c r="X110" i="2"/>
  <c r="X227" i="2"/>
  <c r="X166" i="2"/>
  <c r="X93" i="2"/>
  <c r="X99" i="2"/>
  <c r="L157" i="2"/>
  <c r="L208" i="2"/>
  <c r="L130" i="2"/>
  <c r="L219" i="2"/>
  <c r="L165" i="2"/>
  <c r="L79" i="2"/>
  <c r="L217" i="2"/>
  <c r="L39" i="2"/>
  <c r="L92" i="2"/>
  <c r="L129" i="2"/>
  <c r="L109" i="2"/>
  <c r="L161" i="2"/>
  <c r="L70" i="2"/>
  <c r="L96" i="2"/>
  <c r="L67" i="2"/>
  <c r="L196" i="2"/>
  <c r="L173" i="2"/>
  <c r="L44" i="2"/>
  <c r="L155" i="2"/>
  <c r="L226" i="2"/>
  <c r="L55" i="2"/>
  <c r="L168" i="2"/>
  <c r="L124" i="2"/>
  <c r="L125" i="2"/>
  <c r="L108" i="2"/>
  <c r="L91" i="2"/>
  <c r="L148" i="2"/>
  <c r="L94" i="2"/>
  <c r="L12" i="2"/>
  <c r="L227" i="2"/>
  <c r="L200" i="2"/>
  <c r="L127" i="2"/>
  <c r="L220" i="2"/>
  <c r="L162" i="2"/>
  <c r="L48" i="2"/>
  <c r="L13" i="2"/>
  <c r="L128" i="2"/>
  <c r="L188" i="2"/>
  <c r="L231" i="2"/>
  <c r="L147" i="2"/>
  <c r="L206" i="2"/>
  <c r="L159" i="2"/>
  <c r="L185" i="2"/>
  <c r="L180" i="2"/>
  <c r="L183" i="2"/>
  <c r="L230" i="2"/>
  <c r="L6" i="2"/>
  <c r="L131" i="2"/>
  <c r="L158" i="2"/>
  <c r="L121" i="2"/>
  <c r="L203" i="2"/>
  <c r="L202" i="2"/>
  <c r="L115" i="2"/>
  <c r="L135" i="2"/>
  <c r="L133" i="2"/>
  <c r="L64" i="2"/>
  <c r="L5" i="2"/>
  <c r="L59" i="2"/>
  <c r="L110" i="2"/>
  <c r="L205" i="2"/>
  <c r="L119" i="2"/>
  <c r="L4" i="2"/>
  <c r="L97" i="2"/>
  <c r="L102" i="2"/>
  <c r="L75" i="2"/>
  <c r="L186" i="2"/>
  <c r="L166" i="2"/>
  <c r="L26" i="2"/>
  <c r="L16" i="2"/>
  <c r="L179" i="2"/>
  <c r="L201" i="2"/>
  <c r="L112" i="2"/>
  <c r="L73" i="2"/>
  <c r="L175" i="2"/>
  <c r="L207" i="2"/>
  <c r="L47" i="2"/>
  <c r="L237" i="2"/>
  <c r="L156" i="2"/>
  <c r="L105" i="2"/>
  <c r="L177" i="2"/>
  <c r="L82" i="2"/>
  <c r="L25" i="2"/>
  <c r="L240" i="2"/>
  <c r="L32" i="2"/>
  <c r="L174" i="2"/>
  <c r="L93" i="2"/>
  <c r="L90" i="2"/>
  <c r="L194" i="2"/>
  <c r="L24" i="2"/>
  <c r="L197" i="2"/>
  <c r="L45" i="2"/>
  <c r="L101" i="2"/>
  <c r="L27" i="2"/>
  <c r="L98" i="2"/>
  <c r="L221" i="2"/>
  <c r="L218" i="2"/>
  <c r="L69" i="2"/>
  <c r="L103" i="2"/>
  <c r="L76" i="2"/>
  <c r="L214" i="2"/>
  <c r="L61" i="2"/>
  <c r="L11" i="2"/>
  <c r="L160" i="2"/>
  <c r="L60" i="2"/>
  <c r="L104" i="2"/>
  <c r="L167" i="2"/>
  <c r="L211" i="2"/>
  <c r="L164" i="2"/>
  <c r="L235" i="2"/>
  <c r="L138" i="2"/>
  <c r="L224" i="2"/>
  <c r="L56" i="2"/>
  <c r="L170" i="2"/>
  <c r="L134" i="2"/>
  <c r="L199" i="2"/>
  <c r="L15" i="2"/>
  <c r="L20" i="2"/>
  <c r="L172" i="2"/>
  <c r="X168" i="2"/>
  <c r="X20" i="2"/>
  <c r="X125" i="2"/>
  <c r="X78" i="2"/>
  <c r="X41" i="2"/>
  <c r="X149" i="2"/>
  <c r="X49" i="2"/>
  <c r="X194" i="2"/>
  <c r="X196" i="2"/>
  <c r="X104" i="2"/>
  <c r="L66" i="2"/>
  <c r="L198" i="2"/>
  <c r="L169" i="2"/>
  <c r="L213" i="2"/>
  <c r="L234" i="2"/>
  <c r="L223" i="2"/>
  <c r="L116" i="2"/>
  <c r="L17" i="2"/>
  <c r="L149" i="2"/>
  <c r="L7" i="2"/>
  <c r="L239" i="2"/>
  <c r="L74" i="2"/>
  <c r="L87" i="2"/>
  <c r="L68" i="2"/>
  <c r="L51" i="2"/>
  <c r="L8" i="2"/>
  <c r="L191" i="2"/>
  <c r="L14" i="2"/>
  <c r="L122" i="2"/>
  <c r="L41" i="2"/>
  <c r="L42" i="2"/>
  <c r="L232" i="2"/>
  <c r="L150" i="2"/>
  <c r="L53" i="2"/>
  <c r="L120" i="2"/>
  <c r="L84" i="2"/>
  <c r="L114" i="2"/>
  <c r="L88" i="2"/>
  <c r="L38" i="2"/>
  <c r="L52" i="2"/>
  <c r="L145" i="2"/>
  <c r="L236" i="2"/>
  <c r="L106" i="2"/>
  <c r="L178" i="2"/>
  <c r="L86" i="2"/>
  <c r="L189" i="2"/>
  <c r="L85" i="2"/>
  <c r="L43" i="2"/>
  <c r="L139" i="2"/>
  <c r="L152" i="2"/>
  <c r="L222" i="2"/>
  <c r="L212" i="2"/>
  <c r="L238" i="2"/>
  <c r="L23" i="2"/>
  <c r="L107" i="2"/>
  <c r="L182" i="2"/>
  <c r="L228" i="2"/>
  <c r="L171" i="2"/>
  <c r="L46" i="2"/>
  <c r="L123" i="2"/>
  <c r="X171" i="2"/>
  <c r="X23" i="2"/>
  <c r="X6" i="2"/>
  <c r="X7" i="2"/>
  <c r="X98" i="2"/>
  <c r="X42" i="2"/>
  <c r="X65" i="2"/>
  <c r="X126" i="2"/>
  <c r="X206" i="2"/>
  <c r="X156" i="2"/>
  <c r="L229" i="2"/>
  <c r="L153" i="2"/>
  <c r="L143" i="2"/>
  <c r="L62" i="2"/>
  <c r="L10" i="2"/>
  <c r="L77" i="2"/>
  <c r="L33" i="2"/>
  <c r="L35" i="2"/>
  <c r="L140" i="2"/>
  <c r="L118" i="2"/>
  <c r="L210" i="2"/>
  <c r="L78" i="2"/>
  <c r="L132" i="2"/>
  <c r="L215" i="2"/>
  <c r="L34" i="2"/>
  <c r="L111" i="2"/>
  <c r="L209" i="2"/>
  <c r="L176" i="2"/>
  <c r="L37" i="2"/>
  <c r="L30" i="2"/>
  <c r="L50" i="2"/>
  <c r="L71" i="2"/>
  <c r="L126" i="2"/>
  <c r="L154" i="2"/>
  <c r="L57" i="2"/>
  <c r="L21" i="2"/>
  <c r="L58" i="2"/>
  <c r="L54" i="2"/>
  <c r="L95" i="2"/>
  <c r="L28" i="2"/>
  <c r="L100" i="2"/>
  <c r="L9" i="2"/>
  <c r="L225" i="2"/>
  <c r="L19" i="2"/>
  <c r="L184" i="2"/>
  <c r="L72" i="2"/>
  <c r="L144" i="2"/>
  <c r="L18" i="2"/>
  <c r="L65" i="2"/>
  <c r="L195" i="2"/>
  <c r="L117" i="2"/>
  <c r="L3" i="2"/>
  <c r="L141" i="2"/>
  <c r="L193" i="2"/>
  <c r="L192" i="2"/>
  <c r="L113" i="2"/>
  <c r="L233" i="2"/>
  <c r="L29" i="2"/>
  <c r="L31" i="2"/>
  <c r="L187" i="2"/>
  <c r="X73" i="2"/>
  <c r="X182" i="2"/>
  <c r="X123" i="2"/>
  <c r="X72" i="2"/>
  <c r="X214" i="2"/>
  <c r="X135" i="2"/>
  <c r="X145" i="2"/>
  <c r="X107" i="2"/>
  <c r="X48" i="2"/>
  <c r="X5" i="2"/>
  <c r="X71" i="2"/>
  <c r="X179" i="2"/>
  <c r="X183" i="2"/>
  <c r="X161" i="2"/>
  <c r="X103" i="2"/>
  <c r="X200" i="2"/>
  <c r="X124" i="2"/>
  <c r="X142" i="2"/>
  <c r="X106" i="2"/>
  <c r="X216" i="2"/>
  <c r="X30" i="2"/>
  <c r="X140" i="2"/>
  <c r="X90" i="2"/>
  <c r="X181" i="2"/>
  <c r="X178" i="2"/>
  <c r="X157" i="2"/>
  <c r="X146" i="2"/>
  <c r="X225" i="2"/>
  <c r="X233" i="2"/>
  <c r="X10" i="2"/>
  <c r="X185" i="2"/>
  <c r="X138" i="2"/>
  <c r="X118" i="2"/>
  <c r="X108" i="2"/>
  <c r="X159" i="2"/>
  <c r="X91" i="2"/>
  <c r="X32" i="2"/>
  <c r="X240" i="2"/>
  <c r="X36" i="2"/>
  <c r="X131" i="2"/>
  <c r="L83" i="2"/>
  <c r="L204" i="2"/>
  <c r="L181" i="2"/>
  <c r="L22" i="2"/>
  <c r="L80" i="2"/>
  <c r="L40" i="2"/>
  <c r="L163" i="2"/>
  <c r="L36" i="2"/>
  <c r="L81" i="2"/>
  <c r="L146" i="2"/>
  <c r="L216" i="2"/>
  <c r="L136" i="2"/>
  <c r="L49" i="2"/>
  <c r="L190" i="2"/>
  <c r="L63" i="2"/>
  <c r="L99" i="2"/>
  <c r="L89" i="2"/>
  <c r="L142" i="2"/>
  <c r="L151" i="2"/>
  <c r="L137" i="2"/>
  <c r="X43" i="2"/>
  <c r="X209" i="2"/>
  <c r="X228" i="2"/>
  <c r="X205" i="2"/>
  <c r="X61" i="2"/>
  <c r="X188" i="2"/>
  <c r="X109" i="2"/>
  <c r="X207" i="2"/>
  <c r="X184" i="2"/>
  <c r="X75" i="2"/>
  <c r="X96" i="2"/>
  <c r="X198" i="2"/>
  <c r="X238" i="2"/>
  <c r="X234" i="2"/>
  <c r="X128" i="2"/>
  <c r="X86" i="2"/>
  <c r="X50" i="2"/>
  <c r="X119" i="2"/>
  <c r="X202" i="2"/>
  <c r="X197" i="2"/>
</calcChain>
</file>

<file path=xl/sharedStrings.xml><?xml version="1.0" encoding="utf-8"?>
<sst xmlns="http://schemas.openxmlformats.org/spreadsheetml/2006/main" count="3700" uniqueCount="793">
  <si>
    <t>Ticker</t>
  </si>
  <si>
    <t>Long Comp Name</t>
  </si>
  <si>
    <t>Fd Flow (Interval)</t>
  </si>
  <si>
    <t>2024 ADT</t>
  </si>
  <si>
    <t>TrdVal (Interval)</t>
  </si>
  <si>
    <t>Tot Assets (Interval)</t>
  </si>
  <si>
    <t>Avg AUM Oct 25-Mar26</t>
  </si>
  <si>
    <t>Leverage Typ</t>
  </si>
  <si>
    <t>Formula Col. 1</t>
  </si>
  <si>
    <t>Inception Dt</t>
  </si>
  <si>
    <t>Trnovr Exch Ratio (Interval)</t>
  </si>
  <si>
    <t>ShrOut</t>
  </si>
  <si>
    <t>%TR YTD</t>
  </si>
  <si>
    <t>%YTD</t>
  </si>
  <si>
    <t>%1M</t>
  </si>
  <si>
    <t>Listing Date</t>
  </si>
  <si>
    <t>Avg D Val Traded 3M</t>
  </si>
  <si>
    <t>Hist Mkt Cap (Interval)</t>
  </si>
  <si>
    <t>Mkt Cap (Interval)</t>
  </si>
  <si>
    <t>Parent Co</t>
  </si>
  <si>
    <t>NAV Cur</t>
  </si>
  <si>
    <t>Geo Focus</t>
  </si>
  <si>
    <t>Asset Focus</t>
  </si>
  <si>
    <t>Last Px</t>
  </si>
  <si>
    <t>Time WAVG Bid Ask Sprd Pct (Interval)</t>
  </si>
  <si>
    <t>Avg Bid Ask Sprd % (Interval)</t>
  </si>
  <si>
    <t>2800 HK</t>
  </si>
  <si>
    <t>2828 HK</t>
  </si>
  <si>
    <t>7747 HK</t>
  </si>
  <si>
    <t>2839 HK</t>
  </si>
  <si>
    <t>3121 HK</t>
  </si>
  <si>
    <t>#ERROR</t>
  </si>
  <si>
    <t>3188 HK</t>
  </si>
  <si>
    <t>3441 HK</t>
  </si>
  <si>
    <t>7200 HK</t>
  </si>
  <si>
    <t>7226 HK</t>
  </si>
  <si>
    <t>3483 HK</t>
  </si>
  <si>
    <t>3033 HK</t>
  </si>
  <si>
    <t>3489 HK</t>
  </si>
  <si>
    <t>3191 HK</t>
  </si>
  <si>
    <t>3115 HK</t>
  </si>
  <si>
    <t>3119 HK</t>
  </si>
  <si>
    <t>2802 HK</t>
  </si>
  <si>
    <t>3466 HK</t>
  </si>
  <si>
    <t>3419 HK</t>
  </si>
  <si>
    <t>3067 HK</t>
  </si>
  <si>
    <t>3151 HK</t>
  </si>
  <si>
    <t>7347 HK</t>
  </si>
  <si>
    <t>3086 HK</t>
  </si>
  <si>
    <t>3145 HK</t>
  </si>
  <si>
    <t>3069 HK</t>
  </si>
  <si>
    <t>3195 HK</t>
  </si>
  <si>
    <t>3431 HK</t>
  </si>
  <si>
    <t>3417 HK</t>
  </si>
  <si>
    <t>2825 HK</t>
  </si>
  <si>
    <t>3110 HK</t>
  </si>
  <si>
    <t>3076 HK</t>
  </si>
  <si>
    <t>7288 HK</t>
  </si>
  <si>
    <t>3451 HK</t>
  </si>
  <si>
    <t>3415 HK</t>
  </si>
  <si>
    <t>3416 HK</t>
  </si>
  <si>
    <t>3074 HK</t>
  </si>
  <si>
    <t>3437 HK</t>
  </si>
  <si>
    <t>3132 HK</t>
  </si>
  <si>
    <t>3190 HK</t>
  </si>
  <si>
    <t>7515 HK</t>
  </si>
  <si>
    <t>3509 HK</t>
  </si>
  <si>
    <t>3589 HK</t>
  </si>
  <si>
    <t>7799 HK</t>
  </si>
  <si>
    <t>3422 HK</t>
  </si>
  <si>
    <t>3579 HK</t>
  </si>
  <si>
    <t>3187 HK</t>
  </si>
  <si>
    <t>3134 HK</t>
  </si>
  <si>
    <t>3439 HK</t>
  </si>
  <si>
    <t>3006 HK</t>
  </si>
  <si>
    <t>2814 HK</t>
  </si>
  <si>
    <t>2838 HK</t>
  </si>
  <si>
    <t>2801 HK</t>
  </si>
  <si>
    <t>2805 HK</t>
  </si>
  <si>
    <t>2806 HK</t>
  </si>
  <si>
    <t>2807 HK</t>
  </si>
  <si>
    <t>2809 HK</t>
  </si>
  <si>
    <t>2810 HK</t>
  </si>
  <si>
    <t>2812 HK</t>
  </si>
  <si>
    <t>2815 HK</t>
  </si>
  <si>
    <t>2817 HK</t>
  </si>
  <si>
    <t>2818 HK</t>
  </si>
  <si>
    <t>2819 HK</t>
  </si>
  <si>
    <t>2820 HK</t>
  </si>
  <si>
    <t>2821 HK</t>
  </si>
  <si>
    <t>2824 HK</t>
  </si>
  <si>
    <t>2826 HK</t>
  </si>
  <si>
    <t>2827 HK</t>
  </si>
  <si>
    <t>2829 HK</t>
  </si>
  <si>
    <t>2830 HK</t>
  </si>
  <si>
    <t>2832 HK</t>
  </si>
  <si>
    <t>2834 HK</t>
  </si>
  <si>
    <t>2835 HK</t>
  </si>
  <si>
    <t>2836 HK</t>
  </si>
  <si>
    <t>2837 HK</t>
  </si>
  <si>
    <t>2841 HK</t>
  </si>
  <si>
    <t>2843 HK</t>
  </si>
  <si>
    <t>3001 HK</t>
  </si>
  <si>
    <t>3003 HK</t>
  </si>
  <si>
    <t>3004 HK</t>
  </si>
  <si>
    <t>3005 HK</t>
  </si>
  <si>
    <t>3008 HK</t>
  </si>
  <si>
    <t>3009 HK</t>
  </si>
  <si>
    <t>3010 HK</t>
  </si>
  <si>
    <t>3011 HK</t>
  </si>
  <si>
    <t>3012 HK</t>
  </si>
  <si>
    <t>3024 HK</t>
  </si>
  <si>
    <t>3029 HK</t>
  </si>
  <si>
    <t>3030 HK</t>
  </si>
  <si>
    <t>3031 HK</t>
  </si>
  <si>
    <t>3034 HK</t>
  </si>
  <si>
    <t>3037 HK</t>
  </si>
  <si>
    <t>3038 HK</t>
  </si>
  <si>
    <t>3039 HK</t>
  </si>
  <si>
    <t>3041 HK</t>
  </si>
  <si>
    <t>3042 HK</t>
  </si>
  <si>
    <t>3046 HK</t>
  </si>
  <si>
    <t>3047 HK</t>
  </si>
  <si>
    <t>3050 HK</t>
  </si>
  <si>
    <t>3053 HK</t>
  </si>
  <si>
    <t>3056 HK</t>
  </si>
  <si>
    <t>3059 HK</t>
  </si>
  <si>
    <t>3064 HK</t>
  </si>
  <si>
    <t>3066 HK</t>
  </si>
  <si>
    <t>3068 HK</t>
  </si>
  <si>
    <t>3070 HK</t>
  </si>
  <si>
    <t>3071 HK</t>
  </si>
  <si>
    <t>3075 HK</t>
  </si>
  <si>
    <t>3077 HK</t>
  </si>
  <si>
    <t>3081 HK</t>
  </si>
  <si>
    <t>3084 HK</t>
  </si>
  <si>
    <t>3085 HK</t>
  </si>
  <si>
    <t>3096 HK</t>
  </si>
  <si>
    <t>3097 HK</t>
  </si>
  <si>
    <t>3101 HK</t>
  </si>
  <si>
    <t>3102 HK</t>
  </si>
  <si>
    <t>3108 HK</t>
  </si>
  <si>
    <t>3111 HK</t>
  </si>
  <si>
    <t>3112 HK</t>
  </si>
  <si>
    <t>3116 HK</t>
  </si>
  <si>
    <t>3118 HK</t>
  </si>
  <si>
    <t>3122 HK</t>
  </si>
  <si>
    <t>3128 HK</t>
  </si>
  <si>
    <t>3129 HK</t>
  </si>
  <si>
    <t>3133 HK</t>
  </si>
  <si>
    <t>3135 HK</t>
  </si>
  <si>
    <t>3136 HK</t>
  </si>
  <si>
    <t>3137 HK</t>
  </si>
  <si>
    <t>3139 HK</t>
  </si>
  <si>
    <t>3140 HK</t>
  </si>
  <si>
    <t>3141 HK</t>
  </si>
  <si>
    <t>3146 HK</t>
  </si>
  <si>
    <t>3150 HK</t>
  </si>
  <si>
    <t>3153 HK</t>
  </si>
  <si>
    <t>3156 HK</t>
  </si>
  <si>
    <t>3158 HK</t>
  </si>
  <si>
    <t>3160 HK</t>
  </si>
  <si>
    <t>3161 HK</t>
  </si>
  <si>
    <t>3165 HK</t>
  </si>
  <si>
    <t>3167 HK</t>
  </si>
  <si>
    <t>3169 HK</t>
  </si>
  <si>
    <t>3170 HK</t>
  </si>
  <si>
    <t>3173 HK</t>
  </si>
  <si>
    <t>3174 HK</t>
  </si>
  <si>
    <t>3175 HK</t>
  </si>
  <si>
    <t>3176 HK</t>
  </si>
  <si>
    <t>3179 HK</t>
  </si>
  <si>
    <t>3181 HK</t>
  </si>
  <si>
    <t>3182 HK</t>
  </si>
  <si>
    <t>3185 HK</t>
  </si>
  <si>
    <t>3186 HK</t>
  </si>
  <si>
    <t>3189 HK</t>
  </si>
  <si>
    <t>3192 HK</t>
  </si>
  <si>
    <t>3193 HK</t>
  </si>
  <si>
    <t>3196 HK</t>
  </si>
  <si>
    <t>3199 HK</t>
  </si>
  <si>
    <t>3401 HK</t>
  </si>
  <si>
    <t>3402 HK</t>
  </si>
  <si>
    <t>3403 HK</t>
  </si>
  <si>
    <t>3406 HK</t>
  </si>
  <si>
    <t>3410 HK</t>
  </si>
  <si>
    <t>3411 HK</t>
  </si>
  <si>
    <t>3412 HK</t>
  </si>
  <si>
    <t>3413 HK</t>
  </si>
  <si>
    <t>3420 HK</t>
  </si>
  <si>
    <t>3421 HK</t>
  </si>
  <si>
    <t>3423 HK</t>
  </si>
  <si>
    <t>3425 HK</t>
  </si>
  <si>
    <t>3426 HK</t>
  </si>
  <si>
    <t>3428 HK</t>
  </si>
  <si>
    <t>3430 HK</t>
  </si>
  <si>
    <t>3432 HK</t>
  </si>
  <si>
    <t>3434 HK</t>
  </si>
  <si>
    <t>3435 HK</t>
  </si>
  <si>
    <t>3436 HK</t>
  </si>
  <si>
    <t>3440 HK</t>
  </si>
  <si>
    <t>3442 HK</t>
  </si>
  <si>
    <t>3444 HK</t>
  </si>
  <si>
    <t>3447 HK</t>
  </si>
  <si>
    <t>3448 HK</t>
  </si>
  <si>
    <t>3450 HK</t>
  </si>
  <si>
    <t>3454 HK</t>
  </si>
  <si>
    <t>3457 HK</t>
  </si>
  <si>
    <t>3469 HK</t>
  </si>
  <si>
    <t>3470 HK</t>
  </si>
  <si>
    <t>3471 HK</t>
  </si>
  <si>
    <t>3473 HK</t>
  </si>
  <si>
    <t>3476 HK</t>
  </si>
  <si>
    <t>3477 HK</t>
  </si>
  <si>
    <t>3478 HK</t>
  </si>
  <si>
    <t>3480 HK</t>
  </si>
  <si>
    <t>3486 HK</t>
  </si>
  <si>
    <t>3488 HK</t>
  </si>
  <si>
    <t>3519 HK</t>
  </si>
  <si>
    <t>3533 HK</t>
  </si>
  <si>
    <t>3535 HK</t>
  </si>
  <si>
    <t>7234 HK</t>
  </si>
  <si>
    <t>7261 HK</t>
  </si>
  <si>
    <t>7262 HK</t>
  </si>
  <si>
    <t>7266 HK</t>
  </si>
  <si>
    <t>7299 HK</t>
  </si>
  <si>
    <t>7311 HK</t>
  </si>
  <si>
    <t>7366 HK</t>
  </si>
  <si>
    <t>7376 HK</t>
  </si>
  <si>
    <t>7388 HK</t>
  </si>
  <si>
    <t>7522 HK</t>
  </si>
  <si>
    <t>7568 HK</t>
  </si>
  <si>
    <t>7711 HK</t>
  </si>
  <si>
    <t>7766 HK</t>
  </si>
  <si>
    <t>7788 HK</t>
  </si>
  <si>
    <t>83168 HK</t>
  </si>
  <si>
    <t>9159 HK</t>
  </si>
  <si>
    <t>9418 HK</t>
  </si>
  <si>
    <t>9460 HK</t>
  </si>
  <si>
    <t>3184 HK</t>
  </si>
  <si>
    <t>7777 HK</t>
  </si>
  <si>
    <t>7399 HK</t>
  </si>
  <si>
    <t>3147 HK</t>
  </si>
  <si>
    <t>3104 HK</t>
  </si>
  <si>
    <t>2804 HK</t>
  </si>
  <si>
    <t>3088 HK</t>
  </si>
  <si>
    <t>3152 HK</t>
  </si>
  <si>
    <t>3404 HK</t>
  </si>
  <si>
    <t>2845 HK</t>
  </si>
  <si>
    <t>7233 HK</t>
  </si>
  <si>
    <t>3109 HK</t>
  </si>
  <si>
    <t>3433 HK</t>
  </si>
  <si>
    <t>7588 HK</t>
  </si>
  <si>
    <t>3032 HK</t>
  </si>
  <si>
    <t>2822 HK</t>
  </si>
  <si>
    <t>7300 HK</t>
  </si>
  <si>
    <t>3040 HK</t>
  </si>
  <si>
    <t>3171 HK</t>
  </si>
  <si>
    <t>2803 HK</t>
  </si>
  <si>
    <t>2846 HK</t>
  </si>
  <si>
    <t>2823 HK</t>
  </si>
  <si>
    <t>7500 HK</t>
  </si>
  <si>
    <t>7552 HK</t>
  </si>
  <si>
    <t>3443 HK</t>
  </si>
  <si>
    <t>7709 HK</t>
  </si>
  <si>
    <t>3456 HK</t>
  </si>
  <si>
    <t>Tracker Fund of Hong Kong Ltd</t>
  </si>
  <si>
    <t>#N/A N/A</t>
  </si>
  <si>
    <t>11/12/1999</t>
  </si>
  <si>
    <t>Hang Seng Investment Managemen</t>
  </si>
  <si>
    <t>HKD</t>
  </si>
  <si>
    <t>Hong Kong</t>
  </si>
  <si>
    <t>Equity</t>
  </si>
  <si>
    <t>Hang Seng Investment Index Funds Series - Hang Seng China Enterprises Index ETF</t>
  </si>
  <si>
    <t>12/10/2003</t>
  </si>
  <si>
    <t>China</t>
  </si>
  <si>
    <t>CSOP Samsung Electronics Daily 2x Leveraged Product</t>
  </si>
  <si>
    <t>Long</t>
  </si>
  <si>
    <t>5/28/2025</t>
  </si>
  <si>
    <t>CSOP Asset Management Ltd/Hong</t>
  </si>
  <si>
    <t>South Korea</t>
  </si>
  <si>
    <t>Specialty</t>
  </si>
  <si>
    <t>ChinaAMC MSCI China A 50 Connect ETF/HK</t>
  </si>
  <si>
    <t>12/13/2021</t>
  </si>
  <si>
    <t>China Asset Management Hong Ko</t>
  </si>
  <si>
    <t>CSOP KOSPI 200 ETF</t>
  </si>
  <si>
    <t>6/17/2026</t>
  </si>
  <si>
    <t>6/18/2026</t>
  </si>
  <si>
    <t>KRW</t>
  </si>
  <si>
    <t>ChinaAMC ETF Series - ChinaAMC CSI 300 Index ETF</t>
  </si>
  <si>
    <t>7/17/2012</t>
  </si>
  <si>
    <t>10/26/2012</t>
  </si>
  <si>
    <t>CSOP FTSE East-West Equity Select ETF</t>
  </si>
  <si>
    <t>3/31/2025</t>
  </si>
  <si>
    <t>Multi</t>
  </si>
  <si>
    <t>CSOP Hang Seng Index Daily 2x Leveraged Product</t>
  </si>
  <si>
    <t>3/14/2017</t>
  </si>
  <si>
    <t>CSOP Hang Seng TECH Index Daily 2X Leveraged Product</t>
  </si>
  <si>
    <t>12/10/2020</t>
  </si>
  <si>
    <t>E Fund HK MSCI Asia Pacific Select High Dividend Index ETF</t>
  </si>
  <si>
    <t>9/24/2025</t>
  </si>
  <si>
    <t>9/26/2025</t>
  </si>
  <si>
    <t>E Fund Management Hong Kong Co</t>
  </si>
  <si>
    <t>Asian Pacific Region</t>
  </si>
  <si>
    <t>CSOP Hang Seng Tech Index ETF</t>
  </si>
  <si>
    <t>8/28/2020</t>
  </si>
  <si>
    <t>E Fund HK FTSE AI Select Index ETF</t>
  </si>
  <si>
    <t>Global</t>
  </si>
  <si>
    <t>Global X China Semiconductor ETF</t>
  </si>
  <si>
    <t>8/7/2020</t>
  </si>
  <si>
    <t>Mirae Asset Global Investments</t>
  </si>
  <si>
    <t>iShares Core Hang Seng Index ETF</t>
  </si>
  <si>
    <t>11/18/2016</t>
  </si>
  <si>
    <t>11/23/2016</t>
  </si>
  <si>
    <t>iShares ETFs/Hong Kong</t>
  </si>
  <si>
    <t>Global X Asia Semiconductor Etf</t>
  </si>
  <si>
    <t>7/23/2021</t>
  </si>
  <si>
    <t>CSOP HSCEI Covered Call Active ETF</t>
  </si>
  <si>
    <t>12/10/2025</t>
  </si>
  <si>
    <t>12/11/2025</t>
  </si>
  <si>
    <t>Hang Seng High Dividend 30 Index ETF</t>
  </si>
  <si>
    <t>4/2/2025</t>
  </si>
  <si>
    <t>4/7/2025</t>
  </si>
  <si>
    <t>Global X HSI Covered Call Active ETF</t>
  </si>
  <si>
    <t>2/29/2024</t>
  </si>
  <si>
    <t>iShares Hang Seng TECH ETF</t>
  </si>
  <si>
    <t>9/17/2020</t>
  </si>
  <si>
    <t>Premia China STAR 50 ETF</t>
  </si>
  <si>
    <t>7/26/2021</t>
  </si>
  <si>
    <t>7/28/2021</t>
  </si>
  <si>
    <t>Premia Partners Co Ltd/Hong Ko</t>
  </si>
  <si>
    <t>CSOP Samsung Electronics Daily -2x Inverse Product</t>
  </si>
  <si>
    <t>Short</t>
  </si>
  <si>
    <t>USD</t>
  </si>
  <si>
    <t>ChinaAMC NASDAQ 100 ETF/HK</t>
  </si>
  <si>
    <t>2/18/2016</t>
  </si>
  <si>
    <t>U.S.</t>
  </si>
  <si>
    <t>ChinaAMC Asia High Dividend ETF</t>
  </si>
  <si>
    <t>11/13/2014</t>
  </si>
  <si>
    <t>Asian Pacific Region ex Japan</t>
  </si>
  <si>
    <t>ChinaAMC Hang Seng Biotech ETF</t>
  </si>
  <si>
    <t>3/18/2021</t>
  </si>
  <si>
    <t>Hang Seng S&amp;P 500 Index ETF</t>
  </si>
  <si>
    <t>4/23/2024</t>
  </si>
  <si>
    <t>CSOP FTSE HK-Korea Tech+ Index ETF</t>
  </si>
  <si>
    <t>9/29/2025</t>
  </si>
  <si>
    <t>Global X Hang Seng TECH Covered Call Active ETF</t>
  </si>
  <si>
    <t>3/13/2025</t>
  </si>
  <si>
    <t>W.I.S.E. - CSI HK100 Tracker</t>
  </si>
  <si>
    <t>5/15/2008</t>
  </si>
  <si>
    <t>BOCI-Prudential Asset Manageme</t>
  </si>
  <si>
    <t>Global X Hang Seng High Dividend Yield ETF</t>
  </si>
  <si>
    <t>6/17/2013</t>
  </si>
  <si>
    <t>Fubon NYSE FactSet Taiwan Core Semiconductor Index ETF</t>
  </si>
  <si>
    <t>1/12/2022</t>
  </si>
  <si>
    <t>1/13/2022</t>
  </si>
  <si>
    <t>Fubon Fund Management Hong Kon</t>
  </si>
  <si>
    <t>Taiwan</t>
  </si>
  <si>
    <t>CSOP Hang Seng China Enterprises Index Daily 2x Leveraged Product</t>
  </si>
  <si>
    <t>Global X Nasdaq 100 Covered Call Active ETF</t>
  </si>
  <si>
    <t>9/30/2025</t>
  </si>
  <si>
    <t>Global X S&amp;P 500 Covered Call Active ETF</t>
  </si>
  <si>
    <t>8/29/2025</t>
  </si>
  <si>
    <t>Global X HSCEI Covered Call Active ETF</t>
  </si>
  <si>
    <t>iShares Core MSCI Taiwan ETF</t>
  </si>
  <si>
    <t>6/22/2016</t>
  </si>
  <si>
    <t>6/29/2016</t>
  </si>
  <si>
    <t>Bosera China Reform Hong Kong Central-SOEs High Dividend Yield Index ETF</t>
  </si>
  <si>
    <t>7/9/2024</t>
  </si>
  <si>
    <t>7/10/2024</t>
  </si>
  <si>
    <t>Bosera Asset Management Intern</t>
  </si>
  <si>
    <t>Greater China</t>
  </si>
  <si>
    <t>Samsung Bloomberg Global Semiconductor ETF</t>
  </si>
  <si>
    <t>11/9/2021</t>
  </si>
  <si>
    <t>Samsung Asset Management Hong</t>
  </si>
  <si>
    <t>Fubon Shanghai-Shenzhen-Hong Kong High Dividend Yield ETF</t>
  </si>
  <si>
    <t>7/6/2022</t>
  </si>
  <si>
    <t>7/8/2022</t>
  </si>
  <si>
    <t>CSOP Nikkei 225 Daily -2x Inverse Product</t>
  </si>
  <si>
    <t>5/29/2024</t>
  </si>
  <si>
    <t>JPY</t>
  </si>
  <si>
    <t>Japan</t>
  </si>
  <si>
    <t>E Fund HK FTSE MPF China A ETF</t>
  </si>
  <si>
    <t>6/23/2026</t>
  </si>
  <si>
    <t>CNY</t>
  </si>
  <si>
    <t>Hang Seng TECH Covered Call Active ETF</t>
  </si>
  <si>
    <t>5/5/2026</t>
  </si>
  <si>
    <t>5/8/2026</t>
  </si>
  <si>
    <t>CSOP MicroStrategy Daily 2x Leveraged Product</t>
  </si>
  <si>
    <t>3/24/2025</t>
  </si>
  <si>
    <t>Global X Innovative Bluechip Top 10 ETF</t>
  </si>
  <si>
    <t>11/24/2023</t>
  </si>
  <si>
    <t>E Fund HK FTSE MPF Hong Kong Equity ETF</t>
  </si>
  <si>
    <t>Samsung S&amp;P High Dividend APAC ex NZ REITs ETF</t>
  </si>
  <si>
    <t>10/15/2020</t>
  </si>
  <si>
    <t>CSOP Huatai-PB CSI Photovoltaic Industry ETF</t>
  </si>
  <si>
    <t>5/31/2021</t>
  </si>
  <si>
    <t>6/1/2021</t>
  </si>
  <si>
    <t>HARVEST BITCOIN SPOT ETF</t>
  </si>
  <si>
    <t>4/30/2024</t>
  </si>
  <si>
    <t>Harvest Global Investments Ltd</t>
  </si>
  <si>
    <t>Alternative</t>
  </si>
  <si>
    <t>Global X AI &amp; Innovative Technology Active ETF</t>
  </si>
  <si>
    <t>3/21/2022</t>
  </si>
  <si>
    <t>Samsung NYSE FANG+ ETF</t>
  </si>
  <si>
    <t>5/25/2021</t>
  </si>
  <si>
    <t>Hang Seng Investment Index Funds Series III - Hang Seng FTSE China 50 ETF</t>
  </si>
  <si>
    <t>6/8/2005</t>
  </si>
  <si>
    <t>#N/A Field Not Applicable</t>
  </si>
  <si>
    <t>iShares Core MSCI China ETF</t>
  </si>
  <si>
    <t>11/28/2001</t>
  </si>
  <si>
    <t>Galaxy Bosera MSCI China ASEAN Economic Linkage Select Index ETF</t>
  </si>
  <si>
    <t>1/28/2026</t>
  </si>
  <si>
    <t>ASEAN Countries</t>
  </si>
  <si>
    <t>Global X China Consumer Brand</t>
  </si>
  <si>
    <t>1/17/2020</t>
  </si>
  <si>
    <t>Global X China Robotics &amp; AI ETF</t>
  </si>
  <si>
    <t>Global X China Clean Energy</t>
  </si>
  <si>
    <t>Premia Dow Jones Emerging Asean Titans 100 ETF</t>
  </si>
  <si>
    <t>8/1/2018</t>
  </si>
  <si>
    <t>8/6/2018</t>
  </si>
  <si>
    <t>Samsung CSI China Dragon Internet ETF</t>
  </si>
  <si>
    <t>6/20/2018</t>
  </si>
  <si>
    <t>Global X China Little Giant ETF</t>
  </si>
  <si>
    <t>11/20/2023</t>
  </si>
  <si>
    <t>Premia China Treasury and Policy Bank Bond Long Duration ETF</t>
  </si>
  <si>
    <t>4/12/2021</t>
  </si>
  <si>
    <t>4/14/2021</t>
  </si>
  <si>
    <t>Fixed Income</t>
  </si>
  <si>
    <t>Pando Bitcoin ETF</t>
  </si>
  <si>
    <t>7/18/2025</t>
  </si>
  <si>
    <t>Pando Finance Ltd/HK</t>
  </si>
  <si>
    <t>ABF Hong Kong Bond Index Fund</t>
  </si>
  <si>
    <t>6/17/2005</t>
  </si>
  <si>
    <t>HSBC Investment Funds Ltd/Hong</t>
  </si>
  <si>
    <t>Global X China Biotech</t>
  </si>
  <si>
    <t>7/25/2019</t>
  </si>
  <si>
    <t>ABF PAN ASIA BOND INDEX FUND</t>
  </si>
  <si>
    <t>7/7/2005</t>
  </si>
  <si>
    <t>State Street ETFs/Singapore</t>
  </si>
  <si>
    <t>E Fund HK Solactive Global Gold Miner Select Index ETF</t>
  </si>
  <si>
    <t>1/30/2026</t>
  </si>
  <si>
    <t>Global X China Cloud Computing</t>
  </si>
  <si>
    <t>BOCI-Prudential - W.I.S.E. - CSI China Tracker Fund</t>
  </si>
  <si>
    <t>7/17/2007</t>
  </si>
  <si>
    <t>7/13/2007</t>
  </si>
  <si>
    <t>iShares China Government Bond ETF</t>
  </si>
  <si>
    <t>10/21/2021</t>
  </si>
  <si>
    <t>CSOP Saudi Arabia ETF</t>
  </si>
  <si>
    <t>11/29/2023</t>
  </si>
  <si>
    <t>SAR</t>
  </si>
  <si>
    <t>Saudi Arabia</t>
  </si>
  <si>
    <t>Bosera STAR 50 Index ETF</t>
  </si>
  <si>
    <t>12/9/2013</t>
  </si>
  <si>
    <t>iShares NASDAQ 100 ETF</t>
  </si>
  <si>
    <t>Phillip HK Newly Listed Equities Index ETF</t>
  </si>
  <si>
    <t>11/21/2022</t>
  </si>
  <si>
    <t>Phillip Capital Management HK</t>
  </si>
  <si>
    <t>iShares Core SENSEX India ETF</t>
  </si>
  <si>
    <t>10/31/2006</t>
  </si>
  <si>
    <t>11/2/2006</t>
  </si>
  <si>
    <t>India</t>
  </si>
  <si>
    <t>Global X Hang Seng TECH ETF</t>
  </si>
  <si>
    <t>3/30/2023</t>
  </si>
  <si>
    <t>Global X China MedTech ETF</t>
  </si>
  <si>
    <t>8/4/2023</t>
  </si>
  <si>
    <t>Amundi FTSE China A50 Index ETF</t>
  </si>
  <si>
    <t>10/31/2016</t>
  </si>
  <si>
    <t>Amundi Hong Kong Ltd</t>
  </si>
  <si>
    <t>Premia China USD Property Bond ETF</t>
  </si>
  <si>
    <t>CSOP MSCI China A 50 Connect ETF</t>
  </si>
  <si>
    <t>CSOP FTSE Vietnam 30 ETF</t>
  </si>
  <si>
    <t>9/20/2022</t>
  </si>
  <si>
    <t>VND</t>
  </si>
  <si>
    <t>Vietnam</t>
  </si>
  <si>
    <t>CSOP CSI 500 ETF</t>
  </si>
  <si>
    <t>3/19/2020</t>
  </si>
  <si>
    <t>Bosera Hashkey BITCOIN ETF</t>
  </si>
  <si>
    <t>Bosera Hashkey ETHER ETF</t>
  </si>
  <si>
    <t>iShares Core MSCI Asia ex Japan ETF</t>
  </si>
  <si>
    <t>3/12/2009</t>
  </si>
  <si>
    <t>4/23/2009</t>
  </si>
  <si>
    <t>ICBC CICC USD Money Market ETF</t>
  </si>
  <si>
    <t>6/18/2019</t>
  </si>
  <si>
    <t>China International Capital Co</t>
  </si>
  <si>
    <t>Money Market</t>
  </si>
  <si>
    <t>Amundi Hang Seng HK 35 Index ETF</t>
  </si>
  <si>
    <t>4/12/2016</t>
  </si>
  <si>
    <t>W.I.S.E. - SSE 50 China Tracker</t>
  </si>
  <si>
    <t>4/9/2009</t>
  </si>
  <si>
    <t>4/15/2009</t>
  </si>
  <si>
    <t>Global X Hang Seng ESG ETF</t>
  </si>
  <si>
    <t>CSOP Gold ETF</t>
  </si>
  <si>
    <t>4/20/2026</t>
  </si>
  <si>
    <t>4/21/2026</t>
  </si>
  <si>
    <t>Commodity</t>
  </si>
  <si>
    <t>Fullgoal Hang Seng HK High Dividend ETF</t>
  </si>
  <si>
    <t>3/31/2026</t>
  </si>
  <si>
    <t>Fullgoal International Fund Se</t>
  </si>
  <si>
    <t>CSOP NASDAQ 100 ETF</t>
  </si>
  <si>
    <t>2/21/2022</t>
  </si>
  <si>
    <t>CSOP Hang Seng Index ETF</t>
  </si>
  <si>
    <t>5/5/2021</t>
  </si>
  <si>
    <t>5/6/2021</t>
  </si>
  <si>
    <t>Hang Seng Stock Connect China A Low Carbon Index ETF</t>
  </si>
  <si>
    <t>3/28/2023</t>
  </si>
  <si>
    <t>E Fund HK HSI ESG Enhanced Index ETF</t>
  </si>
  <si>
    <t>10/10/2022</t>
  </si>
  <si>
    <t>10/7/2022</t>
  </si>
  <si>
    <t>Global X FTSE China Policy Bank Bond ETF</t>
  </si>
  <si>
    <t>10/19/2022</t>
  </si>
  <si>
    <t>CNH</t>
  </si>
  <si>
    <t>ChinaAMC Bitcoin ETF</t>
  </si>
  <si>
    <t>ChinaAMC Ether ETF</t>
  </si>
  <si>
    <t>SSIF DCE Iron Ore Futures Index ETF</t>
  </si>
  <si>
    <t>3/27/2020</t>
  </si>
  <si>
    <t>Shanxi Securities Internationa</t>
  </si>
  <si>
    <t>Global X China Global Leaders ETF</t>
  </si>
  <si>
    <t>3/11/2021</t>
  </si>
  <si>
    <t>CSOP Hong Kong Dollar Money Market ETF</t>
  </si>
  <si>
    <t>7/18/2018</t>
  </si>
  <si>
    <t>Pando Innovation ETF</t>
  </si>
  <si>
    <t>12/8/2022</t>
  </si>
  <si>
    <t>Global X Bloomberg MSCI Asia ex Japan Green Bond ETF</t>
  </si>
  <si>
    <t>8/19/2022</t>
  </si>
  <si>
    <t>Global X MSCI Asia Pacific ex Japan ETF</t>
  </si>
  <si>
    <t>6/9/2025</t>
  </si>
  <si>
    <t>CSOP Bitcoin Futures ETF</t>
  </si>
  <si>
    <t>12/16/2022</t>
  </si>
  <si>
    <t>CSOP Ether Futures ETF</t>
  </si>
  <si>
    <t>Ping An of China CSI HK Dividend ETF</t>
  </si>
  <si>
    <t>2/15/2012</t>
  </si>
  <si>
    <t>Ping An of China Asset Managem</t>
  </si>
  <si>
    <t>CICC HKD Money Market ETF</t>
  </si>
  <si>
    <t>11/30/2020</t>
  </si>
  <si>
    <t>12/2/2020</t>
  </si>
  <si>
    <t>Global X Asia USD Investment Grade Bond ETF</t>
  </si>
  <si>
    <t>10/12/2023</t>
  </si>
  <si>
    <t>Premia US Treasury Floating Rate ETF</t>
  </si>
  <si>
    <t>7/18/2019</t>
  </si>
  <si>
    <t>Value Gold ETF</t>
  </si>
  <si>
    <t>11/3/2010</t>
  </si>
  <si>
    <t>Sensible Asset Management Hong</t>
  </si>
  <si>
    <t>Global X India Sector Leader Active ETF</t>
  </si>
  <si>
    <t>11/26/2024</t>
  </si>
  <si>
    <t>Pando Ethereum ETF</t>
  </si>
  <si>
    <t>12/2/2025</t>
  </si>
  <si>
    <t>12/3/2025</t>
  </si>
  <si>
    <t>CSOP US Dollar Money Market ETF</t>
  </si>
  <si>
    <t>1/25/2019</t>
  </si>
  <si>
    <t>Global X S&amp;P Crude Oil Fut</t>
  </si>
  <si>
    <t>6/16/2016</t>
  </si>
  <si>
    <t>CSOP Huatai-PB CSI A500 ETF</t>
  </si>
  <si>
    <t>ICBC UBS KRANESHARES KWEB CSI CHINA INTERNET ETF</t>
  </si>
  <si>
    <t>ICBC Credit Suisse Asset Manag</t>
  </si>
  <si>
    <t>Harvest CSI 300 ESG Leaders Index ETF</t>
  </si>
  <si>
    <t>3/10/2021</t>
  </si>
  <si>
    <t>E Fund ETFs Trust - E Fund HK MSCI China A50 Connect ETF</t>
  </si>
  <si>
    <t>12/14/2021</t>
  </si>
  <si>
    <t>Pando Blockchain ETF</t>
  </si>
  <si>
    <t>Global X Asia Pacific High Dividend Yield ETF</t>
  </si>
  <si>
    <t>7/27/2022</t>
  </si>
  <si>
    <t>Harvest MSCI China A Index ETF</t>
  </si>
  <si>
    <t>10/12/2012</t>
  </si>
  <si>
    <t>CSOP RMB Money Market ETF</t>
  </si>
  <si>
    <t>1/20/2015</t>
  </si>
  <si>
    <t>Hang Seng China A Share ETF Series - Hang Seng China A Industry Top Index ETF</t>
  </si>
  <si>
    <t>11/26/2013</t>
  </si>
  <si>
    <t>BOCHK Greater Bay Area Climate Transition ETF</t>
  </si>
  <si>
    <t>3/31/2023</t>
  </si>
  <si>
    <t>CSOP Huatai-PB CSI 300 ETF</t>
  </si>
  <si>
    <t>7/16/2024</t>
  </si>
  <si>
    <t>Samsung Bitcoin Futures Active ETF</t>
  </si>
  <si>
    <t>1/13/2023</t>
  </si>
  <si>
    <t>HSI ESG Enhanced Select Index ETF</t>
  </si>
  <si>
    <t>2/22/2022</t>
  </si>
  <si>
    <t>2/24/2022</t>
  </si>
  <si>
    <t>Global X USD Money Market ETF</t>
  </si>
  <si>
    <t>6/29/2023</t>
  </si>
  <si>
    <t>Global X EV and Humanoid Robot Active ETF</t>
  </si>
  <si>
    <t>ChinaAMC HK-US AI ETF</t>
  </si>
  <si>
    <t>3/17/2026</t>
  </si>
  <si>
    <t>3/18/2026</t>
  </si>
  <si>
    <t>ChinaAMC Asia USD Investment Grade Bond ETF</t>
  </si>
  <si>
    <t>ChinaAMC 20+ Year US Treasury Bond ETF</t>
  </si>
  <si>
    <t>6/17/2024</t>
  </si>
  <si>
    <t>Global X Japan Global Leaders ETF Hong Kong</t>
  </si>
  <si>
    <t>CSOP Nikkei 225 Index ETF</t>
  </si>
  <si>
    <t>1/31/2024</t>
  </si>
  <si>
    <t>Bosera 20+ Year US Treasury Bond ETF</t>
  </si>
  <si>
    <t>2/28/2024</t>
  </si>
  <si>
    <t>Global X K-pop and Culture ETF</t>
  </si>
  <si>
    <t>3/19/2024</t>
  </si>
  <si>
    <t>ChinaAMC MSCI Japan Hedged to USD ETF</t>
  </si>
  <si>
    <t>2/12/2016</t>
  </si>
  <si>
    <t>ChinaAMC RMB Money Market ETF</t>
  </si>
  <si>
    <t>7/12/2023</t>
  </si>
  <si>
    <t>ChinaAMC MSCI Europe Quality Hedged to USD ETF</t>
  </si>
  <si>
    <t>European Region</t>
  </si>
  <si>
    <t>ICBC CSOP S&amp;P New China Sectors ETF</t>
  </si>
  <si>
    <t>12/8/2016</t>
  </si>
  <si>
    <t>Harvest G2 Tech 50 ETF</t>
  </si>
  <si>
    <t>3/5/2026</t>
  </si>
  <si>
    <t>3/6/2026</t>
  </si>
  <si>
    <t>HANG SENG GOLD ETF</t>
  </si>
  <si>
    <t>1/27/2026</t>
  </si>
  <si>
    <t>1/29/2026</t>
  </si>
  <si>
    <t>Premia CSI Caixin China New Economy ETF</t>
  </si>
  <si>
    <t>10/20/2017</t>
  </si>
  <si>
    <t>10/24/2017</t>
  </si>
  <si>
    <t>CSOP Hang Seng Biotech ETF</t>
  </si>
  <si>
    <t>7/21/2021</t>
  </si>
  <si>
    <t>Samsung S&amp;P GSCI Crude Oil ER Futures ETF</t>
  </si>
  <si>
    <t>4/29/2016</t>
  </si>
  <si>
    <t>Taikang Hong Kong USD Money Market ETF</t>
  </si>
  <si>
    <t>Taikang Asset Management Hong</t>
  </si>
  <si>
    <t>HARVEST ETHER SPOT ETF</t>
  </si>
  <si>
    <t>Premia Asia Innovative Technology and Metaverse Theme ETF</t>
  </si>
  <si>
    <t>W.I.S.E. - Nasdaq China New Economy Companies ESG Index Tracker</t>
  </si>
  <si>
    <t>9/12/2018</t>
  </si>
  <si>
    <t>Global X FinTech ETF/Hong Kong</t>
  </si>
  <si>
    <t>12/10/2021</t>
  </si>
  <si>
    <t>E Fund HK Solactive Biopharma Select Index ETF</t>
  </si>
  <si>
    <t>3/19/2026</t>
  </si>
  <si>
    <t>3/23/2026</t>
  </si>
  <si>
    <t>E Fund HK CSI Liquor Index ETF</t>
  </si>
  <si>
    <t>2/16/2023</t>
  </si>
  <si>
    <t>Bosera RMB Money Market ETF</t>
  </si>
  <si>
    <t>11/15/2022</t>
  </si>
  <si>
    <t>CSOP Yinhua CSI 5G Communications Theme ETF</t>
  </si>
  <si>
    <t>10/23/2020</t>
  </si>
  <si>
    <t>Bosera USD Money Market ETF</t>
  </si>
  <si>
    <t>7/27/2023</t>
  </si>
  <si>
    <t>ICBC CSOP FTSE Chinese Government and Policy Bank Bond Index ETF</t>
  </si>
  <si>
    <t>2/19/2014</t>
  </si>
  <si>
    <t>Global X AI Infrastructure ETF</t>
  </si>
  <si>
    <t>2/10/2025</t>
  </si>
  <si>
    <t>Global X G2 Tech ETF</t>
  </si>
  <si>
    <t>1/10/2025</t>
  </si>
  <si>
    <t>ChinaAMC HSI ESG ETF</t>
  </si>
  <si>
    <t>11/10/2022</t>
  </si>
  <si>
    <t>Ping An Technology Select ETF</t>
  </si>
  <si>
    <t>9/9/2025</t>
  </si>
  <si>
    <t>Hang Seng Japan TOPIX 100 Index ETF</t>
  </si>
  <si>
    <t>Premia J.P. Morgan Asia Credit Investment Grade USD Bond ETF</t>
  </si>
  <si>
    <t>9/23/2024</t>
  </si>
  <si>
    <t>9/25/2024</t>
  </si>
  <si>
    <t>Doo Wealth Selected Digital Payments ETF</t>
  </si>
  <si>
    <t>6/19/2024</t>
  </si>
  <si>
    <t>Doo Financial / Fund Parent</t>
  </si>
  <si>
    <t>Doo Wealth Selected AI and Automation Active ETF</t>
  </si>
  <si>
    <t>Value Partners Fund Series OFC - Value Partners RMB Money Market ETF</t>
  </si>
  <si>
    <t>10/10/2025</t>
  </si>
  <si>
    <t>10/16/2025</t>
  </si>
  <si>
    <t>Value Partners Hong Kong Ltd</t>
  </si>
  <si>
    <t>Value Partners Fund Series OFC - Value Partners HKD Money Market ETF</t>
  </si>
  <si>
    <t>CMS HANG SENG TECH INDEX ETF</t>
  </si>
  <si>
    <t>CMS Asset Management HK Co Ltd</t>
  </si>
  <si>
    <t>MicroBit Ether Spot ETF</t>
  </si>
  <si>
    <t>8/21/2025</t>
  </si>
  <si>
    <t>MicroBit Capital Management Lt</t>
  </si>
  <si>
    <t>Doo Wealth Selected Web3 ETF</t>
  </si>
  <si>
    <t>Global X China Life Franklin HK-US Equity Select ETF</t>
  </si>
  <si>
    <t>3/27/2026</t>
  </si>
  <si>
    <t>3/30/2026</t>
  </si>
  <si>
    <t>MicroBit Bitcoin Spot ETF</t>
  </si>
  <si>
    <t>CSOP MSCI HK China Connect Select ETF</t>
  </si>
  <si>
    <t>7/4/2024</t>
  </si>
  <si>
    <t>E Fund HK Wind Digital Technology Index ETF</t>
  </si>
  <si>
    <t>2/4/2026</t>
  </si>
  <si>
    <t>2/6/2026</t>
  </si>
  <si>
    <t>HANG SENG CMS BLOOMBERG US TREASURY 7-10 YEAR INDEX ETF - HKD Counter</t>
  </si>
  <si>
    <t>9/12/2024</t>
  </si>
  <si>
    <t>9/16/2024</t>
  </si>
  <si>
    <t>HANG SENG CMS BLOOMBERG US TREASURY 1-3 YEAR INDEX ETF - HKD Counter</t>
  </si>
  <si>
    <t>Global X US Treasury 0-3 Month ETF</t>
  </si>
  <si>
    <t>12/13/2024</t>
  </si>
  <si>
    <t>CSOP Hang Seng HK-US TECH ETF</t>
  </si>
  <si>
    <t>HANG SENG FTSE HONG KONG EQUITY ETF</t>
  </si>
  <si>
    <t>5/13/2026</t>
  </si>
  <si>
    <t>5/15/2026</t>
  </si>
  <si>
    <t>CSOP ETF Series II -CSOP FTSE Asia Pacific Select REITs ETF</t>
  </si>
  <si>
    <t>5/13/2025</t>
  </si>
  <si>
    <t>Real Estate</t>
  </si>
  <si>
    <t>Global X China Core Tech ETF</t>
  </si>
  <si>
    <t>7/9/2025</t>
  </si>
  <si>
    <t>Global X US Treasury 3-5 Year ETF</t>
  </si>
  <si>
    <t>7/11/2024</t>
  </si>
  <si>
    <t>CSOP MAG Seven ETF</t>
  </si>
  <si>
    <t>11/6/2024</t>
  </si>
  <si>
    <t>Taikang Hong Kong HKD Money Market ETF</t>
  </si>
  <si>
    <t>CSOP Hang Seng Stock Connect High Dividend ETF</t>
  </si>
  <si>
    <t>Global X FTSE Greater China ETF</t>
  </si>
  <si>
    <t>3/28/2025</t>
  </si>
  <si>
    <t>ChinaAMC HKD Digital Money Market Fund/ETF</t>
  </si>
  <si>
    <t>11/27/2025</t>
  </si>
  <si>
    <t>11/28/2025</t>
  </si>
  <si>
    <t>CSOP FTSE Asia Tech Index ETF</t>
  </si>
  <si>
    <t>Hang Seng JPMorgan US Equity Premium Income Active ETF</t>
  </si>
  <si>
    <t>7/7/2025</t>
  </si>
  <si>
    <t>Ping An East-West Select ETF</t>
  </si>
  <si>
    <t>Premia BOCHK Saudi Arabia Government Sukuk ETF</t>
  </si>
  <si>
    <t>5/27/2025</t>
  </si>
  <si>
    <t>5/29/2025</t>
  </si>
  <si>
    <t>Value Partners Fund Series OFC - Value Partners USD Money Market ETF</t>
  </si>
  <si>
    <t>E Fund HK Solactive Asia Semiconductor Select Index ETF</t>
  </si>
  <si>
    <t>3/24/2026</t>
  </si>
  <si>
    <t>3/26/2026</t>
  </si>
  <si>
    <t>Value Partners Fund Series OFC - VP HK-US Dividend Low Volatility ETF</t>
  </si>
  <si>
    <t>Hang Seng HSCEI Covered Call Active ETF</t>
  </si>
  <si>
    <t>Global X Gold Covered Call Active ETF</t>
  </si>
  <si>
    <t>5/14/2026</t>
  </si>
  <si>
    <t>CSOP Nomura FTSE HK-Japan Equity Cash Flow Focus Index ETF</t>
  </si>
  <si>
    <t>Bosera SZSE ChiNext Daily 2X Leveraged Product</t>
  </si>
  <si>
    <t>5/12/2022</t>
  </si>
  <si>
    <t>Chinaamc Nasdaq-100 Index Daily 2X Leveraged Product</t>
  </si>
  <si>
    <t>9/28/2016</t>
  </si>
  <si>
    <t>CSOP Nikkei 225 Daily 2x Leveraged Product</t>
  </si>
  <si>
    <t>CSOP NASDAQ - 100 Index Daily 2x Leveraged Product</t>
  </si>
  <si>
    <t>5/15/2020</t>
  </si>
  <si>
    <t>CSOP Gold Futures Daily 2X Leveraged Product</t>
  </si>
  <si>
    <t>6/5/2020</t>
  </si>
  <si>
    <t>CSOP Coinbase Daily -2x Inverse Product</t>
  </si>
  <si>
    <t>CSOP Tesla Daily -2x Inverse Product</t>
  </si>
  <si>
    <t>CSOP Bitcoin Futures Daily -1x Inverse Product</t>
  </si>
  <si>
    <t>7/23/2024</t>
  </si>
  <si>
    <t>CSOP NVIDIA Daily -2x Inverse Product</t>
  </si>
  <si>
    <t>Chinaamc Nasdaq-100 Index Daily -2X Inverse Product</t>
  </si>
  <si>
    <t>9/6/2019</t>
  </si>
  <si>
    <t>CSOP NASDAQ - 100 Index Daily -2x Inverse Product</t>
  </si>
  <si>
    <t>9/19/2019</t>
  </si>
  <si>
    <t>CSOP Coinbase Daily 2x Leveraged Product</t>
  </si>
  <si>
    <t>CSOP Tesla Daily 2x Leveraged Product</t>
  </si>
  <si>
    <t>CSOP NVIDIA Daily 2x Leveraged Product</t>
  </si>
  <si>
    <t>Hang Seng RMB Gold ETF</t>
  </si>
  <si>
    <t>2/14/2012</t>
  </si>
  <si>
    <t>Premia FTSE TWSE Taiwan 50 ETF</t>
  </si>
  <si>
    <t>10/7/2024</t>
  </si>
  <si>
    <t>10/9/2024</t>
  </si>
  <si>
    <t>ChinaAMC Digital Gold ETF</t>
  </si>
  <si>
    <t>5/28/2026</t>
  </si>
  <si>
    <t>5/29/2026</t>
  </si>
  <si>
    <t>ChinaAMC Solana ETF</t>
  </si>
  <si>
    <t>10/27/2025</t>
  </si>
  <si>
    <t>Global X India Select Top 10 ETF</t>
  </si>
  <si>
    <t>CSOP Berkshire Daily 2x Leveraged Product</t>
  </si>
  <si>
    <t>CSOP MicroStrategy Daily -2x Inverse Product</t>
  </si>
  <si>
    <t>CSOP SZSE ChiNext ETF</t>
  </si>
  <si>
    <t>5/15/2015</t>
  </si>
  <si>
    <t>Global X Emerging Markets Asia Active ETF</t>
  </si>
  <si>
    <t>Premia Vietnam ETF</t>
  </si>
  <si>
    <t>ChinaAMC Global ETF Series - ChinaAMC Hang Seng TECH Index ETF</t>
  </si>
  <si>
    <t>9/1/2020</t>
  </si>
  <si>
    <t>9/3/2020</t>
  </si>
  <si>
    <t>Bosera HKD Money Market ETF</t>
  </si>
  <si>
    <t>2/14/2023</t>
  </si>
  <si>
    <t>ChinaAMC MSCI India ETF</t>
  </si>
  <si>
    <t>9/30/2024</t>
  </si>
  <si>
    <t>Global X China Electric Vehicle and Battery ETF</t>
  </si>
  <si>
    <t>CSOP CSI 300 Index Daily 2X Leveraged Product</t>
  </si>
  <si>
    <t>7/24/2020</t>
  </si>
  <si>
    <t>7/27/2020</t>
  </si>
  <si>
    <t>CSOP STAR 50 INDEX ETF</t>
  </si>
  <si>
    <t>2/10/2021</t>
  </si>
  <si>
    <t>CSOP FTSE US Treasury 20+ Yrs Index ETF</t>
  </si>
  <si>
    <t>1/10/2024</t>
  </si>
  <si>
    <t>CSOP Hang Seng China Enterprises Index Daily -2x Inverse Product</t>
  </si>
  <si>
    <t>6/25/2019</t>
  </si>
  <si>
    <t>Hang Seng TECH Index ETF</t>
  </si>
  <si>
    <t>8/31/2020</t>
  </si>
  <si>
    <t>9/4/2020</t>
  </si>
  <si>
    <t>CSOP FTSE China A50 ETF</t>
  </si>
  <si>
    <t>11/8/2012</t>
  </si>
  <si>
    <t>CSOP Hang Seng Index Daily -1x Inverse Product</t>
  </si>
  <si>
    <t>Global X MSCI China</t>
  </si>
  <si>
    <t>Samsung Blockchain Technologies ETF</t>
  </si>
  <si>
    <t>6/23/2022</t>
  </si>
  <si>
    <t>Premia CSI Caixin China Bedrock Economy ETF</t>
  </si>
  <si>
    <t>iShares Core CSI 300 ETF</t>
  </si>
  <si>
    <t>11/12/2009</t>
  </si>
  <si>
    <t>11/18/2009</t>
  </si>
  <si>
    <t>iShares FTSE China A50 ETF</t>
  </si>
  <si>
    <t>11/15/2004</t>
  </si>
  <si>
    <t>11/18/2004</t>
  </si>
  <si>
    <t>CSOP Hang Seng Index Daily -2x Inverse Product</t>
  </si>
  <si>
    <t>5/28/2019</t>
  </si>
  <si>
    <t>CSOP Hang Seng TECH Index Daily -2X Inverse Product</t>
  </si>
  <si>
    <t>CSOP FTSE Hong Kong Equity ETF</t>
  </si>
  <si>
    <t>5/8/2025</t>
  </si>
  <si>
    <t>CSOP SK Hynix Daily 2x Leveraged Product</t>
  </si>
  <si>
    <t>10/15/2025</t>
  </si>
  <si>
    <t>E Fund HK HKEX Tech 100 Index ETF</t>
  </si>
  <si>
    <t>6/26/2026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</si>
</sst>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BDP|14800318540289583059</stp>
        <tr r="U118" s="2"/>
      </tp>
      <tp t="s">
        <v>#N/A N/A</v>
        <stp/>
        <stp>BDP|13031764235805858823</stp>
        <tr r="K185" s="2"/>
        <tr r="R185" s="2"/>
        <tr r="W185" s="2"/>
      </tp>
      <tp t="s">
        <v>#N/A N/A</v>
        <stp/>
        <stp>BDP|13143965458044291147</stp>
        <tr r="Q232" s="2"/>
      </tp>
      <tp t="s">
        <v>#N/A N/A</v>
        <stp/>
        <stp>BDP|14325068586906386096</stp>
        <tr r="P28" s="2"/>
      </tp>
      <tp t="s">
        <v>#N/A N/A</v>
        <stp/>
        <stp>BDP|14052719181177087696</stp>
        <tr r="AB82" s="2"/>
      </tp>
      <tp t="s">
        <v>#N/A N/A</v>
        <stp/>
        <stp>BDP|15787884241127792405</stp>
        <tr r="AB167" s="2"/>
      </tp>
      <tp t="s">
        <v>#N/A N/A</v>
        <stp/>
        <stp>BDP|17940142784702236625</stp>
        <tr r="AA90" s="2"/>
      </tp>
      <tp t="s">
        <v>#N/A N/A</v>
        <stp/>
        <stp>BDP|13155336994111625294</stp>
        <tr r="AD19" s="2"/>
      </tp>
      <tp t="s">
        <v>#N/A N/A</v>
        <stp/>
        <stp>BDP|12498853401082052284</stp>
        <tr r="AD151" s="2"/>
      </tp>
      <tp t="s">
        <v>#N/A N/A</v>
        <stp/>
        <stp>BDP|16173780350869410755</stp>
        <tr r="E53" s="2"/>
      </tp>
      <tp t="s">
        <v>#N/A N/A</v>
        <stp/>
        <stp>BDP|17061425523258968309</stp>
        <tr r="N137" s="2"/>
      </tp>
      <tp t="s">
        <v>#N/A N/A</v>
        <stp/>
        <stp>BDP|10396942058330269652</stp>
        <tr r="E240" s="2"/>
      </tp>
      <tp t="s">
        <v>#N/A N/A</v>
        <stp/>
        <stp>BDP|17948026218814995820</stp>
        <tr r="I91" s="2"/>
      </tp>
      <tp t="s">
        <v>#N/A N/A</v>
        <stp/>
        <stp>BDP|14941080478099944083</stp>
        <tr r="AC93" s="2"/>
      </tp>
      <tp t="s">
        <v>#N/A N/A</v>
        <stp/>
        <stp>BDP|16325035885870852458</stp>
        <tr r="Y154" s="2"/>
      </tp>
      <tp t="s">
        <v>#N/A N/A</v>
        <stp/>
        <stp>BDP|11575894932940381052</stp>
        <tr r="F100" s="2"/>
      </tp>
      <tp t="s">
        <v>#N/A N/A</v>
        <stp/>
        <stp>BDP|12010179049269678409</stp>
        <tr r="B53" s="2"/>
      </tp>
      <tp t="s">
        <v>#N/A N/A</v>
        <stp/>
        <stp>BDP|14122521609398699373</stp>
        <tr r="S141" s="2"/>
      </tp>
      <tp t="s">
        <v>#N/A N/A</v>
        <stp/>
        <stp>BDP|16275494750954830983</stp>
        <tr r="O59" s="2"/>
      </tp>
      <tp t="s">
        <v>#N/A N/A</v>
        <stp/>
        <stp>BDP|17152568434448179397</stp>
        <tr r="U189" s="2"/>
      </tp>
      <tp t="s">
        <v>#N/A N/A</v>
        <stp/>
        <stp>BDP|10046634488726181217</stp>
        <tr r="D2" s="2"/>
      </tp>
      <tp t="s">
        <v>#N/A N/A</v>
        <stp/>
        <stp>BDP|18290445331334545195</stp>
        <tr r="L199" s="2"/>
      </tp>
      <tp t="s">
        <v>#N/A N/A</v>
        <stp/>
        <stp>BDP|15620802649964267763</stp>
        <tr r="X112" s="2"/>
      </tp>
      <tp t="s">
        <v>#N/A N/A</v>
        <stp/>
        <stp>BDP|16236817759287043612</stp>
        <tr r="M149" s="2"/>
      </tp>
      <tp t="s">
        <v>#N/A N/A</v>
        <stp/>
        <stp>BDP|17097376283272787485</stp>
        <tr r="L81" s="2"/>
      </tp>
      <tp t="s">
        <v>#N/A N/A</v>
        <stp/>
        <stp>BDP|11702804960976598391</stp>
        <tr r="N11" s="2"/>
      </tp>
      <tp t="s">
        <v>#N/A N/A</v>
        <stp/>
        <stp>BDP|12867213829870221887</stp>
        <tr r="B65" s="2"/>
      </tp>
      <tp t="s">
        <v>#N/A N/A</v>
        <stp/>
        <stp>BDP|12930664482211430738</stp>
        <tr r="AA54" s="2"/>
      </tp>
      <tp t="s">
        <v>#N/A N/A</v>
        <stp/>
        <stp>BDP|15591703792334521587</stp>
        <tr r="P87" s="2"/>
      </tp>
      <tp t="s">
        <v>#N/A N/A</v>
        <stp/>
        <stp>BDP|10508510323239801450</stp>
        <tr r="B201" s="2"/>
      </tp>
      <tp t="s">
        <v>#N/A N/A</v>
        <stp/>
        <stp>BDP|10279796421356953995</stp>
        <tr r="L155" s="2"/>
      </tp>
      <tp t="s">
        <v>#N/A N/A</v>
        <stp/>
        <stp>BDP|16249585440205861884</stp>
        <tr r="X97" s="2"/>
      </tp>
      <tp t="s">
        <v>#N/A N/A</v>
        <stp/>
        <stp>BDP|18044584899258236690</stp>
        <tr r="K39" s="2"/>
        <tr r="R39" s="2"/>
        <tr r="W39" s="2"/>
      </tp>
      <tp t="s">
        <v>#N/A N/A</v>
        <stp/>
        <stp>BDP|12311857039620056353</stp>
        <tr r="K154" s="2"/>
        <tr r="R154" s="2"/>
        <tr r="W154" s="2"/>
      </tp>
      <tp t="s">
        <v>#N/A N/A</v>
        <stp/>
        <stp>BDP|15284250157898230087</stp>
        <tr r="V210" s="2"/>
      </tp>
      <tp t="s">
        <v>#N/A N/A</v>
        <stp/>
        <stp>BDP|17590159874282669980</stp>
        <tr r="Y91" s="2"/>
      </tp>
      <tp t="s">
        <v>#N/A N/A</v>
        <stp/>
        <stp>BDP|18005369142470943500</stp>
        <tr r="Q180" s="2"/>
      </tp>
      <tp t="s">
        <v>#N/A N/A</v>
        <stp/>
        <stp>BDP|15255651880104890524</stp>
        <tr r="F127" s="2"/>
      </tp>
      <tp t="s">
        <v>#N/A N/A</v>
        <stp/>
        <stp>BDP|18002519168550447100</stp>
        <tr r="C11" s="2"/>
      </tp>
      <tp t="s">
        <v>#N/A N/A</v>
        <stp/>
        <stp>BDP|14680958169536008777</stp>
        <tr r="F198" s="2"/>
      </tp>
      <tp t="s">
        <v>#N/A N/A</v>
        <stp/>
        <stp>BDP|18026386065655063204</stp>
        <tr r="E131" s="2"/>
      </tp>
      <tp t="s">
        <v>#N/A N/A</v>
        <stp/>
        <stp>BDP|16583288472638637145</stp>
        <tr r="T164" s="2"/>
      </tp>
      <tp t="s">
        <v>#N/A N/A</v>
        <stp/>
        <stp>BDP|18244054368327742353</stp>
        <tr r="AA103" s="2"/>
      </tp>
      <tp t="s">
        <v>#N/A N/A</v>
        <stp/>
        <stp>BDP|11462788709205877911</stp>
        <tr r="V130" s="2"/>
      </tp>
      <tp t="s">
        <v>#N/A N/A</v>
        <stp/>
        <stp>BDP|10000933138933016373</stp>
        <tr r="H91" s="2"/>
      </tp>
      <tp t="s">
        <v>#N/A N/A</v>
        <stp/>
        <stp>BDP|18243454165565957578</stp>
        <tr r="AE125" s="2"/>
      </tp>
      <tp t="s">
        <v>#N/A N/A</v>
        <stp/>
        <stp>BDP|14874267592826227325</stp>
        <tr r="M86" s="2"/>
      </tp>
      <tp t="s">
        <v>#N/A N/A</v>
        <stp/>
        <stp>BDP|15579606802968241192</stp>
        <tr r="AB238" s="2"/>
      </tp>
      <tp t="s">
        <v>#N/A N/A</v>
        <stp/>
        <stp>BDP|15484426722460932915</stp>
        <tr r="N29" s="2"/>
      </tp>
      <tp t="s">
        <v>#N/A N/A</v>
        <stp/>
        <stp>BDP|11251901178265102075</stp>
        <tr r="P179" s="2"/>
      </tp>
      <tp t="s">
        <v>#N/A N/A</v>
        <stp/>
        <stp>BDP|10396928453181594788</stp>
        <tr r="L96" s="2"/>
      </tp>
      <tp t="s">
        <v>#N/A N/A</v>
        <stp/>
        <stp>BDP|12431053019778268150</stp>
        <tr r="AC171" s="2"/>
      </tp>
      <tp t="s">
        <v>#N/A N/A</v>
        <stp/>
        <stp>BDP|15377794475789135617</stp>
        <tr r="L194" s="2"/>
      </tp>
      <tp t="s">
        <v>#N/A N/A</v>
        <stp/>
        <stp>BDP|15256914351001408296</stp>
        <tr r="X13" s="2"/>
      </tp>
      <tp t="s">
        <v>#N/A N/A</v>
        <stp/>
        <stp>BDP|11973823204245910690</stp>
        <tr r="M230" s="2"/>
      </tp>
      <tp t="s">
        <v>#N/A N/A</v>
        <stp/>
        <stp>BDP|14593675682418882876</stp>
        <tr r="B71" s="2"/>
      </tp>
      <tp t="s">
        <v>#N/A N/A</v>
        <stp/>
        <stp>BDP|11395942321438020887</stp>
        <tr r="V212" s="2"/>
      </tp>
      <tp t="s">
        <v>#N/A N/A</v>
        <stp/>
        <stp>BDP|17499157814155961823</stp>
        <tr r="Z104" s="2"/>
      </tp>
      <tp t="s">
        <v>#N/A N/A</v>
        <stp/>
        <stp>BDP|10107103709192137979</stp>
        <tr r="U77" s="2"/>
      </tp>
      <tp t="s">
        <v>#N/A N/A</v>
        <stp/>
        <stp>BDP|13821672797852721415</stp>
        <tr r="K32" s="2"/>
        <tr r="R32" s="2"/>
        <tr r="W32" s="2"/>
      </tp>
      <tp t="s">
        <v>#N/A N/A</v>
        <stp/>
        <stp>BDP|11975230773286529829</stp>
        <tr r="O194" s="2"/>
      </tp>
      <tp t="s">
        <v>#N/A N/A</v>
        <stp/>
        <stp>BDP|14847101338104797891</stp>
        <tr r="AC78" s="2"/>
      </tp>
      <tp t="s">
        <v>#N/A N/A</v>
        <stp/>
        <stp>BDP|15781082584095214279</stp>
        <tr r="S73" s="2"/>
      </tp>
      <tp t="s">
        <v>#N/A N/A</v>
        <stp/>
        <stp>BDP|10957040330608486179</stp>
        <tr r="N176" s="2"/>
      </tp>
      <tp t="s">
        <v>#N/A N/A</v>
        <stp/>
        <stp>BDP|15142691506688504153</stp>
        <tr r="O17" s="2"/>
      </tp>
      <tp t="s">
        <v>#N/A N/A</v>
        <stp/>
        <stp>BDP|16389692844557898980</stp>
        <tr r="O165" s="2"/>
      </tp>
      <tp t="s">
        <v>#N/A N/A</v>
        <stp/>
        <stp>BDP|16003807718366473325</stp>
        <tr r="V41" s="2"/>
      </tp>
      <tp t="s">
        <v>#N/A N/A</v>
        <stp/>
        <stp>BDP|16455298677741396877</stp>
        <tr r="L219" s="2"/>
      </tp>
      <tp t="s">
        <v>#N/A N/A</v>
        <stp/>
        <stp>BDP|12567008985707611772</stp>
        <tr r="AA193" s="2"/>
      </tp>
      <tp t="s">
        <v>#N/A N/A</v>
        <stp/>
        <stp>BDP|17297653022999083042</stp>
        <tr r="T82" s="2"/>
      </tp>
      <tp t="s">
        <v>#N/A N/A</v>
        <stp/>
        <stp>BDP|10578407576480551978</stp>
        <tr r="H3" s="2"/>
      </tp>
      <tp t="s">
        <v>#N/A N/A</v>
        <stp/>
        <stp>BDP|13318730762228229018</stp>
        <tr r="H100" s="2"/>
      </tp>
      <tp t="s">
        <v>#N/A N/A</v>
        <stp/>
        <stp>BDP|14051169406187055815</stp>
        <tr r="Y82" s="2"/>
      </tp>
      <tp t="s">
        <v>#N/A N/A</v>
        <stp/>
        <stp>BDP|13981386936010286945</stp>
        <tr r="B233" s="2"/>
      </tp>
      <tp t="s">
        <v>#N/A N/A</v>
        <stp/>
        <stp>BDP|17967457432443621997</stp>
        <tr r="M57" s="2"/>
      </tp>
      <tp t="s">
        <v>#N/A N/A</v>
        <stp/>
        <stp>BDP|14650860471083840287</stp>
        <tr r="AD181" s="2"/>
      </tp>
      <tp t="s">
        <v>#N/A N/A</v>
        <stp/>
        <stp>BDP|17409835264337617441</stp>
        <tr r="Y126" s="2"/>
      </tp>
      <tp t="s">
        <v>#N/A N/A</v>
        <stp/>
        <stp>BDP|12207881738572386109</stp>
        <tr r="V87" s="2"/>
      </tp>
      <tp t="s">
        <v>#N/A N/A</v>
        <stp/>
        <stp>BDP|12867503984543837648</stp>
        <tr r="C4" s="2"/>
      </tp>
      <tp t="s">
        <v>#N/A N/A</v>
        <stp/>
        <stp>BDP|10665894654141302688</stp>
        <tr r="V180" s="2"/>
      </tp>
      <tp t="s">
        <v>#N/A N/A</v>
        <stp/>
        <stp>BDP|18266412332927306224</stp>
        <tr r="G86" s="2"/>
      </tp>
      <tp t="s">
        <v>#N/A N/A</v>
        <stp/>
        <stp>BDP|14607842860439199937</stp>
        <tr r="AE47" s="2"/>
      </tp>
      <tp t="s">
        <v>#N/A N/A</v>
        <stp/>
        <stp>BDP|13889244612602708892</stp>
        <tr r="D159" s="2"/>
      </tp>
      <tp t="s">
        <v>#N/A N/A</v>
        <stp/>
        <stp>BDP|16133102992037318308</stp>
        <tr r="M201" s="2"/>
      </tp>
      <tp t="s">
        <v>#N/A N/A</v>
        <stp/>
        <stp>BDP|17527360135934587930</stp>
        <tr r="AA192" s="2"/>
      </tp>
      <tp t="s">
        <v>#N/A N/A</v>
        <stp/>
        <stp>BDP|18071898784083999147</stp>
        <tr r="Y164" s="2"/>
      </tp>
      <tp t="s">
        <v>#N/A N/A</v>
        <stp/>
        <stp>BDP|15411452480530236333</stp>
        <tr r="F142" s="2"/>
      </tp>
      <tp t="s">
        <v>#N/A N/A</v>
        <stp/>
        <stp>BDP|14791086555279104287</stp>
        <tr r="V145" s="2"/>
      </tp>
      <tp t="s">
        <v>#N/A N/A</v>
        <stp/>
        <stp>BDP|16637930248512708399</stp>
        <tr r="T76" s="2"/>
      </tp>
      <tp t="s">
        <v>#N/A N/A</v>
        <stp/>
        <stp>BDP|12790349470964836884</stp>
        <tr r="Z239" s="2"/>
      </tp>
      <tp t="s">
        <v>#N/A N/A</v>
        <stp/>
        <stp>BDP|16007257685121632756</stp>
        <tr r="M24" s="2"/>
      </tp>
      <tp t="s">
        <v>#N/A N/A</v>
        <stp/>
        <stp>BDP|15391964075436490773</stp>
        <tr r="U7" s="2"/>
      </tp>
      <tp t="s">
        <v>#N/A N/A</v>
        <stp/>
        <stp>BDP|13354439621968557772</stp>
        <tr r="G20" s="2"/>
      </tp>
      <tp t="s">
        <v>#N/A N/A</v>
        <stp/>
        <stp>BDP|17008722794292508100</stp>
        <tr r="AA42" s="2"/>
      </tp>
      <tp t="s">
        <v>#N/A N/A</v>
        <stp/>
        <stp>BDP|13844205306272559980</stp>
        <tr r="G149" s="2"/>
      </tp>
      <tp t="s">
        <v>#N/A N/A</v>
        <stp/>
        <stp>BDP|11525130303612356855</stp>
        <tr r="AB169" s="2"/>
      </tp>
      <tp t="s">
        <v>#N/A N/A</v>
        <stp/>
        <stp>BDP|12595832716586715755</stp>
        <tr r="AD85" s="2"/>
      </tp>
      <tp t="s">
        <v>#N/A N/A</v>
        <stp/>
        <stp>BDP|13080208492583656169</stp>
        <tr r="O212" s="2"/>
      </tp>
      <tp t="s">
        <v>#N/A N/A</v>
        <stp/>
        <stp>BDP|14381429825070077868</stp>
        <tr r="N152" s="2"/>
      </tp>
      <tp t="s">
        <v>#N/A N/A</v>
        <stp/>
        <stp>BDP|14616309401169120445</stp>
        <tr r="K103" s="2"/>
        <tr r="R103" s="2"/>
        <tr r="W103" s="2"/>
      </tp>
      <tp t="s">
        <v>#N/A N/A</v>
        <stp/>
        <stp>BDP|13629062172479384731</stp>
        <tr r="X164" s="2"/>
      </tp>
      <tp t="s">
        <v>#N/A N/A</v>
        <stp/>
        <stp>BDP|15396447046939290613</stp>
        <tr r="AC206" s="2"/>
      </tp>
      <tp t="s">
        <v>#N/A N/A</v>
        <stp/>
        <stp>BDP|11498467085146345169</stp>
        <tr r="T2" s="2"/>
      </tp>
      <tp t="s">
        <v>#N/A N/A</v>
        <stp/>
        <stp>BDP|11604950090049828290</stp>
        <tr r="Y169" s="2"/>
      </tp>
      <tp t="s">
        <v>#N/A N/A</v>
        <stp/>
        <stp>BDP|12477423510005701835</stp>
        <tr r="N76" s="2"/>
      </tp>
      <tp t="s">
        <v>#N/A N/A</v>
        <stp/>
        <stp>BDP|17354275589644927363</stp>
        <tr r="L40" s="2"/>
      </tp>
      <tp t="s">
        <v>#N/A N/A</v>
        <stp/>
        <stp>BDP|14789898779151675030</stp>
        <tr r="K31" s="2"/>
        <tr r="R31" s="2"/>
        <tr r="W31" s="2"/>
      </tp>
      <tp t="s">
        <v>#N/A N/A</v>
        <stp/>
        <stp>BDP|11752256953745536961</stp>
        <tr r="AD119" s="2"/>
      </tp>
      <tp t="s">
        <v>#N/A N/A</v>
        <stp/>
        <stp>BDP|10771672137346130940</stp>
        <tr r="B197" s="2"/>
      </tp>
      <tp t="s">
        <v>#N/A N/A</v>
        <stp/>
        <stp>BDP|11214635575063430922</stp>
        <tr r="X170" s="2"/>
      </tp>
      <tp t="s">
        <v>#N/A N/A</v>
        <stp/>
        <stp>BDP|16358815404036116255</stp>
        <tr r="V163" s="2"/>
      </tp>
      <tp t="s">
        <v>#N/A N/A</v>
        <stp/>
        <stp>BDP|13923386319383903833</stp>
        <tr r="I77" s="2"/>
      </tp>
      <tp t="s">
        <v>#N/A N/A</v>
        <stp/>
        <stp>BDP|15193937044760783235</stp>
        <tr r="O104" s="2"/>
      </tp>
      <tp t="s">
        <v>#N/A N/A</v>
        <stp/>
        <stp>BDP|10728713103739042409</stp>
        <tr r="K105" s="2"/>
        <tr r="R105" s="2"/>
        <tr r="W105" s="2"/>
      </tp>
      <tp t="s">
        <v>#N/A N/A</v>
        <stp/>
        <stp>BDP|18190833125960125839</stp>
        <tr r="S175" s="2"/>
      </tp>
      <tp t="s">
        <v>#N/A N/A</v>
        <stp/>
        <stp>BDP|17080714330019059046</stp>
        <tr r="X39" s="2"/>
      </tp>
      <tp t="s">
        <v>#N/A N/A</v>
        <stp/>
        <stp>BDP|17742892840974959525</stp>
        <tr r="D235" s="2"/>
      </tp>
      <tp t="s">
        <v>#N/A N/A</v>
        <stp/>
        <stp>BDP|15504874919325718399</stp>
        <tr r="AD144" s="2"/>
      </tp>
      <tp t="s">
        <v>#N/A N/A</v>
        <stp/>
        <stp>BDP|14996397885317531253</stp>
        <tr r="U99" s="2"/>
      </tp>
      <tp t="s">
        <v>#N/A N/A</v>
        <stp/>
        <stp>BDP|13297062070617250934</stp>
        <tr r="I141" s="2"/>
      </tp>
      <tp t="s">
        <v>#N/A N/A</v>
        <stp/>
        <stp>BDP|15460369912105163848</stp>
        <tr r="AC205" s="2"/>
      </tp>
      <tp t="s">
        <v>#N/A N/A</v>
        <stp/>
        <stp>BDP|16485069125036642845</stp>
        <tr r="Z177" s="2"/>
      </tp>
      <tp t="s">
        <v>#N/A N/A</v>
        <stp/>
        <stp>BDP|18119352267774309354</stp>
        <tr r="G91" s="2"/>
      </tp>
      <tp t="s">
        <v>#N/A N/A</v>
        <stp/>
        <stp>BDP|16383561518020061888</stp>
        <tr r="V92" s="2"/>
      </tp>
      <tp t="s">
        <v>#N/A N/A</v>
        <stp/>
        <stp>BDP|14146409180966143457</stp>
        <tr r="F199" s="2"/>
      </tp>
      <tp t="s">
        <v>#N/A N/A</v>
        <stp/>
        <stp>BDP|17003756381200076217</stp>
        <tr r="X117" s="2"/>
      </tp>
      <tp t="s">
        <v>#N/A N/A</v>
        <stp/>
        <stp>BDP|17724858125165029231</stp>
        <tr r="U155" s="2"/>
      </tp>
      <tp t="s">
        <v>#N/A N/A</v>
        <stp/>
        <stp>BDP|17930096890130699422</stp>
        <tr r="H191" s="2"/>
      </tp>
      <tp t="s">
        <v>#N/A N/A</v>
        <stp/>
        <stp>BDP|12533807747976439220</stp>
        <tr r="Z226" s="2"/>
      </tp>
      <tp t="s">
        <v>#N/A N/A</v>
        <stp/>
        <stp>BDP|17071753647098116678</stp>
        <tr r="B133" s="2"/>
      </tp>
      <tp t="s">
        <v>#N/A N/A</v>
        <stp/>
        <stp>BDP|14737653667438606679</stp>
        <tr r="E209" s="2"/>
      </tp>
      <tp t="s">
        <v>#N/A N/A</v>
        <stp/>
        <stp>BDP|15746730193923732243</stp>
        <tr r="V198" s="2"/>
      </tp>
      <tp t="s">
        <v>#N/A N/A</v>
        <stp/>
        <stp>BDP|16565603205888540215</stp>
        <tr r="B34" s="2"/>
      </tp>
      <tp t="s">
        <v>#N/A N/A</v>
        <stp/>
        <stp>BDP|12883562818699105530</stp>
        <tr r="AE232" s="2"/>
      </tp>
      <tp t="s">
        <v>#N/A N/A</v>
        <stp/>
        <stp>BDP|16653800646765663525</stp>
        <tr r="AB94" s="2"/>
      </tp>
      <tp t="s">
        <v>#N/A N/A</v>
        <stp/>
        <stp>BDP|13818930877522038587</stp>
        <tr r="C91" s="2"/>
      </tp>
      <tp t="s">
        <v>#N/A N/A</v>
        <stp/>
        <stp>BDP|11015882977802929629</stp>
        <tr r="H240" s="2"/>
      </tp>
      <tp t="s">
        <v>#N/A N/A</v>
        <stp/>
        <stp>BDP|16036133521898372758</stp>
        <tr r="V197" s="2"/>
      </tp>
      <tp t="s">
        <v>#N/A N/A</v>
        <stp/>
        <stp>BDP|12385922049782886742</stp>
        <tr r="U25" s="2"/>
      </tp>
      <tp t="s">
        <v>#N/A N/A</v>
        <stp/>
        <stp>BDP|16011184204428915517</stp>
        <tr r="Q20" s="2"/>
      </tp>
      <tp t="s">
        <v>#N/A N/A</v>
        <stp/>
        <stp>BDP|12780800062607625179</stp>
        <tr r="B93" s="2"/>
      </tp>
      <tp t="s">
        <v>#N/A N/A</v>
        <stp/>
        <stp>BDP|10393851204847205544</stp>
        <tr r="O143" s="2"/>
      </tp>
      <tp t="s">
        <v>#N/A N/A</v>
        <stp/>
        <stp>BDP|12593721132668406464</stp>
        <tr r="AC215" s="2"/>
      </tp>
      <tp t="s">
        <v>#N/A N/A</v>
        <stp/>
        <stp>BDP|13064519004794268807</stp>
        <tr r="N114" s="2"/>
      </tp>
      <tp t="s">
        <v>#N/A N/A</v>
        <stp/>
        <stp>BDP|17664835271555377709</stp>
        <tr r="V2" s="2"/>
      </tp>
      <tp t="s">
        <v>#N/A N/A</v>
        <stp/>
        <stp>BDP|15759730460588482676</stp>
        <tr r="I79" s="2"/>
      </tp>
      <tp t="s">
        <v>#N/A N/A</v>
        <stp/>
        <stp>BDP|16186154873148062209</stp>
        <tr r="T192" s="2"/>
      </tp>
      <tp t="s">
        <v>#N/A N/A</v>
        <stp/>
        <stp>BDP|12590126383477099633</stp>
        <tr r="L166" s="2"/>
      </tp>
      <tp t="s">
        <v>#N/A N/A</v>
        <stp/>
        <stp>BDP|13260386377344961935</stp>
        <tr r="F129" s="2"/>
      </tp>
      <tp t="s">
        <v>#N/A N/A</v>
        <stp/>
        <stp>BDP|13603602271061456947</stp>
        <tr r="AE167" s="2"/>
      </tp>
      <tp t="s">
        <v>#N/A N/A</v>
        <stp/>
        <stp>BDP|17251866472157546540</stp>
        <tr r="N239" s="2"/>
      </tp>
      <tp t="s">
        <v>#N/A N/A</v>
        <stp/>
        <stp>BDP|13233953245515748124</stp>
        <tr r="AE29" s="2"/>
      </tp>
      <tp t="s">
        <v>#N/A N/A</v>
        <stp/>
        <stp>BDP|11705170376295028815</stp>
        <tr r="N158" s="2"/>
      </tp>
      <tp t="s">
        <v>#N/A N/A</v>
        <stp/>
        <stp>BDP|17633803311663707773</stp>
        <tr r="AB187" s="2"/>
      </tp>
      <tp t="s">
        <v>#N/A N/A</v>
        <stp/>
        <stp>BDP|17798490271319838711</stp>
        <tr r="Y172" s="2"/>
      </tp>
      <tp t="s">
        <v>#N/A N/A</v>
        <stp/>
        <stp>BDP|14054124813937516926</stp>
        <tr r="Q189" s="2"/>
      </tp>
      <tp t="s">
        <v>#N/A N/A</v>
        <stp/>
        <stp>BDP|11259361961868348606</stp>
        <tr r="K197" s="2"/>
        <tr r="R197" s="2"/>
        <tr r="W197" s="2"/>
      </tp>
      <tp t="s">
        <v>#N/A N/A</v>
        <stp/>
        <stp>BDP|17430871622625487232</stp>
        <tr r="N104" s="2"/>
      </tp>
      <tp t="s">
        <v>#N/A N/A</v>
        <stp/>
        <stp>BDP|16665043692233433627</stp>
        <tr r="D28" s="2"/>
      </tp>
      <tp t="s">
        <v>#N/A N/A</v>
        <stp/>
        <stp>BDP|17304639906559498247</stp>
        <tr r="T130" s="2"/>
      </tp>
      <tp t="s">
        <v>#N/A N/A</v>
        <stp/>
        <stp>BDP|15207820357136581449</stp>
        <tr r="H205" s="2"/>
      </tp>
      <tp t="s">
        <v>#N/A N/A</v>
        <stp/>
        <stp>BDP|17775287835849842548</stp>
        <tr r="K229" s="2"/>
        <tr r="R229" s="2"/>
        <tr r="W229" s="2"/>
      </tp>
      <tp t="s">
        <v>#N/A N/A</v>
        <stp/>
        <stp>BDP|13001039783212186377</stp>
        <tr r="E151" s="2"/>
      </tp>
      <tp t="s">
        <v>#N/A N/A</v>
        <stp/>
        <stp>BDP|10977480674669897147</stp>
        <tr r="AB184" s="2"/>
      </tp>
      <tp t="s">
        <v>#N/A N/A</v>
        <stp/>
        <stp>BDP|14946759672086339940</stp>
        <tr r="F165" s="2"/>
      </tp>
      <tp t="s">
        <v>#N/A N/A</v>
        <stp/>
        <stp>BDP|11450498026525241900</stp>
        <tr r="AC148" s="2"/>
      </tp>
      <tp t="s">
        <v>#N/A N/A</v>
        <stp/>
        <stp>BDP|10205846941117679081</stp>
        <tr r="D101" s="2"/>
      </tp>
      <tp t="s">
        <v>#N/A N/A</v>
        <stp/>
        <stp>BDP|17041178893477944349</stp>
        <tr r="E16" s="2"/>
      </tp>
      <tp t="s">
        <v>#N/A N/A</v>
        <stp/>
        <stp>BDP|17979879841793271354</stp>
        <tr r="N123" s="2"/>
      </tp>
      <tp t="s">
        <v>#N/A N/A</v>
        <stp/>
        <stp>BDP|12995217824310765932</stp>
        <tr r="K15" s="2"/>
        <tr r="R15" s="2"/>
        <tr r="W15" s="2"/>
      </tp>
      <tp t="s">
        <v>#N/A N/A</v>
        <stp/>
        <stp>BDP|17241665051559498695</stp>
        <tr r="E44" s="2"/>
      </tp>
      <tp t="s">
        <v>#N/A N/A</v>
        <stp/>
        <stp>BDP|17503997579077977548</stp>
        <tr r="U125" s="2"/>
      </tp>
      <tp t="s">
        <v>#N/A N/A</v>
        <stp/>
        <stp>BDP|18212563599988550701</stp>
        <tr r="Y20" s="2"/>
      </tp>
      <tp t="s">
        <v>#N/A N/A</v>
        <stp/>
        <stp>BDP|15757965959422415046</stp>
        <tr r="L25" s="2"/>
      </tp>
      <tp t="s">
        <v>#N/A N/A</v>
        <stp/>
        <stp>BDP|10430984420409703930</stp>
        <tr r="V190" s="2"/>
      </tp>
      <tp t="s">
        <v>#N/A N/A</v>
        <stp/>
        <stp>BDP|13403152038768664270</stp>
        <tr r="D129" s="2"/>
      </tp>
      <tp t="s">
        <v>#N/A N/A</v>
        <stp/>
        <stp>BDP|15307637898628308933</stp>
        <tr r="F154" s="2"/>
      </tp>
      <tp t="s">
        <v>#N/A N/A</v>
        <stp/>
        <stp>BDP|11498292487576173639</stp>
        <tr r="X28" s="2"/>
      </tp>
      <tp t="s">
        <v>#N/A N/A</v>
        <stp/>
        <stp>BDP|16062455975776029883</stp>
        <tr r="E110" s="2"/>
      </tp>
      <tp t="s">
        <v>#N/A N/A</v>
        <stp/>
        <stp>BDP|16538765351658923736</stp>
        <tr r="N108" s="2"/>
      </tp>
      <tp t="s">
        <v>#N/A N/A</v>
        <stp/>
        <stp>BDP|15359797181686274728</stp>
        <tr r="P166" s="2"/>
      </tp>
      <tp t="s">
        <v>#N/A N/A</v>
        <stp/>
        <stp>BDP|15653536316613887902</stp>
        <tr r="K202" s="2"/>
        <tr r="R202" s="2"/>
        <tr r="W202" s="2"/>
      </tp>
      <tp t="s">
        <v>#N/A N/A</v>
        <stp/>
        <stp>BDP|11361271487270036087</stp>
        <tr r="B204" s="2"/>
      </tp>
      <tp t="s">
        <v>#N/A N/A</v>
        <stp/>
        <stp>BDP|10921130552388263717</stp>
        <tr r="T194" s="2"/>
      </tp>
      <tp t="s">
        <v>#N/A N/A</v>
        <stp/>
        <stp>BDP|10954883446891988656</stp>
        <tr r="C140" s="2"/>
      </tp>
      <tp t="s">
        <v>#N/A N/A</v>
        <stp/>
        <stp>BDP|16949714388506318483</stp>
        <tr r="AA53" s="2"/>
      </tp>
      <tp t="s">
        <v>#N/A N/A</v>
        <stp/>
        <stp>BDP|17274096422819213711</stp>
        <tr r="C183" s="2"/>
      </tp>
      <tp t="s">
        <v>#N/A N/A</v>
        <stp/>
        <stp>BDP|16778883345943189219</stp>
        <tr r="L6" s="2"/>
      </tp>
      <tp t="s">
        <v>#N/A N/A</v>
        <stp/>
        <stp>BDP|13885891986771986945</stp>
        <tr r="K102" s="2"/>
        <tr r="R102" s="2"/>
        <tr r="W102" s="2"/>
      </tp>
      <tp t="s">
        <v>#N/A N/A</v>
        <stp/>
        <stp>BDP|11340991925353079250</stp>
        <tr r="U142" s="2"/>
      </tp>
      <tp t="s">
        <v>#N/A N/A</v>
        <stp/>
        <stp>BDP|13287980545773191646</stp>
        <tr r="C65" s="2"/>
      </tp>
      <tp t="s">
        <v>#N/A N/A</v>
        <stp/>
        <stp>BDP|17157114846640809947</stp>
        <tr r="Q207" s="2"/>
      </tp>
      <tp t="s">
        <v>#N/A N/A</v>
        <stp/>
        <stp>BDP|11854765646100327914</stp>
        <tr r="V194" s="2"/>
      </tp>
      <tp t="s">
        <v>#N/A N/A</v>
        <stp/>
        <stp>BDP|11211320030523233980</stp>
        <tr r="N117" s="2"/>
      </tp>
      <tp t="s">
        <v>#N/A N/A</v>
        <stp/>
        <stp>BDP|11890951001044696707</stp>
        <tr r="AD120" s="2"/>
      </tp>
      <tp t="s">
        <v>#N/A N/A</v>
        <stp/>
        <stp>BDP|15051132384362916543</stp>
        <tr r="AC192" s="2"/>
      </tp>
      <tp t="s">
        <v>#N/A N/A</v>
        <stp/>
        <stp>BDP|17067680826078676024</stp>
        <tr r="AD198" s="2"/>
      </tp>
      <tp t="s">
        <v>#N/A N/A</v>
        <stp/>
        <stp>BDP|15817813245944621671</stp>
        <tr r="X191" s="2"/>
      </tp>
      <tp t="s">
        <v>#N/A N/A</v>
        <stp/>
        <stp>BDP|12385404868708242342</stp>
        <tr r="N55" s="2"/>
      </tp>
      <tp t="s">
        <v>#N/A N/A</v>
        <stp/>
        <stp>BDP|12475815775202403493</stp>
        <tr r="X113" s="2"/>
      </tp>
      <tp t="s">
        <v>#N/A N/A</v>
        <stp/>
        <stp>BDP|16139951832271364685</stp>
        <tr r="AC237" s="2"/>
      </tp>
      <tp t="s">
        <v>#N/A N/A</v>
        <stp/>
        <stp>BDP|15134676424292978862</stp>
        <tr r="AD218" s="2"/>
      </tp>
      <tp t="s">
        <v>#N/A N/A</v>
        <stp/>
        <stp>BDP|11758410454058740386</stp>
        <tr r="Y68" s="2"/>
      </tp>
      <tp t="s">
        <v>#N/A N/A</v>
        <stp/>
        <stp>BDP|14443012789552321526</stp>
        <tr r="B167" s="2"/>
      </tp>
      <tp t="s">
        <v>#N/A N/A</v>
        <stp/>
        <stp>BDP|11567154808332410916</stp>
        <tr r="AC27" s="2"/>
      </tp>
      <tp t="s">
        <v>#N/A N/A</v>
        <stp/>
        <stp>BDP|15046275081297279392</stp>
        <tr r="AE179" s="2"/>
      </tp>
      <tp t="s">
        <v>#N/A N/A</v>
        <stp/>
        <stp>BDP|12079239770568771487</stp>
        <tr r="I30" s="2"/>
      </tp>
      <tp t="s">
        <v>#N/A N/A</v>
        <stp/>
        <stp>BDP|16305198274548641346</stp>
        <tr r="F112" s="2"/>
      </tp>
      <tp t="s">
        <v>#N/A N/A</v>
        <stp/>
        <stp>BDP|13436463513554997942</stp>
        <tr r="AA89" s="2"/>
      </tp>
      <tp t="s">
        <v>#N/A N/A</v>
        <stp/>
        <stp>BDP|15542830369956493675</stp>
        <tr r="E15" s="2"/>
      </tp>
      <tp t="s">
        <v>#N/A N/A</v>
        <stp/>
        <stp>BDP|18433984445527301962</stp>
        <tr r="Q31" s="2"/>
      </tp>
      <tp t="s">
        <v>#N/A N/A</v>
        <stp/>
        <stp>BDP|12386521622059891777</stp>
        <tr r="Y80" s="2"/>
      </tp>
      <tp t="s">
        <v>#N/A N/A</v>
        <stp/>
        <stp>BDP|10048220926062873906</stp>
        <tr r="AD97" s="2"/>
      </tp>
      <tp t="s">
        <v>#N/A N/A</v>
        <stp/>
        <stp>BDP|14306669518721294933</stp>
        <tr r="K111" s="2"/>
        <tr r="R111" s="2"/>
        <tr r="W111" s="2"/>
      </tp>
      <tp t="s">
        <v>#N/A N/A</v>
        <stp/>
        <stp>BDP|13462057599596199760</stp>
        <tr r="AB79" s="2"/>
      </tp>
      <tp t="s">
        <v>#N/A N/A</v>
        <stp/>
        <stp>BDP|11633607429108497641</stp>
        <tr r="L201" s="2"/>
      </tp>
      <tp t="s">
        <v>#N/A N/A</v>
        <stp/>
        <stp>BDP|14107824768426138750</stp>
        <tr r="K210" s="2"/>
        <tr r="R210" s="2"/>
        <tr r="W210" s="2"/>
      </tp>
      <tp t="s">
        <v>#N/A N/A</v>
        <stp/>
        <stp>BDP|16811434547355177822</stp>
        <tr r="Z73" s="2"/>
      </tp>
      <tp t="s">
        <v>#N/A N/A</v>
        <stp/>
        <stp>BDP|15111636350084866953</stp>
        <tr r="Y162" s="2"/>
      </tp>
      <tp t="s">
        <v>#N/A N/A</v>
        <stp/>
        <stp>BDP|18182192450646296155</stp>
        <tr r="B238" s="2"/>
      </tp>
      <tp t="s">
        <v>#N/A N/A</v>
        <stp/>
        <stp>BDP|12733360454789856626</stp>
        <tr r="B122" s="2"/>
      </tp>
      <tp t="s">
        <v>#N/A N/A</v>
        <stp/>
        <stp>BDP|13089835805622958209</stp>
        <tr r="K157" s="2"/>
        <tr r="R157" s="2"/>
        <tr r="W157" s="2"/>
      </tp>
      <tp t="s">
        <v>#N/A N/A</v>
        <stp/>
        <stp>BDP|16387904233502995567</stp>
        <tr r="Z214" s="2"/>
      </tp>
      <tp t="s">
        <v>#N/A N/A</v>
        <stp/>
        <stp>BDP|16963944341140604057</stp>
        <tr r="C156" s="2"/>
      </tp>
      <tp t="s">
        <v>#N/A N/A</v>
        <stp/>
        <stp>BDP|16847173097725429029</stp>
        <tr r="X169" s="2"/>
      </tp>
      <tp t="s">
        <v>#N/A N/A</v>
        <stp/>
        <stp>BDP|17032846570993885028</stp>
        <tr r="B57" s="2"/>
      </tp>
      <tp t="s">
        <v>#N/A N/A</v>
        <stp/>
        <stp>BDP|15194697189592603298</stp>
        <tr r="P101" s="2"/>
      </tp>
      <tp t="s">
        <v>#N/A N/A</v>
        <stp/>
        <stp>BDP|11690994318283191185</stp>
        <tr r="O82" s="2"/>
      </tp>
      <tp t="s">
        <v>#N/A N/A</v>
        <stp/>
        <stp>BDP|17290683813159018279</stp>
        <tr r="X68" s="2"/>
      </tp>
      <tp t="s">
        <v>#N/A N/A</v>
        <stp/>
        <stp>BDP|13595910824387697481</stp>
        <tr r="AE240" s="2"/>
      </tp>
      <tp t="s">
        <v>#N/A N/A</v>
        <stp/>
        <stp>BDP|11632826495932794985</stp>
        <tr r="S137" s="2"/>
      </tp>
      <tp t="s">
        <v>#N/A N/A</v>
        <stp/>
        <stp>BDP|16278667401372870930</stp>
        <tr r="G108" s="2"/>
      </tp>
      <tp t="s">
        <v>#N/A N/A</v>
        <stp/>
        <stp>BDP|11102500973968150027</stp>
        <tr r="M68" s="2"/>
      </tp>
      <tp t="s">
        <v>#N/A N/A</v>
        <stp/>
        <stp>BDP|12891924523620173296</stp>
        <tr r="F211" s="2"/>
      </tp>
      <tp t="s">
        <v>#N/A N/A</v>
        <stp/>
        <stp>BDP|12536138492417175640</stp>
        <tr r="AB150" s="2"/>
      </tp>
      <tp t="s">
        <v>#N/A N/A</v>
        <stp/>
        <stp>BDP|16743536616520487972</stp>
        <tr r="D201" s="2"/>
      </tp>
      <tp t="s">
        <v>#N/A N/A</v>
        <stp/>
        <stp>BDP|13274449190306747305</stp>
        <tr r="AE202" s="2"/>
      </tp>
      <tp t="s">
        <v>#N/A N/A</v>
        <stp/>
        <stp>BDP|12928512266423915962</stp>
        <tr r="O93" s="2"/>
      </tp>
      <tp t="s">
        <v>#N/A N/A</v>
        <stp/>
        <stp>BDP|17787579092645520563</stp>
        <tr r="F180" s="2"/>
      </tp>
      <tp t="s">
        <v>#N/A N/A</v>
        <stp/>
        <stp>BDP|17210023561309627365</stp>
        <tr r="O57" s="2"/>
      </tp>
      <tp t="s">
        <v>#N/A N/A</v>
        <stp/>
        <stp>BDP|15595220997520307529</stp>
        <tr r="L240" s="2"/>
      </tp>
      <tp t="s">
        <v>#N/A N/A</v>
        <stp/>
        <stp>BDP|10293370482814256441</stp>
        <tr r="Z18" s="2"/>
      </tp>
      <tp t="s">
        <v>#N/A N/A</v>
        <stp/>
        <stp>BDP|11195753867179575266</stp>
        <tr r="B69" s="2"/>
      </tp>
      <tp t="s">
        <v>#N/A N/A</v>
        <stp/>
        <stp>BDP|12154230145728385745</stp>
        <tr r="I187" s="2"/>
      </tp>
      <tp t="s">
        <v>#N/A N/A</v>
        <stp/>
        <stp>BDP|13623519458559761186</stp>
        <tr r="N26" s="2"/>
      </tp>
      <tp t="s">
        <v>#N/A N/A</v>
        <stp/>
        <stp>BDP|10041768768793906976</stp>
        <tr r="L202" s="2"/>
      </tp>
      <tp t="s">
        <v>#N/A N/A</v>
        <stp/>
        <stp>BDP|15436424115613538862</stp>
        <tr r="V152" s="2"/>
      </tp>
      <tp t="s">
        <v>#N/A N/A</v>
        <stp/>
        <stp>BDP|15447411826451209916</stp>
        <tr r="O67" s="2"/>
      </tp>
      <tp t="s">
        <v>#N/A N/A</v>
        <stp/>
        <stp>BDP|17658122596614760053</stp>
        <tr r="AA28" s="2"/>
      </tp>
      <tp t="s">
        <v>#N/A N/A</v>
        <stp/>
        <stp>BDP|11004881409434497667</stp>
        <tr r="F169" s="2"/>
      </tp>
      <tp t="s">
        <v>#N/A N/A</v>
        <stp/>
        <stp>BDP|15243238384884276049</stp>
        <tr r="S133" s="2"/>
      </tp>
      <tp t="s">
        <v>#N/A N/A</v>
        <stp/>
        <stp>BDP|15568000438999702497</stp>
        <tr r="V104" s="2"/>
      </tp>
      <tp t="s">
        <v>#N/A N/A</v>
        <stp/>
        <stp>BDP|18266583310970954701</stp>
        <tr r="AD180" s="2"/>
      </tp>
      <tp t="s">
        <v>#N/A N/A</v>
        <stp/>
        <stp>BDP|14344349709668970443</stp>
        <tr r="O6" s="2"/>
      </tp>
      <tp t="s">
        <v>#N/A N/A</v>
        <stp/>
        <stp>BDP|18053570047131411376</stp>
        <tr r="AE207" s="2"/>
      </tp>
      <tp t="s">
        <v>#N/A N/A</v>
        <stp/>
        <stp>BDP|15134912960514728544</stp>
        <tr r="V133" s="2"/>
      </tp>
      <tp t="s">
        <v>#N/A N/A</v>
        <stp/>
        <stp>BDP|17371771981541188279</stp>
        <tr r="O230" s="2"/>
      </tp>
      <tp t="s">
        <v>#N/A N/A</v>
        <stp/>
        <stp>BDP|13409919612909671927</stp>
        <tr r="F225" s="2"/>
      </tp>
      <tp t="s">
        <v>#N/A N/A</v>
        <stp/>
        <stp>BDP|10583673794473298776</stp>
        <tr r="F51" s="2"/>
      </tp>
      <tp t="s">
        <v>#N/A N/A</v>
        <stp/>
        <stp>BDP|17860743800128893378</stp>
        <tr r="V217" s="2"/>
      </tp>
      <tp t="s">
        <v>#N/A N/A</v>
        <stp/>
        <stp>BDP|15375241763473273950</stp>
        <tr r="M114" s="2"/>
      </tp>
      <tp t="s">
        <v>#N/A N/A</v>
        <stp/>
        <stp>BDP|14088551517042339931</stp>
        <tr r="P7" s="2"/>
      </tp>
      <tp t="s">
        <v>#N/A N/A</v>
        <stp/>
        <stp>BDP|17958826776851746286</stp>
        <tr r="E139" s="2"/>
      </tp>
      <tp t="s">
        <v>#N/A N/A</v>
        <stp/>
        <stp>BDP|17102075777918630357</stp>
        <tr r="M238" s="2"/>
      </tp>
      <tp t="s">
        <v>#N/A N/A</v>
        <stp/>
        <stp>BDP|18109118177395075052</stp>
        <tr r="H42" s="2"/>
      </tp>
      <tp t="s">
        <v>#N/A N/A</v>
        <stp/>
        <stp>BDP|17342822647513249364</stp>
        <tr r="V192" s="2"/>
      </tp>
      <tp t="s">
        <v>#N/A N/A</v>
        <stp/>
        <stp>BDP|13192963401279304879</stp>
        <tr r="AA9" s="2"/>
      </tp>
      <tp t="s">
        <v>#N/A N/A</v>
        <stp/>
        <stp>BDP|10614307178827377883</stp>
        <tr r="AD184" s="2"/>
      </tp>
      <tp t="s">
        <v>#N/A N/A</v>
        <stp/>
        <stp>BDP|12642813362956676166</stp>
        <tr r="Z220" s="2"/>
      </tp>
      <tp t="s">
        <v>#N/A N/A</v>
        <stp/>
        <stp>BDP|13597670313507291869</stp>
        <tr r="AC47" s="2"/>
      </tp>
      <tp t="s">
        <v>#N/A N/A</v>
        <stp/>
        <stp>BDP|18331943455678731704</stp>
        <tr r="AB141" s="2"/>
      </tp>
      <tp t="s">
        <v>#N/A N/A</v>
        <stp/>
        <stp>BDP|13016317043856699912</stp>
        <tr r="Y215" s="2"/>
      </tp>
      <tp t="s">
        <v>#N/A N/A</v>
        <stp/>
        <stp>BDP|17653633648749140790</stp>
        <tr r="L181" s="2"/>
      </tp>
      <tp t="s">
        <v>#N/A N/A</v>
        <stp/>
        <stp>BDP|17747067272113237845</stp>
        <tr r="C162" s="2"/>
      </tp>
      <tp t="s">
        <v>#N/A N/A</v>
        <stp/>
        <stp>BDP|11703072474895911891</stp>
        <tr r="L140" s="2"/>
      </tp>
      <tp t="s">
        <v>#N/A N/A</v>
        <stp/>
        <stp>BDP|18337368084641148941</stp>
        <tr r="AB177" s="2"/>
      </tp>
      <tp t="s">
        <v>#N/A N/A</v>
        <stp/>
        <stp>BDP|10584499581120994701</stp>
        <tr r="G59" s="2"/>
      </tp>
      <tp t="s">
        <v>#N/A N/A</v>
        <stp/>
        <stp>BDP|16682423888653053284</stp>
        <tr r="S18" s="2"/>
      </tp>
      <tp t="s">
        <v>#N/A N/A</v>
        <stp/>
        <stp>BDP|10592992082743241984</stp>
        <tr r="O87" s="2"/>
      </tp>
      <tp t="s">
        <v>#N/A N/A</v>
        <stp/>
        <stp>BDP|13490266558996803964</stp>
        <tr r="B60" s="2"/>
      </tp>
      <tp t="s">
        <v>#N/A N/A</v>
        <stp/>
        <stp>BDP|17977201959152220967</stp>
        <tr r="G168" s="2"/>
      </tp>
      <tp t="s">
        <v>#N/A N/A</v>
        <stp/>
        <stp>BDP|15546484795055418685</stp>
        <tr r="X174" s="2"/>
      </tp>
      <tp t="s">
        <v>#N/A N/A</v>
        <stp/>
        <stp>BDP|10060429660148437117</stp>
        <tr r="Z41" s="2"/>
      </tp>
      <tp t="s">
        <v>#N/A N/A</v>
        <stp/>
        <stp>BDP|12802041072937867916</stp>
        <tr r="N200" s="2"/>
      </tp>
      <tp t="s">
        <v>#N/A N/A</v>
        <stp/>
        <stp>BDP|13365028765439203712</stp>
        <tr r="Y240" s="2"/>
      </tp>
      <tp t="s">
        <v>#N/A N/A</v>
        <stp/>
        <stp>BDP|13032924059886839241</stp>
        <tr r="X148" s="2"/>
      </tp>
      <tp t="s">
        <v>#N/A N/A</v>
        <stp/>
        <stp>BDP|15050235129837416998</stp>
        <tr r="Z153" s="2"/>
      </tp>
      <tp t="s">
        <v>#N/A N/A</v>
        <stp/>
        <stp>BDP|17720623517749442212</stp>
        <tr r="K96" s="2"/>
        <tr r="R96" s="2"/>
        <tr r="W96" s="2"/>
      </tp>
      <tp t="s">
        <v>#N/A N/A</v>
        <stp/>
        <stp>BDP|10297810304362770166</stp>
        <tr r="C45" s="2"/>
      </tp>
      <tp t="s">
        <v>#N/A N/A</v>
        <stp/>
        <stp>BDP|18120623463765740619</stp>
        <tr r="P185" s="2"/>
      </tp>
      <tp t="s">
        <v>#N/A N/A</v>
        <stp/>
        <stp>BDP|10699265328402720992</stp>
        <tr r="AB227" s="2"/>
      </tp>
      <tp t="s">
        <v>#N/A N/A</v>
        <stp/>
        <stp>BDP|11736341898292501288</stp>
        <tr r="T167" s="2"/>
      </tp>
      <tp t="s">
        <v>#N/A N/A</v>
        <stp/>
        <stp>BDP|16684290549659248224</stp>
        <tr r="M163" s="2"/>
      </tp>
      <tp t="s">
        <v>#N/A N/A</v>
        <stp/>
        <stp>BDP|10210033443899602627</stp>
        <tr r="D97" s="2"/>
      </tp>
      <tp t="s">
        <v>#N/A N/A</v>
        <stp/>
        <stp>BDP|12021717451059601208</stp>
        <tr r="G219" s="2"/>
      </tp>
      <tp t="s">
        <v>#N/A N/A</v>
        <stp/>
        <stp>BDP|14514367891873728631</stp>
        <tr r="G32" s="2"/>
      </tp>
      <tp t="s">
        <v>#N/A N/A</v>
        <stp/>
        <stp>BDP|14418848533633613732</stp>
        <tr r="AE82" s="2"/>
      </tp>
      <tp t="s">
        <v>#N/A N/A</v>
        <stp/>
        <stp>BDP|14096459135830672803</stp>
        <tr r="AD109" s="2"/>
      </tp>
      <tp t="s">
        <v>#N/A N/A</v>
        <stp/>
        <stp>BDP|11122333993039252954</stp>
        <tr r="Q239" s="2"/>
      </tp>
      <tp t="s">
        <v>#N/A N/A</v>
        <stp/>
        <stp>BDP|13425041575438164721</stp>
        <tr r="O83" s="2"/>
      </tp>
      <tp t="s">
        <v>#N/A N/A</v>
        <stp/>
        <stp>BDP|10743904831144017507</stp>
        <tr r="Z78" s="2"/>
      </tp>
      <tp t="s">
        <v>#N/A N/A</v>
        <stp/>
        <stp>BDP|16071066363023338804</stp>
        <tr r="F194" s="2"/>
      </tp>
      <tp t="s">
        <v>#N/A N/A</v>
        <stp/>
        <stp>BDP|16980299765910647958</stp>
        <tr r="B177" s="2"/>
      </tp>
      <tp t="s">
        <v>#N/A N/A</v>
        <stp/>
        <stp>BDP|11388615894596349338</stp>
        <tr r="G134" s="2"/>
      </tp>
      <tp t="s">
        <v>#N/A N/A</v>
        <stp/>
        <stp>BDP|18132354460662990747</stp>
        <tr r="P76" s="2"/>
      </tp>
      <tp t="s">
        <v>#N/A N/A</v>
        <stp/>
        <stp>BDP|15288771739680054957</stp>
        <tr r="AE119" s="2"/>
      </tp>
      <tp t="s">
        <v>#N/A N/A</v>
        <stp/>
        <stp>BDP|17313692623999799274</stp>
        <tr r="S132" s="2"/>
      </tp>
      <tp t="s">
        <v>#N/A N/A</v>
        <stp/>
        <stp>BDP|11832540285405166114</stp>
        <tr r="F232" s="2"/>
      </tp>
      <tp t="s">
        <v>#N/A N/A</v>
        <stp/>
        <stp>BDP|13030899824584187548</stp>
        <tr r="S88" s="2"/>
      </tp>
      <tp t="s">
        <v>#N/A N/A</v>
        <stp/>
        <stp>BDP|11262945721455683791</stp>
        <tr r="G186" s="2"/>
      </tp>
      <tp t="s">
        <v>#N/A N/A</v>
        <stp/>
        <stp>BDP|13936104003638348218</stp>
        <tr r="N24" s="2"/>
      </tp>
      <tp t="s">
        <v>#N/A N/A</v>
        <stp/>
        <stp>BDP|12849511456888331243</stp>
        <tr r="E28" s="2"/>
      </tp>
      <tp t="s">
        <v>#N/A N/A</v>
        <stp/>
        <stp>BDP|12297566689332245574</stp>
        <tr r="AC57" s="2"/>
      </tp>
      <tp t="s">
        <v>#N/A N/A</v>
        <stp/>
        <stp>BDP|14881839081224512871</stp>
        <tr r="L238" s="2"/>
      </tp>
      <tp t="s">
        <v>#N/A N/A</v>
        <stp/>
        <stp>BDP|11929404091075936194</stp>
        <tr r="O231" s="2"/>
      </tp>
      <tp t="s">
        <v>#N/A N/A</v>
        <stp/>
        <stp>BDP|13583045482972951126</stp>
        <tr r="I22" s="2"/>
      </tp>
      <tp t="s">
        <v>#N/A N/A</v>
        <stp/>
        <stp>BDP|17077765387019967902</stp>
        <tr r="G89" s="2"/>
      </tp>
      <tp t="s">
        <v>#N/A N/A</v>
        <stp/>
        <stp>BDP|11230157527878195291</stp>
        <tr r="I25" s="2"/>
      </tp>
      <tp t="s">
        <v>#N/A N/A</v>
        <stp/>
        <stp>BDP|18420467639630563761</stp>
        <tr r="AC170" s="2"/>
      </tp>
      <tp t="s">
        <v>#N/A N/A</v>
        <stp/>
        <stp>BDP|12185992819023886129</stp>
        <tr r="P234" s="2"/>
      </tp>
      <tp t="s">
        <v>#N/A N/A</v>
        <stp/>
        <stp>BDP|15828887701880867520</stp>
        <tr r="P155" s="2"/>
      </tp>
      <tp t="s">
        <v>#N/A N/A</v>
        <stp/>
        <stp>BDP|18017060842906630292</stp>
        <tr r="AA126" s="2"/>
      </tp>
      <tp t="s">
        <v>#N/A N/A</v>
        <stp/>
        <stp>BDP|11811137932008192337</stp>
        <tr r="AE37" s="2"/>
      </tp>
      <tp t="s">
        <v>#N/A N/A</v>
        <stp/>
        <stp>BDP|18064932234122869840</stp>
        <tr r="G15" s="2"/>
      </tp>
      <tp t="s">
        <v>#N/A N/A</v>
        <stp/>
        <stp>BDP|11062270566318818525</stp>
        <tr r="C164" s="2"/>
      </tp>
      <tp t="s">
        <v>#N/A N/A</v>
        <stp/>
        <stp>BDP|15916318463618999090</stp>
        <tr r="G112" s="2"/>
      </tp>
      <tp t="s">
        <v>#N/A N/A</v>
        <stp/>
        <stp>BDP|16904374043121351855</stp>
        <tr r="F90" s="2"/>
      </tp>
      <tp t="s">
        <v>#N/A N/A</v>
        <stp/>
        <stp>BDP|16849726312990504870</stp>
        <tr r="Q13" s="2"/>
      </tp>
      <tp t="s">
        <v>#N/A N/A</v>
        <stp/>
        <stp>BDP|16460012192241892655</stp>
        <tr r="I157" s="2"/>
      </tp>
      <tp t="s">
        <v>#N/A N/A</v>
        <stp/>
        <stp>BDP|17492586792070459302</stp>
        <tr r="L80" s="2"/>
      </tp>
      <tp t="s">
        <v>#N/A N/A</v>
        <stp/>
        <stp>BDP|10913955001065597425</stp>
        <tr r="E132" s="2"/>
      </tp>
      <tp t="s">
        <v>#N/A N/A</v>
        <stp/>
        <stp>BDP|11365489281013757674</stp>
        <tr r="O97" s="2"/>
      </tp>
      <tp t="s">
        <v>#N/A N/A</v>
        <stp/>
        <stp>BDP|13931810434752769211</stp>
        <tr r="P141" s="2"/>
      </tp>
      <tp t="s">
        <v>#N/A N/A</v>
        <stp/>
        <stp>BDP|17094504548386685847</stp>
        <tr r="L163" s="2"/>
      </tp>
      <tp t="s">
        <v>#N/A N/A</v>
        <stp/>
        <stp>BDP|14291291924949442514</stp>
        <tr r="M112" s="2"/>
      </tp>
      <tp t="s">
        <v>#N/A N/A</v>
        <stp/>
        <stp>BDP|17837374362419705302</stp>
        <tr r="F46" s="2"/>
      </tp>
      <tp t="s">
        <v>#N/A N/A</v>
        <stp/>
        <stp>BDP|17043246977138141287</stp>
        <tr r="V28" s="2"/>
      </tp>
      <tp t="s">
        <v>#N/A N/A</v>
        <stp/>
        <stp>BDP|15428857692005069993</stp>
        <tr r="B105" s="2"/>
      </tp>
      <tp t="s">
        <v>#N/A N/A</v>
        <stp/>
        <stp>BDP|14926800531831751658</stp>
        <tr r="AB231" s="2"/>
      </tp>
      <tp t="s">
        <v>#N/A N/A</v>
        <stp/>
        <stp>BDP|16088301693530998403</stp>
        <tr r="U107" s="2"/>
      </tp>
      <tp t="s">
        <v>#N/A N/A</v>
        <stp/>
        <stp>BDP|14911592419548610053</stp>
        <tr r="E166" s="2"/>
      </tp>
      <tp t="s">
        <v>#N/A N/A</v>
        <stp/>
        <stp>BDP|14523168793261941538</stp>
        <tr r="AE66" s="2"/>
      </tp>
      <tp t="s">
        <v>#N/A N/A</v>
        <stp/>
        <stp>BDP|17870957631910054516</stp>
        <tr r="AE55" s="2"/>
      </tp>
      <tp t="s">
        <v>#N/A N/A</v>
        <stp/>
        <stp>BDP|10232566751651083985</stp>
        <tr r="Y218" s="2"/>
      </tp>
      <tp t="s">
        <v>#N/A N/A</v>
        <stp/>
        <stp>BDP|17333480730360563835</stp>
        <tr r="D56" s="2"/>
      </tp>
      <tp t="s">
        <v>#N/A N/A</v>
        <stp/>
        <stp>BDP|15779064608648215566</stp>
        <tr r="B55" s="2"/>
      </tp>
      <tp t="s">
        <v>#N/A N/A</v>
        <stp/>
        <stp>BDP|16860645712139431077</stp>
        <tr r="AC7" s="2"/>
      </tp>
      <tp t="s">
        <v>#N/A N/A</v>
        <stp/>
        <stp>BDP|14733104867308570386</stp>
        <tr r="AB237" s="2"/>
      </tp>
      <tp t="s">
        <v>#N/A N/A</v>
        <stp/>
        <stp>BDP|10910265393776868591</stp>
        <tr r="C171" s="2"/>
      </tp>
      <tp t="s">
        <v>#N/A N/A</v>
        <stp/>
        <stp>BDP|15804476386851049052</stp>
        <tr r="H83" s="2"/>
      </tp>
      <tp t="s">
        <v>#N/A N/A</v>
        <stp/>
        <stp>BDP|15969872106055049048</stp>
        <tr r="T234" s="2"/>
      </tp>
      <tp t="s">
        <v>#N/A N/A</v>
        <stp/>
        <stp>BDP|17323902511886720197</stp>
        <tr r="G69" s="2"/>
      </tp>
      <tp t="s">
        <v>#N/A N/A</v>
        <stp/>
        <stp>BDP|11070901505787999704</stp>
        <tr r="M105" s="2"/>
      </tp>
      <tp t="s">
        <v>#N/A N/A</v>
        <stp/>
        <stp>BDP|12947875033557501648</stp>
        <tr r="AC204" s="2"/>
      </tp>
      <tp t="s">
        <v>#N/A N/A</v>
        <stp/>
        <stp>BDP|15309219134555046996</stp>
        <tr r="V142" s="2"/>
      </tp>
      <tp t="s">
        <v>#N/A N/A</v>
        <stp/>
        <stp>BDP|10748699953682442963</stp>
        <tr r="M167" s="2"/>
      </tp>
      <tp t="s">
        <v>#N/A N/A</v>
        <stp/>
        <stp>BDP|15437307298521692654</stp>
        <tr r="S211" s="2"/>
      </tp>
      <tp t="s">
        <v>#N/A N/A</v>
        <stp/>
        <stp>BDP|13686458461939401095</stp>
        <tr r="T88" s="2"/>
      </tp>
      <tp t="s">
        <v>#N/A N/A</v>
        <stp/>
        <stp>BDP|15568994705145563136</stp>
        <tr r="D76" s="2"/>
      </tp>
      <tp t="s">
        <v>#N/A N/A</v>
        <stp/>
        <stp>BDP|12650975911490756280</stp>
        <tr r="AE192" s="2"/>
      </tp>
      <tp t="s">
        <v>#N/A N/A</v>
        <stp/>
        <stp>BDP|12602667723276831841</stp>
        <tr r="S84" s="2"/>
      </tp>
      <tp t="s">
        <v>#N/A N/A</v>
        <stp/>
        <stp>BDP|13072386486572777266</stp>
        <tr r="AA237" s="2"/>
      </tp>
      <tp t="s">
        <v>#N/A N/A</v>
        <stp/>
        <stp>BDP|10174417207714107893</stp>
        <tr r="AB204" s="2"/>
      </tp>
      <tp t="s">
        <v>#N/A N/A</v>
        <stp/>
        <stp>BDP|16764390285391687434</stp>
        <tr r="U106" s="2"/>
      </tp>
      <tp t="s">
        <v>#N/A N/A</v>
        <stp/>
        <stp>BDP|13375521986921025792</stp>
        <tr r="T46" s="2"/>
      </tp>
      <tp t="s">
        <v>#N/A N/A</v>
        <stp/>
        <stp>BDP|14097638309279799337</stp>
        <tr r="G212" s="2"/>
      </tp>
      <tp t="s">
        <v>#N/A N/A</v>
        <stp/>
        <stp>BDP|17904947004220718608</stp>
        <tr r="Z160" s="2"/>
      </tp>
      <tp t="s">
        <v>#N/A N/A</v>
        <stp/>
        <stp>BDP|18182158018986692641</stp>
        <tr r="N112" s="2"/>
      </tp>
      <tp t="s">
        <v>#N/A N/A</v>
        <stp/>
        <stp>BDP|13301776428848129638</stp>
        <tr r="AD66" s="2"/>
      </tp>
      <tp t="s">
        <v>#N/A N/A</v>
        <stp/>
        <stp>BDP|15780139142759560128</stp>
        <tr r="P139" s="2"/>
      </tp>
      <tp t="s">
        <v>#N/A N/A</v>
        <stp/>
        <stp>BDP|17626828063654270547</stp>
        <tr r="AB212" s="2"/>
      </tp>
      <tp t="s">
        <v>#N/A N/A</v>
        <stp/>
        <stp>BDP|16513794121558523391</stp>
        <tr r="X193" s="2"/>
      </tp>
      <tp t="s">
        <v>#N/A N/A</v>
        <stp/>
        <stp>BDP|10461939297359292134</stp>
        <tr r="AC146" s="2"/>
      </tp>
      <tp t="s">
        <v>#N/A N/A</v>
        <stp/>
        <stp>BDP|11264970051215767022</stp>
        <tr r="V203" s="2"/>
      </tp>
      <tp t="s">
        <v>#N/A N/A</v>
        <stp/>
        <stp>BDP|17004744986753055331</stp>
        <tr r="Q209" s="2"/>
      </tp>
      <tp t="s">
        <v>#N/A N/A</v>
        <stp/>
        <stp>BDP|16117965904273251404</stp>
        <tr r="Q122" s="2"/>
      </tp>
      <tp t="s">
        <v>#N/A N/A</v>
        <stp/>
        <stp>BDP|16495355667689556229</stp>
        <tr r="I128" s="2"/>
      </tp>
      <tp t="s">
        <v>#N/A N/A</v>
        <stp/>
        <stp>BDP|14186085297284689191</stp>
        <tr r="U196" s="2"/>
      </tp>
      <tp t="s">
        <v>#N/A N/A</v>
        <stp/>
        <stp>BDP|17164729775439175668</stp>
        <tr r="B148" s="2"/>
      </tp>
      <tp t="s">
        <v>#N/A N/A</v>
        <stp/>
        <stp>BDP|14094350123004156968</stp>
        <tr r="V18" s="2"/>
      </tp>
      <tp t="s">
        <v>#N/A N/A</v>
        <stp/>
        <stp>BDP|10906804948313592745</stp>
        <tr r="X11" s="2"/>
      </tp>
      <tp t="s">
        <v>#N/A N/A</v>
        <stp/>
        <stp>BDP|11554405453150789812</stp>
        <tr r="D172" s="2"/>
      </tp>
      <tp t="s">
        <v>#N/A N/A</v>
        <stp/>
        <stp>BDP|16734572181007392423</stp>
        <tr r="D181" s="2"/>
      </tp>
      <tp t="s">
        <v>#N/A N/A</v>
        <stp/>
        <stp>BDP|14550226996774683376</stp>
        <tr r="U64" s="2"/>
      </tp>
      <tp t="s">
        <v>#N/A N/A</v>
        <stp/>
        <stp>BDP|11103368986463477152</stp>
        <tr r="X236" s="2"/>
      </tp>
      <tp t="s">
        <v>#N/A N/A</v>
        <stp/>
        <stp>BDP|14572808951534706532</stp>
        <tr r="S138" s="2"/>
      </tp>
      <tp t="s">
        <v>#N/A N/A</v>
        <stp/>
        <stp>BDP|15352277692282439420</stp>
        <tr r="D234" s="2"/>
      </tp>
      <tp t="s">
        <v>#N/A N/A</v>
        <stp/>
        <stp>BDP|15122837902492775774</stp>
        <tr r="I171" s="2"/>
      </tp>
      <tp t="s">
        <v>#N/A N/A</v>
        <stp/>
        <stp>BDP|17549432300293732816</stp>
        <tr r="S208" s="2"/>
      </tp>
      <tp t="s">
        <v>#N/A N/A</v>
        <stp/>
        <stp>BDP|10642066405479713126</stp>
        <tr r="F170" s="2"/>
      </tp>
      <tp t="s">
        <v>#N/A N/A</v>
        <stp/>
        <stp>BDP|17314669723079309258</stp>
        <tr r="T151" s="2"/>
      </tp>
      <tp t="s">
        <v>#N/A N/A</v>
        <stp/>
        <stp>BDP|13142183979115373831</stp>
        <tr r="B141" s="2"/>
      </tp>
      <tp t="s">
        <v>#N/A N/A</v>
        <stp/>
        <stp>BDP|17853510933721238886</stp>
        <tr r="S30" s="2"/>
      </tp>
      <tp t="s">
        <v>#N/A N/A</v>
        <stp/>
        <stp>BDP|10634834203339008961</stp>
        <tr r="K62" s="2"/>
        <tr r="R62" s="2"/>
        <tr r="W62" s="2"/>
      </tp>
      <tp t="s">
        <v>#N/A N/A</v>
        <stp/>
        <stp>BDP|14377641660595752903</stp>
        <tr r="Y208" s="2"/>
      </tp>
      <tp t="s">
        <v>#N/A N/A</v>
        <stp/>
        <stp>BDP|11234404686345535013</stp>
        <tr r="G94" s="2"/>
      </tp>
      <tp t="s">
        <v>#N/A N/A</v>
        <stp/>
        <stp>BDP|12998600114334776994</stp>
        <tr r="P3" s="2"/>
      </tp>
      <tp t="s">
        <v>#N/A N/A</v>
        <stp/>
        <stp>BDP|15990150196782840712</stp>
        <tr r="M166" s="2"/>
      </tp>
      <tp t="s">
        <v>#N/A N/A</v>
        <stp/>
        <stp>BDP|15992466953165647995</stp>
        <tr r="B18" s="2"/>
      </tp>
      <tp t="s">
        <v>#N/A N/A</v>
        <stp/>
        <stp>BDP|11931410489173190634</stp>
        <tr r="AC220" s="2"/>
      </tp>
      <tp t="s">
        <v>#N/A N/A</v>
        <stp/>
        <stp>BDP|12691947142664606355</stp>
        <tr r="P237" s="2"/>
      </tp>
      <tp t="s">
        <v>#N/A N/A</v>
        <stp/>
        <stp>BDP|17209000082300480777</stp>
        <tr r="S96" s="2"/>
      </tp>
      <tp t="s">
        <v>#N/A N/A</v>
        <stp/>
        <stp>BDP|18416551198075951939</stp>
        <tr r="E222" s="2"/>
      </tp>
      <tp t="s">
        <v>#N/A N/A</v>
        <stp/>
        <stp>BDP|15340222239085924927</stp>
        <tr r="E210" s="2"/>
      </tp>
      <tp t="s">
        <v>#N/A N/A</v>
        <stp/>
        <stp>BDP|18147176092600061871</stp>
        <tr r="V86" s="2"/>
      </tp>
      <tp t="s">
        <v>#N/A N/A</v>
        <stp/>
        <stp>BDP|17608125846238418250</stp>
        <tr r="N85" s="2"/>
      </tp>
      <tp t="s">
        <v>#N/A N/A</v>
        <stp/>
        <stp>BDP|11807687093676811086</stp>
        <tr r="AA210" s="2"/>
      </tp>
      <tp t="s">
        <v>#N/A N/A</v>
        <stp/>
        <stp>BDP|16955583452458714676</stp>
        <tr r="AB99" s="2"/>
      </tp>
      <tp t="s">
        <v>#N/A N/A</v>
        <stp/>
        <stp>BDP|14321098058418455142</stp>
        <tr r="H158" s="2"/>
      </tp>
      <tp t="s">
        <v>#N/A N/A</v>
        <stp/>
        <stp>BDP|11575944607926114653</stp>
        <tr r="N151" s="2"/>
      </tp>
      <tp t="s">
        <v>#N/A N/A</v>
        <stp/>
        <stp>BDP|13921980183819724377</stp>
        <tr r="U95" s="2"/>
      </tp>
      <tp t="s">
        <v>#N/A N/A</v>
        <stp/>
        <stp>BDP|10303067358145719889</stp>
        <tr r="AA3" s="2"/>
      </tp>
      <tp t="s">
        <v>#N/A N/A</v>
        <stp/>
        <stp>BDP|10796679590835280204</stp>
        <tr r="O55" s="2"/>
      </tp>
      <tp t="s">
        <v>#N/A N/A</v>
        <stp/>
        <stp>BDP|14656759570924081866</stp>
        <tr r="S35" s="2"/>
      </tp>
      <tp t="s">
        <v>#N/A N/A</v>
        <stp/>
        <stp>BDP|12626009523160738870</stp>
        <tr r="X219" s="2"/>
      </tp>
      <tp t="s">
        <v>#N/A N/A</v>
        <stp/>
        <stp>BDP|16109874070758132929</stp>
        <tr r="D128" s="2"/>
      </tp>
      <tp t="s">
        <v>#N/A N/A</v>
        <stp/>
        <stp>BDP|13708624290085694164</stp>
        <tr r="V175" s="2"/>
      </tp>
      <tp t="s">
        <v>#N/A N/A</v>
        <stp/>
        <stp>BDP|15771936149267826708</stp>
        <tr r="Q160" s="2"/>
      </tp>
      <tp t="s">
        <v>#N/A N/A</v>
        <stp/>
        <stp>BDP|16891892018767867043</stp>
        <tr r="I98" s="2"/>
      </tp>
      <tp t="s">
        <v>#N/A N/A</v>
        <stp/>
        <stp>BDP|17992047134954905859</stp>
        <tr r="K63" s="2"/>
        <tr r="R63" s="2"/>
        <tr r="W63" s="2"/>
      </tp>
      <tp t="s">
        <v>#N/A N/A</v>
        <stp/>
        <stp>BDP|18256554684164366957</stp>
        <tr r="B48" s="2"/>
      </tp>
      <tp t="s">
        <v>#N/A N/A</v>
        <stp/>
        <stp>BDP|12382857646095791321</stp>
        <tr r="AB84" s="2"/>
      </tp>
      <tp t="s">
        <v>#N/A N/A</v>
        <stp/>
        <stp>BDP|12188755178789084395</stp>
        <tr r="AD30" s="2"/>
      </tp>
      <tp t="s">
        <v>#N/A N/A</v>
        <stp/>
        <stp>BDP|12017650994321631427</stp>
        <tr r="AE190" s="2"/>
      </tp>
      <tp t="s">
        <v>#N/A N/A</v>
        <stp/>
        <stp>BDP|12377147477505453916</stp>
        <tr r="L179" s="2"/>
      </tp>
      <tp t="s">
        <v>#N/A N/A</v>
        <stp/>
        <stp>BDP|12761047596430575354</stp>
        <tr r="M65" s="2"/>
      </tp>
      <tp t="s">
        <v>#N/A N/A</v>
        <stp/>
        <stp>BDP|18158100035664845693</stp>
        <tr r="P116" s="2"/>
      </tp>
      <tp t="s">
        <v>#N/A N/A</v>
        <stp/>
        <stp>BDP|11147326497981488257</stp>
        <tr r="U129" s="2"/>
      </tp>
      <tp t="s">
        <v>#N/A N/A</v>
        <stp/>
        <stp>BDP|10722965083950455920</stp>
        <tr r="S185" s="2"/>
      </tp>
      <tp t="s">
        <v>#N/A N/A</v>
        <stp/>
        <stp>BDP|18053801065188186603</stp>
        <tr r="U235" s="2"/>
      </tp>
      <tp t="s">
        <v>#N/A N/A</v>
        <stp/>
        <stp>BDP|11679414701849740451</stp>
        <tr r="V171" s="2"/>
      </tp>
      <tp t="s">
        <v>#N/A N/A</v>
        <stp/>
        <stp>BDP|16162459780395454745</stp>
        <tr r="K26" s="2"/>
        <tr r="R26" s="2"/>
        <tr r="W26" s="2"/>
      </tp>
      <tp t="s">
        <v>#N/A N/A</v>
        <stp/>
        <stp>BDP|10627038477379129679</stp>
        <tr r="V38" s="2"/>
      </tp>
      <tp t="s">
        <v>#N/A N/A</v>
        <stp/>
        <stp>BDP|10721916992819952198</stp>
        <tr r="K71" s="2"/>
        <tr r="R71" s="2"/>
        <tr r="W71" s="2"/>
      </tp>
      <tp t="s">
        <v>#N/A N/A</v>
        <stp/>
        <stp>BDP|10161821903039251962</stp>
        <tr r="X195" s="2"/>
      </tp>
      <tp t="s">
        <v>#N/A N/A</v>
        <stp/>
        <stp>BDP|14159125219454759895</stp>
        <tr r="H53" s="2"/>
      </tp>
      <tp t="s">
        <v>#N/A N/A</v>
        <stp/>
        <stp>BDP|14157223351363683809</stp>
        <tr r="Q37" s="2"/>
      </tp>
      <tp t="s">
        <v>#N/A N/A</v>
        <stp/>
        <stp>BDP|15716079784503893680</stp>
        <tr r="AB230" s="2"/>
      </tp>
      <tp t="s">
        <v>#N/A N/A</v>
        <stp/>
        <stp>BDP|14520208799424941322</stp>
        <tr r="O148" s="2"/>
      </tp>
      <tp t="s">
        <v>#N/A N/A</v>
        <stp/>
        <stp>BDP|14400328019168067680</stp>
        <tr r="Y228" s="2"/>
      </tp>
      <tp t="s">
        <v>#N/A N/A</v>
        <stp/>
        <stp>BDP|14261845722954220217</stp>
        <tr r="Y180" s="2"/>
      </tp>
      <tp t="s">
        <v>#N/A N/A</v>
        <stp/>
        <stp>BDP|18317391033334665489</stp>
        <tr r="X47" s="2"/>
      </tp>
      <tp t="s">
        <v>#N/A N/A</v>
        <stp/>
        <stp>BDP|10101821741373481716</stp>
        <tr r="AD206" s="2"/>
      </tp>
      <tp t="s">
        <v>#N/A N/A</v>
        <stp/>
        <stp>BDP|10615807055276779333</stp>
        <tr r="P24" s="2"/>
      </tp>
      <tp t="s">
        <v>#N/A N/A</v>
        <stp/>
        <stp>BDP|12766932831001050126</stp>
        <tr r="B229" s="2"/>
      </tp>
      <tp t="s">
        <v>#N/A N/A</v>
        <stp/>
        <stp>BDP|17829927707422902434</stp>
        <tr r="T63" s="2"/>
      </tp>
      <tp t="s">
        <v>#N/A N/A</v>
        <stp/>
        <stp>BDP|15702764679444727987</stp>
        <tr r="AD4" s="2"/>
      </tp>
      <tp t="s">
        <v>#N/A N/A</v>
        <stp/>
        <stp>BDP|13794842680898658323</stp>
        <tr r="V55" s="2"/>
      </tp>
      <tp t="s">
        <v>#N/A N/A</v>
        <stp/>
        <stp>BDP|12987669116594773997</stp>
        <tr r="K146" s="2"/>
        <tr r="R146" s="2"/>
        <tr r="W146" s="2"/>
      </tp>
      <tp t="s">
        <v>#N/A N/A</v>
        <stp/>
        <stp>BDP|11599667827505611840</stp>
        <tr r="T206" s="2"/>
      </tp>
      <tp t="s">
        <v>#N/A N/A</v>
        <stp/>
        <stp>BDP|15232027136097712978</stp>
        <tr r="I155" s="2"/>
      </tp>
      <tp t="s">
        <v>#N/A N/A</v>
        <stp/>
        <stp>BDP|16382880749125654721</stp>
        <tr r="Z174" s="2"/>
      </tp>
      <tp t="s">
        <v>#N/A N/A</v>
        <stp/>
        <stp>BDP|16334973235802052671</stp>
        <tr r="E189" s="2"/>
      </tp>
      <tp t="s">
        <v>#N/A N/A</v>
        <stp/>
        <stp>BDP|16813982131231090574</stp>
        <tr r="D223" s="2"/>
      </tp>
      <tp t="s">
        <v>#N/A N/A</v>
        <stp/>
        <stp>BDP|18160495508476265242</stp>
        <tr r="AD200" s="2"/>
      </tp>
      <tp t="s">
        <v>#N/A N/A</v>
        <stp/>
        <stp>BDP|15958450908049375011</stp>
        <tr r="Z26" s="2"/>
      </tp>
      <tp t="s">
        <v>#N/A N/A</v>
        <stp/>
        <stp>BDP|11578413236476381878</stp>
        <tr r="G81" s="2"/>
      </tp>
      <tp t="s">
        <v>#N/A N/A</v>
        <stp/>
        <stp>BDP|17619109596851239643</stp>
        <tr r="H184" s="2"/>
      </tp>
      <tp t="s">
        <v>#N/A N/A</v>
        <stp/>
        <stp>BDP|17006892946916041598</stp>
        <tr r="D123" s="2"/>
      </tp>
      <tp t="s">
        <v>#N/A N/A</v>
        <stp/>
        <stp>BDP|16151203401004104871</stp>
        <tr r="P136" s="2"/>
      </tp>
      <tp t="s">
        <v>#N/A N/A</v>
        <stp/>
        <stp>BDP|11477437471378464242</stp>
        <tr r="S82" s="2"/>
      </tp>
      <tp t="s">
        <v>#N/A N/A</v>
        <stp/>
        <stp>BDP|10625514477212313852</stp>
        <tr r="C15" s="2"/>
      </tp>
      <tp t="s">
        <v>#N/A N/A</v>
        <stp/>
        <stp>BDP|13157823290692157843</stp>
        <tr r="K214" s="2"/>
        <tr r="R214" s="2"/>
        <tr r="W214" s="2"/>
      </tp>
      <tp t="s">
        <v>#N/A N/A</v>
        <stp/>
        <stp>BDP|10268369263988016512</stp>
        <tr r="Z171" s="2"/>
      </tp>
      <tp t="s">
        <v>#N/A N/A</v>
        <stp/>
        <stp>BDP|10218804774286030101</stp>
        <tr r="Q197" s="2"/>
      </tp>
      <tp t="s">
        <v>#N/A N/A</v>
        <stp/>
        <stp>BDP|16811193363059314189</stp>
        <tr r="P48" s="2"/>
      </tp>
      <tp t="s">
        <v>#N/A N/A</v>
        <stp/>
        <stp>BDP|10898568911199300459</stp>
        <tr r="Q3" s="2"/>
      </tp>
      <tp t="s">
        <v>#N/A N/A</v>
        <stp/>
        <stp>BDP|11854014380214339438</stp>
        <tr r="B59" s="2"/>
      </tp>
      <tp t="s">
        <v>#N/A N/A</v>
        <stp/>
        <stp>BDP|17454898094226308937</stp>
        <tr r="H200" s="2"/>
      </tp>
      <tp t="s">
        <v>#N/A N/A</v>
        <stp/>
        <stp>BDP|12461934315516972528</stp>
        <tr r="AB121" s="2"/>
      </tp>
      <tp t="s">
        <v>#N/A N/A</v>
        <stp/>
        <stp>BDP|11273565994304995009</stp>
        <tr r="K57" s="2"/>
        <tr r="R57" s="2"/>
        <tr r="W57" s="2"/>
      </tp>
      <tp t="s">
        <v>#N/A N/A</v>
        <stp/>
        <stp>BDP|12710281058475778994</stp>
        <tr r="V99" s="2"/>
      </tp>
      <tp t="s">
        <v>#N/A N/A</v>
        <stp/>
        <stp>BDP|14588504310711440888</stp>
        <tr r="Z61" s="2"/>
      </tp>
      <tp t="s">
        <v>#N/A N/A</v>
        <stp/>
        <stp>BDP|11680030931888466391</stp>
        <tr r="G17" s="2"/>
      </tp>
      <tp t="s">
        <v>#N/A N/A</v>
        <stp/>
        <stp>BDP|14186987543242424279</stp>
        <tr r="S216" s="2"/>
      </tp>
      <tp t="s">
        <v>#N/A N/A</v>
        <stp/>
        <stp>BDP|10502044368537118814</stp>
        <tr r="AD111" s="2"/>
      </tp>
      <tp t="s">
        <v>#N/A N/A</v>
        <stp/>
        <stp>BDP|17858055582222215459</stp>
        <tr r="T60" s="2"/>
      </tp>
      <tp t="s">
        <v>#N/A N/A</v>
        <stp/>
        <stp>BDP|15557756423499893036</stp>
        <tr r="N129" s="2"/>
      </tp>
      <tp t="s">
        <v>#N/A N/A</v>
        <stp/>
        <stp>BDP|11654316481996979575</stp>
        <tr r="H165" s="2"/>
      </tp>
      <tp t="s">
        <v>#N/A N/A</v>
        <stp/>
        <stp>BDP|10656652725614798995</stp>
        <tr r="Z100" s="2"/>
      </tp>
      <tp t="s">
        <v>#N/A N/A</v>
        <stp/>
        <stp>BDP|12993273567577269834</stp>
        <tr r="AD213" s="2"/>
      </tp>
      <tp t="s">
        <v>#N/A N/A</v>
        <stp/>
        <stp>BDP|15698378936994894872</stp>
        <tr r="H237" s="2"/>
      </tp>
      <tp t="s">
        <v>#N/A N/A</v>
        <stp/>
        <stp>BDP|14765483915240513875</stp>
        <tr r="AB108" s="2"/>
      </tp>
      <tp t="s">
        <v>#N/A N/A</v>
        <stp/>
        <stp>BDP|10746731323308625494</stp>
        <tr r="D18" s="2"/>
      </tp>
      <tp t="s">
        <v>#N/A N/A</v>
        <stp/>
        <stp>BDP|10391290794484188673</stp>
        <tr r="G234" s="2"/>
      </tp>
      <tp t="s">
        <v>#N/A N/A</v>
        <stp/>
        <stp>BDP|15024277936698007595</stp>
        <tr r="Z167" s="2"/>
      </tp>
      <tp t="s">
        <v>#N/A N/A</v>
        <stp/>
        <stp>BDP|16549026389335639207</stp>
        <tr r="F206" s="2"/>
      </tp>
      <tp t="s">
        <v>#N/A N/A</v>
        <stp/>
        <stp>BDP|15228704886771933268</stp>
        <tr r="F53" s="2"/>
      </tp>
      <tp t="s">
        <v>#N/A N/A</v>
        <stp/>
        <stp>BDP|15458112237946070891</stp>
        <tr r="V161" s="2"/>
      </tp>
      <tp t="s">
        <v>#N/A N/A</v>
        <stp/>
        <stp>BDP|10541120384546110698</stp>
        <tr r="Z105" s="2"/>
      </tp>
      <tp t="s">
        <v>#N/A N/A</v>
        <stp/>
        <stp>BDP|15810408446419355565</stp>
        <tr r="Y69" s="2"/>
      </tp>
      <tp t="s">
        <v>#N/A N/A</v>
        <stp/>
        <stp>BDP|10143615766409402099</stp>
        <tr r="C41" s="2"/>
      </tp>
      <tp t="s">
        <v>#N/A N/A</v>
        <stp/>
        <stp>BDP|17126727683843281296</stp>
        <tr r="AE99" s="2"/>
      </tp>
      <tp t="s">
        <v>#N/A N/A</v>
        <stp/>
        <stp>BDP|13917432749552858803</stp>
        <tr r="AD74" s="2"/>
      </tp>
      <tp t="s">
        <v>#N/A N/A</v>
        <stp/>
        <stp>BDP|15409691963439557504</stp>
        <tr r="E70" s="2"/>
      </tp>
      <tp t="s">
        <v>#N/A N/A</v>
        <stp/>
        <stp>BDP|10489939811047895643</stp>
        <tr r="B198" s="2"/>
      </tp>
      <tp t="s">
        <v>#N/A N/A</v>
        <stp/>
        <stp>BDP|15852626434091317878</stp>
        <tr r="X12" s="2"/>
      </tp>
      <tp t="s">
        <v>#N/A N/A</v>
        <stp/>
        <stp>BDP|17977158213076328867</stp>
        <tr r="AD240" s="2"/>
      </tp>
      <tp t="s">
        <v>#N/A N/A</v>
        <stp/>
        <stp>BDP|16977737791118086913</stp>
        <tr r="G95" s="2"/>
      </tp>
      <tp t="s">
        <v>#N/A N/A</v>
        <stp/>
        <stp>BDP|17254933504375703284</stp>
        <tr r="D93" s="2"/>
      </tp>
      <tp t="s">
        <v>#N/A N/A</v>
        <stp/>
        <stp>BDP|14105235913399219792</stp>
        <tr r="S79" s="2"/>
      </tp>
      <tp t="s">
        <v>#N/A N/A</v>
        <stp/>
        <stp>BDP|16680270487185233090</stp>
        <tr r="AE44" s="2"/>
      </tp>
      <tp t="s">
        <v>#N/A N/A</v>
        <stp/>
        <stp>BDP|14601242285702265589</stp>
        <tr r="AE51" s="2"/>
      </tp>
      <tp t="s">
        <v>#N/A N/A</v>
        <stp/>
        <stp>BDP|10954868323135567640</stp>
        <tr r="C200" s="2"/>
      </tp>
      <tp t="s">
        <v>#N/A N/A</v>
        <stp/>
        <stp>BDP|16302265460808134397</stp>
        <tr r="AD212" s="2"/>
      </tp>
      <tp t="s">
        <v>#N/A N/A</v>
        <stp/>
        <stp>BDP|12859584019149106658</stp>
        <tr r="F226" s="2"/>
      </tp>
      <tp t="s">
        <v>#N/A N/A</v>
        <stp/>
        <stp>BDP|17385754201251800823</stp>
        <tr r="S180" s="2"/>
      </tp>
      <tp t="s">
        <v>#N/A N/A</v>
        <stp/>
        <stp>BDP|13727670799265141058</stp>
        <tr r="G239" s="2"/>
      </tp>
      <tp t="s">
        <v>#N/A N/A</v>
        <stp/>
        <stp>BDP|14396592146455249938</stp>
        <tr r="AA182" s="2"/>
      </tp>
      <tp t="s">
        <v>#N/A N/A</v>
        <stp/>
        <stp>BDP|15522860702220524495</stp>
        <tr r="S117" s="2"/>
      </tp>
      <tp t="s">
        <v>#N/A N/A</v>
        <stp/>
        <stp>BDP|18184045463820333782</stp>
        <tr r="F111" s="2"/>
      </tp>
      <tp t="s">
        <v>#N/A N/A</v>
        <stp/>
        <stp>BDP|18252056146936545387</stp>
        <tr r="AB111" s="2"/>
      </tp>
      <tp t="s">
        <v>#N/A N/A</v>
        <stp/>
        <stp>BDP|17995958136370594435</stp>
        <tr r="B101" s="2"/>
      </tp>
      <tp t="s">
        <v>#N/A N/A</v>
        <stp/>
        <stp>BDP|17423278960309858371</stp>
        <tr r="N116" s="2"/>
      </tp>
      <tp t="s">
        <v>#N/A N/A</v>
        <stp/>
        <stp>BDP|15814080961423915947</stp>
        <tr r="S146" s="2"/>
      </tp>
      <tp t="s">
        <v>#N/A N/A</v>
        <stp/>
        <stp>BDP|14368432424663895809</stp>
        <tr r="O195" s="2"/>
      </tp>
      <tp t="s">
        <v>#N/A N/A</v>
        <stp/>
        <stp>BDP|16944837076111222122</stp>
        <tr r="N22" s="2"/>
      </tp>
      <tp t="s">
        <v>#N/A N/A</v>
        <stp/>
        <stp>BDP|18160214926949983835</stp>
        <tr r="G160" s="2"/>
      </tp>
      <tp t="s">
        <v>#N/A N/A</v>
        <stp/>
        <stp>BDP|15706247868758605015</stp>
        <tr r="F160" s="2"/>
      </tp>
      <tp t="s">
        <v>#N/A N/A</v>
        <stp/>
        <stp>BDP|12888604222299194673</stp>
        <tr r="AE59" s="2"/>
      </tp>
      <tp t="s">
        <v>#N/A N/A</v>
        <stp/>
        <stp>BDP|10455851220846858560</stp>
        <tr r="E112" s="2"/>
      </tp>
      <tp t="s">
        <v>#N/A N/A</v>
        <stp/>
        <stp>BDP|16158721240119930555</stp>
        <tr r="F228" s="2"/>
      </tp>
      <tp t="s">
        <v>#N/A N/A</v>
        <stp/>
        <stp>BDP|13679392831602256835</stp>
        <tr r="U10" s="2"/>
      </tp>
      <tp t="s">
        <v>#N/A N/A</v>
        <stp/>
        <stp>BDP|15939541983837293631</stp>
        <tr r="K179" s="2"/>
        <tr r="R179" s="2"/>
        <tr r="W179" s="2"/>
      </tp>
      <tp t="s">
        <v>#N/A N/A</v>
        <stp/>
        <stp>BDP|16045143679898086127</stp>
        <tr r="Q123" s="2"/>
      </tp>
      <tp t="s">
        <v>#N/A N/A</v>
        <stp/>
        <stp>BDP|15968001600458367450</stp>
        <tr r="AA162" s="2"/>
      </tp>
      <tp t="s">
        <v>#N/A N/A</v>
        <stp/>
        <stp>BDP|16191060351363075998</stp>
        <tr r="V235" s="2"/>
      </tp>
      <tp t="s">
        <v>#N/A N/A</v>
        <stp/>
        <stp>BDP|16518778297263372285</stp>
        <tr r="Q222" s="2"/>
      </tp>
      <tp t="s">
        <v>#N/A N/A</v>
        <stp/>
        <stp>BDP|15993875961814322629</stp>
        <tr r="H183" s="2"/>
      </tp>
      <tp t="s">
        <v>#N/A N/A</v>
        <stp/>
        <stp>BDP|17227087723629341549</stp>
        <tr r="T177" s="2"/>
      </tp>
      <tp t="s">
        <v>#N/A N/A</v>
        <stp/>
        <stp>BDP|10316464366662948944</stp>
        <tr r="I160" s="2"/>
      </tp>
      <tp t="s">
        <v>#N/A N/A</v>
        <stp/>
        <stp>BDP|16094049996995909358</stp>
        <tr r="U29" s="2"/>
      </tp>
      <tp t="s">
        <v>#N/A N/A</v>
        <stp/>
        <stp>BDP|16975764029648933216</stp>
        <tr r="T239" s="2"/>
      </tp>
      <tp t="s">
        <v>#N/A N/A</v>
        <stp/>
        <stp>BDP|11100997543171141445</stp>
        <tr r="Z157" s="2"/>
      </tp>
      <tp t="s">
        <v>#N/A N/A</v>
        <stp/>
        <stp>BDP|11332282490592405111</stp>
        <tr r="AE224" s="2"/>
      </tp>
      <tp t="s">
        <v>#N/A N/A</v>
        <stp/>
        <stp>BDP|15822518556069277538</stp>
        <tr r="B169" s="2"/>
      </tp>
      <tp t="s">
        <v>#N/A N/A</v>
        <stp/>
        <stp>BDP|18401101278477684048</stp>
        <tr r="O178" s="2"/>
      </tp>
      <tp t="s">
        <v>#N/A N/A</v>
        <stp/>
        <stp>BDP|17813853262194437454</stp>
        <tr r="K60" s="2"/>
        <tr r="R60" s="2"/>
        <tr r="W60" s="2"/>
      </tp>
      <tp t="s">
        <v>#N/A N/A</v>
        <stp/>
        <stp>BDP|13810665437636123998</stp>
        <tr r="Z203" s="2"/>
      </tp>
      <tp t="s">
        <v>#N/A N/A</v>
        <stp/>
        <stp>BDP|16341466482042693105</stp>
        <tr r="X53" s="2"/>
      </tp>
      <tp t="s">
        <v>#N/A N/A</v>
        <stp/>
        <stp>BDP|14740883358349479920</stp>
        <tr r="AC169" s="2"/>
      </tp>
      <tp t="s">
        <v>#N/A N/A</v>
        <stp/>
        <stp>BDP|18093506830010635778</stp>
        <tr r="V60" s="2"/>
      </tp>
      <tp t="s">
        <v>#N/A N/A</v>
        <stp/>
        <stp>BDP|12093212986634010576</stp>
        <tr r="O152" s="2"/>
      </tp>
      <tp t="s">
        <v>#N/A N/A</v>
        <stp/>
        <stp>BDP|13846768686090140592</stp>
        <tr r="O128" s="2"/>
      </tp>
      <tp t="s">
        <v>#N/A N/A</v>
        <stp/>
        <stp>BDP|13718572945108692331</stp>
        <tr r="Y83" s="2"/>
      </tp>
      <tp t="s">
        <v>#N/A N/A</v>
        <stp/>
        <stp>BDP|15876757412989856375</stp>
        <tr r="F217" s="2"/>
      </tp>
      <tp t="s">
        <v>#N/A N/A</v>
        <stp/>
        <stp>BDP|16776164997195229249</stp>
        <tr r="K169" s="2"/>
        <tr r="R169" s="2"/>
        <tr r="W169" s="2"/>
      </tp>
      <tp t="s">
        <v>#N/A N/A</v>
        <stp/>
        <stp>BDP|13146817319876045596</stp>
        <tr r="U215" s="2"/>
      </tp>
      <tp t="s">
        <v>#N/A N/A</v>
        <stp/>
        <stp>BDP|14782521787604262407</stp>
        <tr r="E63" s="2"/>
      </tp>
      <tp t="s">
        <v>#N/A N/A</v>
        <stp/>
        <stp>BDP|13741132522988783114</stp>
        <tr r="Y123" s="2"/>
      </tp>
      <tp t="s">
        <v>#N/A N/A</v>
        <stp/>
        <stp>BDP|14245486090558965833</stp>
        <tr r="L123" s="2"/>
      </tp>
      <tp t="s">
        <v>#N/A N/A</v>
        <stp/>
        <stp>BDP|18312325435374076542</stp>
        <tr r="AE77" s="2"/>
      </tp>
      <tp t="s">
        <v>#N/A N/A</v>
        <stp/>
        <stp>BDP|10871011363629336691</stp>
        <tr r="B106" s="2"/>
      </tp>
      <tp t="s">
        <v>#N/A N/A</v>
        <stp/>
        <stp>BDP|12655451040019428277</stp>
        <tr r="AC239" s="2"/>
      </tp>
      <tp t="s">
        <v>#N/A N/A</v>
        <stp/>
        <stp>BDP|17054118023124148939</stp>
        <tr r="L159" s="2"/>
      </tp>
      <tp t="s">
        <v>#N/A N/A</v>
        <stp/>
        <stp>BDP|14451283385820189781</stp>
        <tr r="F115" s="2"/>
      </tp>
      <tp t="s">
        <v>#N/A N/A</v>
        <stp/>
        <stp>BDP|18040964853469402412</stp>
        <tr r="AC65" s="2"/>
      </tp>
      <tp t="s">
        <v>#N/A N/A</v>
        <stp/>
        <stp>BDP|11395000570506231927</stp>
        <tr r="AB37" s="2"/>
      </tp>
      <tp t="s">
        <v>#N/A N/A</v>
        <stp/>
        <stp>BDP|16184316280085306101</stp>
        <tr r="H8" s="2"/>
      </tp>
      <tp t="s">
        <v>#N/A N/A</v>
        <stp/>
        <stp>BDP|11372200407463050979</stp>
        <tr r="O13" s="2"/>
      </tp>
      <tp t="s">
        <v>#N/A N/A</v>
        <stp/>
        <stp>BDP|18252034217291471119</stp>
        <tr r="AD124" s="2"/>
      </tp>
      <tp t="s">
        <v>#N/A N/A</v>
        <stp/>
        <stp>BDP|11287998986981789893</stp>
        <tr r="AB240" s="2"/>
      </tp>
      <tp t="s">
        <v>#N/A N/A</v>
        <stp/>
        <stp>BDP|16433491774674908835</stp>
        <tr r="T136" s="2"/>
      </tp>
      <tp t="s">
        <v>#N/A N/A</v>
        <stp/>
        <stp>BDP|10118194720319347382</stp>
        <tr r="Z45" s="2"/>
      </tp>
      <tp t="s">
        <v>#N/A N/A</v>
        <stp/>
        <stp>BDP|10853781440602732846</stp>
        <tr r="V62" s="2"/>
      </tp>
      <tp t="s">
        <v>#N/A N/A</v>
        <stp/>
        <stp>BDP|10637320686630853296</stp>
        <tr r="K199" s="2"/>
        <tr r="R199" s="2"/>
        <tr r="W199" s="2"/>
      </tp>
      <tp t="s">
        <v>#N/A N/A</v>
        <stp/>
        <stp>BDP|18220971402341260960</stp>
        <tr r="C86" s="2"/>
      </tp>
      <tp t="s">
        <v>#N/A N/A</v>
        <stp/>
        <stp>BDP|10452818070784165267</stp>
        <tr r="AD199" s="2"/>
      </tp>
      <tp t="s">
        <v>#N/A N/A</v>
        <stp/>
        <stp>BDP|14788582134833015899</stp>
        <tr r="T183" s="2"/>
      </tp>
      <tp t="s">
        <v>#N/A N/A</v>
        <stp/>
        <stp>BDP|10456049550044060820</stp>
        <tr r="S104" s="2"/>
      </tp>
      <tp t="s">
        <v>#N/A N/A</v>
        <stp/>
        <stp>BDP|14537131587986645257</stp>
        <tr r="E92" s="2"/>
      </tp>
      <tp t="s">
        <v>#N/A N/A</v>
        <stp/>
        <stp>BDP|12398846957273137536</stp>
        <tr r="E89" s="2"/>
      </tp>
      <tp t="s">
        <v>#N/A N/A</v>
        <stp/>
        <stp>BDP|10787337896020220320</stp>
        <tr r="K149" s="2"/>
        <tr r="R149" s="2"/>
        <tr r="W149" s="2"/>
      </tp>
      <tp t="s">
        <v>#N/A N/A</v>
        <stp/>
        <stp>BDP|12469576692616076136</stp>
        <tr r="Q76" s="2"/>
      </tp>
      <tp t="s">
        <v>#N/A N/A</v>
        <stp/>
        <stp>BDP|13255643661802504808</stp>
        <tr r="N229" s="2"/>
      </tp>
      <tp t="s">
        <v>#N/A N/A</v>
        <stp/>
        <stp>BDP|11015570091221526515</stp>
        <tr r="G125" s="2"/>
      </tp>
      <tp t="s">
        <v>#N/A N/A</v>
        <stp/>
        <stp>BDP|10653355720151625909</stp>
        <tr r="D38" s="2"/>
      </tp>
      <tp t="s">
        <v>#N/A N/A</v>
        <stp/>
        <stp>BDP|13082373142309353432</stp>
        <tr r="AD219" s="2"/>
      </tp>
      <tp t="s">
        <v>#N/A N/A</v>
        <stp/>
        <stp>BDP|17338988418663764519</stp>
        <tr r="O192" s="2"/>
      </tp>
      <tp t="s">
        <v>#N/A N/A</v>
        <stp/>
        <stp>BDP|14560434962597239836</stp>
        <tr r="T23" s="2"/>
      </tp>
      <tp t="s">
        <v>#N/A N/A</v>
        <stp/>
        <stp>BDP|17854598188931851240</stp>
        <tr r="M237" s="2"/>
      </tp>
      <tp t="s">
        <v>#N/A N/A</v>
        <stp/>
        <stp>BDP|17029867174861282052</stp>
        <tr r="AA137" s="2"/>
      </tp>
      <tp t="s">
        <v>#N/A N/A</v>
        <stp/>
        <stp>BDP|11620602499551235681</stp>
        <tr r="S160" s="2"/>
      </tp>
      <tp t="s">
        <v>#N/A N/A</v>
        <stp/>
        <stp>BDP|14297507987320899082</stp>
        <tr r="Q32" s="2"/>
      </tp>
      <tp t="s">
        <v>#N/A N/A</v>
        <stp/>
        <stp>BDP|14494438150188272402</stp>
        <tr r="U222" s="2"/>
      </tp>
      <tp t="s">
        <v>#N/A N/A</v>
        <stp/>
        <stp>BDP|11963526757968993005</stp>
        <tr r="V207" s="2"/>
      </tp>
      <tp t="s">
        <v>#N/A N/A</v>
        <stp/>
        <stp>BDP|17501840894899693664</stp>
        <tr r="AB156" s="2"/>
      </tp>
      <tp t="s">
        <v>#N/A N/A</v>
        <stp/>
        <stp>BDP|16451648184186134714</stp>
        <tr r="AC193" s="2"/>
      </tp>
      <tp t="s">
        <v>#N/A N/A</v>
        <stp/>
        <stp>BDP|17218048043029956386</stp>
        <tr r="Z136" s="2"/>
      </tp>
      <tp t="s">
        <v>#N/A N/A</v>
        <stp/>
        <stp>BDP|14624446677887825994</stp>
        <tr r="F55" s="2"/>
      </tp>
      <tp t="s">
        <v>#N/A N/A</v>
        <stp/>
        <stp>BDP|13005966638327380797</stp>
        <tr r="E236" s="2"/>
      </tp>
      <tp t="s">
        <v>#N/A N/A</v>
        <stp/>
        <stp>BDP|13429670573852440903</stp>
        <tr r="U223" s="2"/>
      </tp>
      <tp t="s">
        <v>#N/A N/A</v>
        <stp/>
        <stp>BDP|11074669448052227880</stp>
        <tr r="T52" s="2"/>
      </tp>
      <tp t="s">
        <v>#N/A N/A</v>
        <stp/>
        <stp>BDP|15558512163357753842</stp>
        <tr r="AC64" s="2"/>
      </tp>
      <tp t="s">
        <v>#N/A N/A</v>
        <stp/>
        <stp>BDP|17635030270150884998</stp>
        <tr r="P114" s="2"/>
      </tp>
      <tp t="s">
        <v>#N/A N/A</v>
        <stp/>
        <stp>BDP|17757047023989122559</stp>
        <tr r="H123" s="2"/>
      </tp>
      <tp t="s">
        <v>#N/A N/A</v>
        <stp/>
        <stp>BDP|15972833854751814022</stp>
        <tr r="Z43" s="2"/>
      </tp>
      <tp t="s">
        <v>#N/A N/A</v>
        <stp/>
        <stp>BDP|18125744861269850981</stp>
        <tr r="I149" s="2"/>
      </tp>
      <tp t="s">
        <v>#N/A N/A</v>
        <stp/>
        <stp>BDP|18297401852991764130</stp>
        <tr r="N225" s="2"/>
      </tp>
      <tp t="s">
        <v>#N/A N/A</v>
        <stp/>
        <stp>BDP|15540925202022374722</stp>
        <tr r="S231" s="2"/>
      </tp>
      <tp t="s">
        <v>#N/A N/A</v>
        <stp/>
        <stp>BDP|13659794119459260538</stp>
        <tr r="AA93" s="2"/>
      </tp>
      <tp t="s">
        <v>#N/A N/A</v>
        <stp/>
        <stp>BDP|14473341593051745639</stp>
        <tr r="AA109" s="2"/>
      </tp>
      <tp t="s">
        <v>#N/A N/A</v>
        <stp/>
        <stp>BDP|18039149515354347555</stp>
        <tr r="G148" s="2"/>
      </tp>
      <tp t="s">
        <v>#N/A N/A</v>
        <stp/>
        <stp>BDP|10491806028672931122</stp>
        <tr r="U168" s="2"/>
      </tp>
      <tp t="s">
        <v>#N/A N/A</v>
        <stp/>
        <stp>BDP|15198520885173450255</stp>
        <tr r="V35" s="2"/>
      </tp>
      <tp t="s">
        <v>#N/A N/A</v>
        <stp/>
        <stp>BDP|15608024442259701169</stp>
        <tr r="D210" s="2"/>
      </tp>
      <tp t="s">
        <v>#N/A N/A</v>
        <stp/>
        <stp>BDP|12785083889024116704</stp>
        <tr r="M14" s="2"/>
      </tp>
      <tp t="s">
        <v>#N/A N/A</v>
        <stp/>
        <stp>BDP|14496068191761238564</stp>
        <tr r="AD176" s="2"/>
      </tp>
      <tp t="s">
        <v>#N/A N/A</v>
        <stp/>
        <stp>BDP|13835987679331618586</stp>
        <tr r="B100" s="2"/>
      </tp>
      <tp t="s">
        <v>#N/A N/A</v>
        <stp/>
        <stp>BDP|12956646875688851270</stp>
        <tr r="D100" s="2"/>
      </tp>
      <tp t="s">
        <v>#N/A N/A</v>
        <stp/>
        <stp>BDP|17004676996362159377</stp>
        <tr r="V189" s="2"/>
      </tp>
      <tp t="s">
        <v>#N/A N/A</v>
        <stp/>
        <stp>BDP|12709274057149400543</stp>
        <tr r="L75" s="2"/>
      </tp>
      <tp t="s">
        <v>#N/A N/A</v>
        <stp/>
        <stp>BDP|15250531240318529533</stp>
        <tr r="Q60" s="2"/>
      </tp>
      <tp t="s">
        <v>#N/A N/A</v>
        <stp/>
        <stp>BDP|16733731887706713631</stp>
        <tr r="B179" s="2"/>
      </tp>
      <tp t="s">
        <v>#N/A N/A</v>
        <stp/>
        <stp>BDP|10552657283316769133</stp>
        <tr r="L67" s="2"/>
      </tp>
      <tp t="s">
        <v>#N/A N/A</v>
        <stp/>
        <stp>BDP|13376674345368212045</stp>
        <tr r="E190" s="2"/>
      </tp>
      <tp t="s">
        <v>#N/A N/A</v>
        <stp/>
        <stp>BDP|10017757622818964480</stp>
        <tr r="B210" s="2"/>
      </tp>
      <tp t="s">
        <v>#N/A N/A</v>
        <stp/>
        <stp>BDP|17934110911907775982</stp>
        <tr r="I31" s="2"/>
      </tp>
      <tp t="s">
        <v>#N/A N/A</v>
        <stp/>
        <stp>BDP|18203153245143680724</stp>
        <tr r="Z72" s="2"/>
      </tp>
      <tp t="s">
        <v>#N/A N/A</v>
        <stp/>
        <stp>BDP|12564826580648990382</stp>
        <tr r="M182" s="2"/>
      </tp>
      <tp t="s">
        <v>#N/A N/A</v>
        <stp/>
        <stp>BDP|14210638901742348956</stp>
        <tr r="AC188" s="2"/>
      </tp>
      <tp t="s">
        <v>#N/A N/A</v>
        <stp/>
        <stp>BDP|14235685370104540890</stp>
        <tr r="K234" s="2"/>
        <tr r="R234" s="2"/>
        <tr r="W234" s="2"/>
      </tp>
      <tp t="s">
        <v>#N/A N/A</v>
        <stp/>
        <stp>BDP|10826816263814462388</stp>
        <tr r="F19" s="2"/>
      </tp>
      <tp t="s">
        <v>#N/A N/A</v>
        <stp/>
        <stp>BDP|13272045432899509078</stp>
        <tr r="Y125" s="2"/>
      </tp>
      <tp t="s">
        <v>#N/A N/A</v>
        <stp/>
        <stp>BDP|11265639526095688975</stp>
        <tr r="I72" s="2"/>
      </tp>
      <tp t="s">
        <v>#N/A N/A</v>
        <stp/>
        <stp>BDP|12376711533549530626</stp>
        <tr r="X165" s="2"/>
      </tp>
      <tp t="s">
        <v>#N/A N/A</v>
        <stp/>
        <stp>BDP|15574095544018684770</stp>
        <tr r="U217" s="2"/>
      </tp>
      <tp t="s">
        <v>#N/A N/A</v>
        <stp/>
        <stp>BDP|13329716219678185334</stp>
        <tr r="O101" s="2"/>
      </tp>
      <tp t="s">
        <v>#N/A N/A</v>
        <stp/>
        <stp>BDP|13751170651658014181</stp>
        <tr r="T172" s="2"/>
      </tp>
      <tp t="s">
        <v>#N/A N/A</v>
        <stp/>
        <stp>BDP|16695953528394595771</stp>
        <tr r="F75" s="2"/>
      </tp>
      <tp t="s">
        <v>#N/A N/A</v>
        <stp/>
        <stp>BDP|12598188931446001855</stp>
        <tr r="O181" s="2"/>
      </tp>
      <tp t="s">
        <v>#N/A N/A</v>
        <stp/>
        <stp>BDP|14071670391415940067</stp>
        <tr r="AA64" s="2"/>
      </tp>
      <tp t="s">
        <v>#N/A N/A</v>
        <stp/>
        <stp>BDP|11325390723019114714</stp>
        <tr r="I174" s="2"/>
      </tp>
      <tp t="s">
        <v>#N/A N/A</v>
        <stp/>
        <stp>BDP|12474655599910390325</stp>
        <tr r="C6" s="2"/>
      </tp>
      <tp t="s">
        <v>#N/A N/A</v>
        <stp/>
        <stp>BDP|11274812071302936221</stp>
        <tr r="T121" s="2"/>
      </tp>
      <tp t="s">
        <v>#N/A N/A</v>
        <stp/>
        <stp>BDP|17770333509879013355</stp>
        <tr r="I57" s="2"/>
      </tp>
      <tp t="s">
        <v>#N/A N/A</v>
        <stp/>
        <stp>BDP|15587983914730561345</stp>
        <tr r="S219" s="2"/>
      </tp>
      <tp t="s">
        <v>#N/A N/A</v>
        <stp/>
        <stp>BDP|10817679333418262365</stp>
        <tr r="AC99" s="2"/>
      </tp>
      <tp t="s">
        <v>#N/A N/A</v>
        <stp/>
        <stp>BDP|10079886277338484934</stp>
        <tr r="B146" s="2"/>
      </tp>
      <tp t="s">
        <v>#N/A N/A</v>
        <stp/>
        <stp>BDP|15277584882975971393</stp>
        <tr r="AA115" s="2"/>
      </tp>
      <tp t="s">
        <v>#N/A N/A</v>
        <stp/>
        <stp>BDP|14848755165993011807</stp>
        <tr r="F34" s="2"/>
      </tp>
      <tp t="s">
        <v>#N/A N/A</v>
        <stp/>
        <stp>BDP|13323460055188108494</stp>
        <tr r="AC173" s="2"/>
      </tp>
      <tp t="s">
        <v>#N/A N/A</v>
        <stp/>
        <stp>BDP|11581427037729968118</stp>
        <tr r="AA240" s="2"/>
      </tp>
      <tp t="s">
        <v>#N/A N/A</v>
        <stp/>
        <stp>BDP|12402487237768345302</stp>
        <tr r="C83" s="2"/>
      </tp>
      <tp t="s">
        <v>#N/A N/A</v>
        <stp/>
        <stp>BDP|10969775541879664424</stp>
        <tr r="Y119" s="2"/>
      </tp>
      <tp t="s">
        <v>#N/A N/A</v>
        <stp/>
        <stp>BDP|13502896677056687463</stp>
        <tr r="D228" s="2"/>
      </tp>
      <tp t="s">
        <v>#N/A N/A</v>
        <stp/>
        <stp>BDP|13909527170847304833</stp>
        <tr r="T143" s="2"/>
      </tp>
      <tp t="s">
        <v>#N/A N/A</v>
        <stp/>
        <stp>BDP|15061232288903714270</stp>
        <tr r="M41" s="2"/>
      </tp>
      <tp t="s">
        <v>#N/A N/A</v>
        <stp/>
        <stp>BDP|10020145029154227947</stp>
        <tr r="AC200" s="2"/>
      </tp>
      <tp t="s">
        <v>#N/A N/A</v>
        <stp/>
        <stp>BDP|15875018093607085513</stp>
        <tr r="AA70" s="2"/>
      </tp>
      <tp t="s">
        <v>#N/A N/A</v>
        <stp/>
        <stp>BDP|14153064099453047050</stp>
        <tr r="AB232" s="2"/>
      </tp>
      <tp t="s">
        <v>#N/A N/A</v>
        <stp/>
        <stp>BDP|12104704830151830926</stp>
        <tr r="I145" s="2"/>
      </tp>
      <tp t="s">
        <v>#N/A N/A</v>
        <stp/>
        <stp>BDP|15450909358260134769</stp>
        <tr r="K217" s="2"/>
        <tr r="R217" s="2"/>
        <tr r="W217" s="2"/>
      </tp>
      <tp t="s">
        <v>#N/A N/A</v>
        <stp/>
        <stp>BDP|17236829218113286309</stp>
        <tr r="O234" s="2"/>
      </tp>
      <tp t="s">
        <v>#N/A N/A</v>
        <stp/>
        <stp>BDP|10262329818358413464</stp>
        <tr r="L226" s="2"/>
      </tp>
      <tp t="s">
        <v>#N/A N/A</v>
        <stp/>
        <stp>BDP|18317489467100315450</stp>
        <tr r="L170" s="2"/>
      </tp>
      <tp t="s">
        <v>#N/A N/A</v>
        <stp/>
        <stp>BDP|12995354987105065215</stp>
        <tr r="N66" s="2"/>
      </tp>
      <tp t="s">
        <v>#N/A N/A</v>
        <stp/>
        <stp>BDP|11591222164673877815</stp>
        <tr r="T138" s="2"/>
      </tp>
      <tp t="s">
        <v>#N/A N/A</v>
        <stp/>
        <stp>BDP|12324452910629594091</stp>
        <tr r="B237" s="2"/>
      </tp>
      <tp t="s">
        <v>#N/A N/A</v>
        <stp/>
        <stp>BDP|15707479094423956576</stp>
        <tr r="C75" s="2"/>
      </tp>
      <tp t="s">
        <v>#N/A N/A</v>
        <stp/>
        <stp>BDP|17956234019583916904</stp>
        <tr r="F84" s="2"/>
      </tp>
      <tp t="s">
        <v>#N/A N/A</v>
        <stp/>
        <stp>BDP|14838269594961461043</stp>
        <tr r="AC31" s="2"/>
      </tp>
      <tp t="s">
        <v>#N/A N/A</v>
        <stp/>
        <stp>BDP|13350882306356300340</stp>
        <tr r="S14" s="2"/>
      </tp>
      <tp t="s">
        <v>#N/A N/A</v>
        <stp/>
        <stp>BDP|15699753186742042682</stp>
        <tr r="B91" s="2"/>
      </tp>
      <tp t="s">
        <v>#N/A N/A</v>
        <stp/>
        <stp>BDP|12940295558073411818</stp>
        <tr r="Q139" s="2"/>
      </tp>
      <tp t="s">
        <v>#N/A N/A</v>
        <stp/>
        <stp>BDP|17244966505958977853</stp>
        <tr r="U190" s="2"/>
      </tp>
      <tp t="s">
        <v>#N/A N/A</v>
        <stp/>
        <stp>BDP|11149047818148058609</stp>
        <tr r="K190" s="2"/>
        <tr r="R190" s="2"/>
        <tr r="W190" s="2"/>
      </tp>
      <tp t="s">
        <v>#N/A N/A</v>
        <stp/>
        <stp>BDP|17849924307691208128</stp>
        <tr r="F39" s="2"/>
      </tp>
      <tp t="s">
        <v>#N/A N/A</v>
        <stp/>
        <stp>BDP|12582373156478828210</stp>
        <tr r="Z49" s="2"/>
      </tp>
      <tp t="s">
        <v>#N/A N/A</v>
        <stp/>
        <stp>BDP|14876874142184868289</stp>
        <tr r="T186" s="2"/>
      </tp>
      <tp t="s">
        <v>#N/A N/A</v>
        <stp/>
        <stp>BDP|12577732683986853505</stp>
        <tr r="V15" s="2"/>
      </tp>
      <tp t="s">
        <v>#N/A N/A</v>
        <stp/>
        <stp>BDP|10824522684475079630</stp>
        <tr r="S106" s="2"/>
      </tp>
      <tp t="s">
        <v>#N/A N/A</v>
        <stp/>
        <stp>BDP|14244253598326368711</stp>
        <tr r="X95" s="2"/>
      </tp>
      <tp t="s">
        <v>#N/A N/A</v>
        <stp/>
        <stp>BDP|13910317494637652074</stp>
        <tr r="AD81" s="2"/>
      </tp>
      <tp t="s">
        <v>#N/A N/A</v>
        <stp/>
        <stp>BDP|14678351389590404132</stp>
        <tr r="AA175" s="2"/>
      </tp>
      <tp t="s">
        <v>#N/A N/A</v>
        <stp/>
        <stp>BDP|10076338741709964068</stp>
        <tr r="E133" s="2"/>
      </tp>
      <tp t="s">
        <v>#N/A N/A</v>
        <stp/>
        <stp>BDP|15268774691915153094</stp>
        <tr r="H110" s="2"/>
      </tp>
      <tp t="s">
        <v>#N/A N/A</v>
        <stp/>
        <stp>BDP|14658681007655086952</stp>
        <tr r="AD58" s="2"/>
      </tp>
      <tp t="s">
        <v>#N/A N/A</v>
        <stp/>
        <stp>BDP|17299983354121026427</stp>
        <tr r="E90" s="2"/>
      </tp>
      <tp t="s">
        <v>#N/A N/A</v>
        <stp/>
        <stp>BDP|14541013258456187915</stp>
        <tr r="S62" s="2"/>
      </tp>
      <tp t="s">
        <v>#N/A N/A</v>
        <stp/>
        <stp>BDP|13336020842940749983</stp>
        <tr r="L116" s="2"/>
      </tp>
      <tp t="s">
        <v>#N/A N/A</v>
        <stp/>
        <stp>BDP|11787837055475456792</stp>
        <tr r="L35" s="2"/>
      </tp>
      <tp t="s">
        <v>#N/A N/A</v>
        <stp/>
        <stp>BDP|14670978448637331068</stp>
        <tr r="T169" s="2"/>
      </tp>
      <tp t="s">
        <v>#N/A N/A</v>
        <stp/>
        <stp>BDP|10078533131409773196</stp>
        <tr r="U13" s="2"/>
      </tp>
      <tp t="s">
        <v>#N/A N/A</v>
        <stp/>
        <stp>BDP|10143794893399308942</stp>
        <tr r="B142" s="2"/>
      </tp>
      <tp t="s">
        <v>#N/A N/A</v>
        <stp/>
        <stp>BDP|13032069178593745962</stp>
        <tr r="L119" s="2"/>
      </tp>
      <tp t="s">
        <v>#N/A N/A</v>
        <stp/>
        <stp>BDP|13501977268413092152</stp>
        <tr r="Q218" s="2"/>
      </tp>
      <tp t="s">
        <v>#N/A N/A</v>
        <stp/>
        <stp>BDP|13690476969096549926</stp>
        <tr r="V183" s="2"/>
      </tp>
      <tp t="s">
        <v>#N/A N/A</v>
        <stp/>
        <stp>BDP|10925876670331377023</stp>
        <tr r="D8" s="2"/>
      </tp>
      <tp t="s">
        <v>#N/A N/A</v>
        <stp/>
        <stp>BDP|10461093680967245109</stp>
        <tr r="AA131" s="2"/>
      </tp>
      <tp t="s">
        <v>#N/A N/A</v>
        <stp/>
        <stp>BDP|14051889216207307429</stp>
        <tr r="L198" s="2"/>
      </tp>
      <tp t="s">
        <v>#N/A N/A</v>
        <stp/>
        <stp>BDP|12492429299626410740</stp>
        <tr r="O207" s="2"/>
      </tp>
      <tp t="s">
        <v>#N/A N/A</v>
        <stp/>
        <stp>BDP|15167319839932581926</stp>
        <tr r="X114" s="2"/>
      </tp>
      <tp t="s">
        <v>#N/A N/A</v>
        <stp/>
        <stp>BDP|13899161087446351241</stp>
        <tr r="K183" s="2"/>
        <tr r="R183" s="2"/>
        <tr r="W183" s="2"/>
      </tp>
      <tp t="s">
        <v>#N/A N/A</v>
        <stp/>
        <stp>BDP|14532524589072200529</stp>
        <tr r="F216" s="2"/>
      </tp>
      <tp t="s">
        <v>#N/A N/A</v>
        <stp/>
        <stp>BDP|16576379154217821903</stp>
        <tr r="Y49" s="2"/>
      </tp>
      <tp t="s">
        <v>#N/A N/A</v>
        <stp/>
        <stp>BDP|14928920736054070436</stp>
        <tr r="B4" s="2"/>
      </tp>
      <tp t="s">
        <v>#N/A N/A</v>
        <stp/>
        <stp>BDP|14005457097707839042</stp>
        <tr r="AE208" s="2"/>
      </tp>
      <tp t="s">
        <v>#N/A N/A</v>
        <stp/>
        <stp>BDP|11075016054263257997</stp>
        <tr r="O112" s="2"/>
      </tp>
      <tp t="s">
        <v>#N/A N/A</v>
        <stp/>
        <stp>BDP|15996858310990200208</stp>
        <tr r="AD182" s="2"/>
      </tp>
      <tp t="s">
        <v>#N/A N/A</v>
        <stp/>
        <stp>BDP|13693196955409487006</stp>
        <tr r="M227" s="2"/>
      </tp>
      <tp t="s">
        <v>#N/A N/A</v>
        <stp/>
        <stp>BDP|11685818608705967285</stp>
        <tr r="Q158" s="2"/>
      </tp>
      <tp t="s">
        <v>#N/A N/A</v>
        <stp/>
        <stp>BDP|17211831871051982783</stp>
        <tr r="Z193" s="2"/>
      </tp>
      <tp t="s">
        <v>#N/A N/A</v>
        <stp/>
        <stp>BDP|12210480595548897967</stp>
        <tr r="K193" s="2"/>
        <tr r="R193" s="2"/>
        <tr r="W193" s="2"/>
      </tp>
      <tp t="s">
        <v>#N/A N/A</v>
        <stp/>
        <stp>BDP|14202874578771881448</stp>
        <tr r="V58" s="2"/>
      </tp>
      <tp t="s">
        <v>#N/A N/A</v>
        <stp/>
        <stp>BDP|11155526743627731967</stp>
        <tr r="Y21" s="2"/>
      </tp>
      <tp t="s">
        <v>#N/A N/A</v>
        <stp/>
        <stp>BDP|11149997101520936615</stp>
        <tr r="E99" s="2"/>
      </tp>
      <tp t="s">
        <v>#N/A N/A</v>
        <stp/>
        <stp>BDP|13049986634283850453</stp>
        <tr r="B196" s="2"/>
      </tp>
      <tp t="s">
        <v>#N/A N/A</v>
        <stp/>
        <stp>BDP|15280322155334399975</stp>
        <tr r="AD24" s="2"/>
      </tp>
      <tp t="s">
        <v>#N/A N/A</v>
        <stp/>
        <stp>BDP|12217451792514660527</stp>
        <tr r="H69" s="2"/>
      </tp>
      <tp t="s">
        <v>#N/A N/A</v>
        <stp/>
        <stp>BDP|15053382289798635879</stp>
        <tr r="I170" s="2"/>
      </tp>
      <tp t="s">
        <v>#N/A N/A</v>
        <stp/>
        <stp>BDP|11011610193992407262</stp>
        <tr r="U119" s="2"/>
      </tp>
      <tp t="s">
        <v>#N/A N/A</v>
        <stp/>
        <stp>BDP|18055667497920911980</stp>
        <tr r="I165" s="2"/>
      </tp>
      <tp t="s">
        <v>#N/A N/A</v>
        <stp/>
        <stp>BDP|12965715799145433750</stp>
        <tr r="G84" s="2"/>
      </tp>
      <tp t="s">
        <v>#N/A N/A</v>
        <stp/>
        <stp>BDP|10136711093667049730</stp>
        <tr r="Q200" s="2"/>
      </tp>
      <tp t="s">
        <v>#N/A N/A</v>
        <stp/>
        <stp>BDP|15562258797617298756</stp>
        <tr r="U236" s="2"/>
      </tp>
      <tp t="s">
        <v>#N/A N/A</v>
        <stp/>
        <stp>BDP|17466866388851892826</stp>
        <tr r="F110" s="2"/>
      </tp>
      <tp t="s">
        <v>#N/A N/A</v>
        <stp/>
        <stp>BDP|17916884815886627629</stp>
        <tr r="Q109" s="2"/>
      </tp>
      <tp t="s">
        <v>#N/A N/A</v>
        <stp/>
        <stp>BDP|12773999914695867115</stp>
        <tr r="AA160" s="2"/>
      </tp>
      <tp t="s">
        <v>#N/A N/A</v>
        <stp/>
        <stp>BDP|15093157993612727123</stp>
        <tr r="AD92" s="2"/>
      </tp>
      <tp t="s">
        <v>#N/A N/A</v>
        <stp/>
        <stp>BDP|13249540262167348949</stp>
        <tr r="B6" s="2"/>
      </tp>
      <tp t="s">
        <v>#N/A N/A</v>
        <stp/>
        <stp>BDP|12661064003335494940</stp>
        <tr r="M49" s="2"/>
      </tp>
      <tp t="s">
        <v>#N/A N/A</v>
        <stp/>
        <stp>BDP|12290110224328510713</stp>
        <tr r="V101" s="2"/>
      </tp>
      <tp t="s">
        <v>#N/A N/A</v>
        <stp/>
        <stp>BDP|14502165373805636953</stp>
        <tr r="N164" s="2"/>
      </tp>
      <tp t="s">
        <v>#N/A N/A</v>
        <stp/>
        <stp>BDP|17440942372701251636</stp>
        <tr r="Q107" s="2"/>
      </tp>
      <tp t="s">
        <v>#N/A N/A</v>
        <stp/>
        <stp>BDP|13103323681134068214</stp>
        <tr r="AD117" s="2"/>
      </tp>
      <tp t="s">
        <v>#N/A N/A</v>
        <stp/>
        <stp>BDP|18075328202975526064</stp>
        <tr r="N74" s="2"/>
      </tp>
      <tp t="s">
        <v>#N/A N/A</v>
        <stp/>
        <stp>BDP|16587337997942057024</stp>
        <tr r="L157" s="2"/>
      </tp>
      <tp t="s">
        <v>#N/A N/A</v>
        <stp/>
        <stp>BDP|16121269756356571979</stp>
        <tr r="V222" s="2"/>
      </tp>
      <tp t="s">
        <v>#N/A N/A</v>
        <stp/>
        <stp>BDP|11545815516204674271</stp>
        <tr r="O78" s="2"/>
      </tp>
      <tp t="s">
        <v>#N/A N/A</v>
        <stp/>
        <stp>BDP|12765844787729442534</stp>
        <tr r="G80" s="2"/>
      </tp>
      <tp t="s">
        <v>#N/A N/A</v>
        <stp/>
        <stp>BDP|14403755926728580703</stp>
        <tr r="N23" s="2"/>
      </tp>
      <tp t="s">
        <v>#N/A N/A</v>
        <stp/>
        <stp>BDP|16212012735988532316</stp>
        <tr r="V209" s="2"/>
      </tp>
      <tp t="s">
        <v>#N/A N/A</v>
        <stp/>
        <stp>BDP|13615695847238830728</stp>
        <tr r="Y194" s="2"/>
      </tp>
      <tp t="s">
        <v>#N/A N/A</v>
        <stp/>
        <stp>BDP|18068262411101603439</stp>
        <tr r="I121" s="2"/>
      </tp>
      <tp t="s">
        <v>#N/A N/A</v>
        <stp/>
        <stp>BDP|10527056788833274587</stp>
        <tr r="U194" s="2"/>
      </tp>
      <tp t="s">
        <v>#N/A N/A</v>
        <stp/>
        <stp>BDP|15605955923734401461</stp>
        <tr r="AB221" s="2"/>
      </tp>
      <tp t="s">
        <v>#N/A N/A</v>
        <stp/>
        <stp>BDP|12706435688594922470</stp>
        <tr r="Z213" s="2"/>
      </tp>
      <tp t="s">
        <v>#N/A N/A</v>
        <stp/>
        <stp>BDP|12505803224567568161</stp>
        <tr r="L26" s="2"/>
      </tp>
      <tp t="s">
        <v>#N/A N/A</v>
        <stp/>
        <stp>BDP|12119380126445918844</stp>
        <tr r="Z5" s="2"/>
      </tp>
      <tp t="s">
        <v>#N/A N/A</v>
        <stp/>
        <stp>BDP|17012822305348238975</stp>
        <tr r="D179" s="2"/>
      </tp>
      <tp t="s">
        <v>#N/A N/A</v>
        <stp/>
        <stp>BDP|12245963430086706012</stp>
        <tr r="S166" s="2"/>
      </tp>
      <tp t="s">
        <v>#N/A N/A</v>
        <stp/>
        <stp>BDP|11445290239017587946</stp>
        <tr r="G161" s="2"/>
      </tp>
      <tp t="s">
        <v>#N/A N/A</v>
        <stp/>
        <stp>BDP|10787165286683332411</stp>
        <tr r="AC58" s="2"/>
      </tp>
      <tp t="s">
        <v>#N/A N/A</v>
        <stp/>
        <stp>BDP|18137424957316199104</stp>
        <tr r="B54" s="2"/>
      </tp>
      <tp t="s">
        <v>#N/A N/A</v>
        <stp/>
        <stp>BDP|15601263734848472255</stp>
        <tr r="T236" s="2"/>
      </tp>
      <tp t="s">
        <v>#N/A N/A</v>
        <stp/>
        <stp>BDP|13353997774155234698</stp>
        <tr r="F168" s="2"/>
      </tp>
      <tp t="s">
        <v>#N/A N/A</v>
        <stp/>
        <stp>BDP|17438871897818547046</stp>
        <tr r="G179" s="2"/>
      </tp>
      <tp t="s">
        <v>#N/A N/A</v>
        <stp/>
        <stp>BDP|16472142629852981954</stp>
        <tr r="AE128" s="2"/>
      </tp>
      <tp t="s">
        <v>#N/A N/A</v>
        <stp/>
        <stp>BDP|11052746296086211754</stp>
        <tr r="AE171" s="2"/>
      </tp>
      <tp t="s">
        <v>#N/A N/A</v>
        <stp/>
        <stp>BDP|17061354750418369735</stp>
        <tr r="L206" s="2"/>
      </tp>
      <tp t="s">
        <v>#N/A N/A</v>
        <stp/>
        <stp>BDP|10464946912620516622</stp>
        <tr r="AA101" s="2"/>
      </tp>
      <tp t="s">
        <v>#N/A N/A</v>
        <stp/>
        <stp>BDP|16937915629752368173</stp>
        <tr r="E200" s="2"/>
      </tp>
      <tp t="s">
        <v>#N/A N/A</v>
        <stp/>
        <stp>BDP|10707281168318509276</stp>
        <tr r="Z184" s="2"/>
      </tp>
      <tp t="s">
        <v>#N/A N/A</v>
        <stp/>
        <stp>BDP|17629580200858266498</stp>
        <tr r="AB183" s="2"/>
      </tp>
      <tp t="s">
        <v>#N/A N/A</v>
        <stp/>
        <stp>BDP|16785311350676701855</stp>
        <tr r="AA157" s="2"/>
      </tp>
      <tp t="s">
        <v>#N/A N/A</v>
        <stp/>
        <stp>BDP|15478428782511773674</stp>
        <tr r="AC87" s="2"/>
      </tp>
      <tp t="s">
        <v>#N/A N/A</v>
        <stp/>
        <stp>BDP|17409114573906040920</stp>
        <tr r="G124" s="2"/>
      </tp>
      <tp t="s">
        <v>#N/A N/A</v>
        <stp/>
        <stp>BDP|13022165823167292930</stp>
        <tr r="U74" s="2"/>
      </tp>
      <tp t="s">
        <v>#N/A N/A</v>
        <stp/>
        <stp>BDP|11481951516276327106</stp>
        <tr r="Z223" s="2"/>
      </tp>
      <tp t="s">
        <v>#N/A N/A</v>
        <stp/>
        <stp>BDP|12777534221739038219</stp>
        <tr r="I7" s="2"/>
      </tp>
      <tp t="s">
        <v>#N/A N/A</v>
        <stp/>
        <stp>BDP|10778821776156430737</stp>
        <tr r="K51" s="2"/>
        <tr r="R51" s="2"/>
        <tr r="W51" s="2"/>
      </tp>
      <tp t="s">
        <v>#N/A N/A</v>
        <stp/>
        <stp>BDP|11560866963691227067</stp>
        <tr r="V205" s="2"/>
      </tp>
      <tp t="s">
        <v>#N/A N/A</v>
        <stp/>
        <stp>BDP|16317953495760443831</stp>
        <tr r="Y60" s="2"/>
      </tp>
      <tp t="s">
        <v>#N/A N/A</v>
        <stp/>
        <stp>BDP|13244929055150942188</stp>
        <tr r="Q216" s="2"/>
      </tp>
      <tp t="s">
        <v>#N/A N/A</v>
        <stp/>
        <stp>BDP|11820296390392504600</stp>
        <tr r="O74" s="2"/>
      </tp>
      <tp t="s">
        <v>#N/A N/A</v>
        <stp/>
        <stp>BDP|10388881615824377390</stp>
        <tr r="P41" s="2"/>
      </tp>
      <tp t="s">
        <v>#N/A N/A</v>
        <stp/>
        <stp>BDP|15565776803418516403</stp>
        <tr r="S224" s="2"/>
      </tp>
      <tp t="s">
        <v>#N/A N/A</v>
        <stp/>
        <stp>BDP|15638321787066429636</stp>
        <tr r="Z29" s="2"/>
      </tp>
      <tp t="s">
        <v>#N/A N/A</v>
        <stp/>
        <stp>BDP|12208517718830974852</stp>
        <tr r="U179" s="2"/>
      </tp>
      <tp t="s">
        <v>#N/A N/A</v>
        <stp/>
        <stp>BDP|18382447231294009517</stp>
        <tr r="X237" s="2"/>
      </tp>
      <tp t="s">
        <v>#N/A N/A</v>
        <stp/>
        <stp>BDP|18053855449498394284</stp>
        <tr r="B19" s="2"/>
      </tp>
      <tp t="s">
        <v>#N/A N/A</v>
        <stp/>
        <stp>BDP|17332709400909498704</stp>
        <tr r="G193" s="2"/>
      </tp>
      <tp t="s">
        <v>#N/A N/A</v>
        <stp/>
        <stp>BDP|16801928669336557112</stp>
        <tr r="AE105" s="2"/>
      </tp>
      <tp t="s">
        <v>#N/A N/A</v>
        <stp/>
        <stp>BDP|15539107605392460833</stp>
        <tr r="G151" s="2"/>
      </tp>
      <tp t="s">
        <v>#N/A N/A</v>
        <stp/>
        <stp>BDP|12207273916077478803</stp>
        <tr r="G26" s="2"/>
      </tp>
      <tp t="s">
        <v>#N/A N/A</v>
        <stp/>
        <stp>BDP|14562759946821686866</stp>
        <tr r="AC22" s="2"/>
      </tp>
      <tp t="s">
        <v>#N/A N/A</v>
        <stp/>
        <stp>BDP|18388632235385784648</stp>
        <tr r="D65" s="2"/>
      </tp>
      <tp t="s">
        <v>#N/A N/A</v>
        <stp/>
        <stp>BDP|16544805125113714119</stp>
        <tr r="AD40" s="2"/>
      </tp>
      <tp t="s">
        <v>#N/A N/A</v>
        <stp/>
        <stp>BDP|16099792007406865904</stp>
        <tr r="Y197" s="2"/>
      </tp>
      <tp t="s">
        <v>#N/A N/A</v>
        <stp/>
        <stp>BDP|11697034190601746742</stp>
        <tr r="V137" s="2"/>
      </tp>
      <tp t="s">
        <v>#N/A N/A</v>
        <stp/>
        <stp>BDP|17912908268840149669</stp>
        <tr r="U89" s="2"/>
      </tp>
      <tp t="s">
        <v>#N/A N/A</v>
        <stp/>
        <stp>BDP|15579520491942859587</stp>
        <tr r="U5" s="2"/>
      </tp>
      <tp t="s">
        <v>#N/A N/A</v>
        <stp/>
        <stp>BDP|16247675217279402602</stp>
        <tr r="AD93" s="2"/>
      </tp>
      <tp t="s">
        <v>#N/A N/A</v>
        <stp/>
        <stp>BDP|10616276192181566400</stp>
        <tr r="S205" s="2"/>
      </tp>
      <tp t="s">
        <v>#N/A N/A</v>
        <stp/>
        <stp>BDP|15884017052818465763</stp>
        <tr r="O159" s="2"/>
      </tp>
      <tp t="s">
        <v>#N/A N/A</v>
        <stp/>
        <stp>BDP|15969994868773817694</stp>
        <tr r="I59" s="2"/>
      </tp>
      <tp t="s">
        <v>#N/A N/A</v>
        <stp/>
        <stp>BDP|10149553078649531405</stp>
        <tr r="C157" s="2"/>
      </tp>
      <tp t="s">
        <v>#N/A N/A</v>
        <stp/>
        <stp>BDP|15216283655194431925</stp>
        <tr r="P84" s="2"/>
      </tp>
      <tp t="s">
        <v>#N/A N/A</v>
        <stp/>
        <stp>BDP|14680703750989917067</stp>
        <tr r="AE229" s="2"/>
      </tp>
      <tp t="s">
        <v>#N/A N/A</v>
        <stp/>
        <stp>BDP|10016894484806200969</stp>
        <tr r="O100" s="2"/>
      </tp>
      <tp t="s">
        <v>#N/A N/A</v>
        <stp/>
        <stp>BDP|15846244691307092650</stp>
        <tr r="X221" s="2"/>
      </tp>
      <tp t="s">
        <v>#N/A N/A</v>
        <stp/>
        <stp>BDP|14608115653927965854</stp>
        <tr r="Y15" s="2"/>
      </tp>
      <tp t="s">
        <v>#N/A N/A</v>
        <stp/>
        <stp>BDP|17346954086301192896</stp>
        <tr r="U6" s="2"/>
      </tp>
      <tp t="s">
        <v>#N/A N/A</v>
        <stp/>
        <stp>BDP|16666810910022879273</stp>
        <tr r="D158" s="2"/>
      </tp>
      <tp t="s">
        <v>#N/A N/A</v>
        <stp/>
        <stp>BDP|14113340319201627826</stp>
        <tr r="L46" s="2"/>
      </tp>
      <tp t="s">
        <v>#N/A N/A</v>
        <stp/>
        <stp>BDP|12689024571392643882</stp>
        <tr r="Z222" s="2"/>
      </tp>
      <tp t="s">
        <v>#N/A N/A</v>
        <stp/>
        <stp>BDP|17187891856730078557</stp>
        <tr r="D202" s="2"/>
      </tp>
      <tp t="s">
        <v>#N/A N/A</v>
        <stp/>
        <stp>BDP|13796003290705875046</stp>
        <tr r="AC90" s="2"/>
      </tp>
      <tp t="s">
        <v>#N/A N/A</v>
        <stp/>
        <stp>BDP|10930818742450346329</stp>
        <tr r="AA135" s="2"/>
      </tp>
      <tp t="s">
        <v>#N/A N/A</v>
        <stp/>
        <stp>BDP|11705843928775464143</stp>
        <tr r="Z44" s="2"/>
      </tp>
      <tp t="s">
        <v>#N/A N/A</v>
        <stp/>
        <stp>BDP|10663136391403613494</stp>
        <tr r="M23" s="2"/>
      </tp>
      <tp t="s">
        <v>#N/A N/A</v>
        <stp/>
        <stp>BDP|13629252498733422445</stp>
        <tr r="D4" s="2"/>
      </tp>
      <tp t="s">
        <v>#N/A N/A</v>
        <stp/>
        <stp>BDP|10885871529271924449</stp>
        <tr r="AC159" s="2"/>
      </tp>
      <tp t="s">
        <v>#N/A N/A</v>
        <stp/>
        <stp>BDP|13628380624798125507</stp>
        <tr r="B52" s="2"/>
      </tp>
      <tp t="s">
        <v>#N/A N/A</v>
        <stp/>
        <stp>BDP|16890248810118546222</stp>
        <tr r="AE118" s="2"/>
      </tp>
      <tp t="s">
        <v>#N/A N/A</v>
        <stp/>
        <stp>BDP|10057768726813299986</stp>
        <tr r="D155" s="2"/>
      </tp>
      <tp t="s">
        <v>#N/A N/A</v>
        <stp/>
        <stp>BDP|10078395251879731050</stp>
        <tr r="G44" s="2"/>
      </tp>
      <tp t="s">
        <v>#N/A N/A</v>
        <stp/>
        <stp>BDP|17958203591473735058</stp>
        <tr r="AC50" s="2"/>
      </tp>
      <tp t="s">
        <v>#N/A N/A</v>
        <stp/>
        <stp>BDP|15014993767474289163</stp>
        <tr r="Z75" s="2"/>
      </tp>
      <tp t="s">
        <v>#N/A N/A</v>
        <stp/>
        <stp>BDP|16442936761814520294</stp>
        <tr r="F218" s="2"/>
      </tp>
      <tp t="s">
        <v>#N/A N/A</v>
        <stp/>
        <stp>BDP|14268442034218833406</stp>
        <tr r="P83" s="2"/>
      </tp>
      <tp t="s">
        <v>#N/A N/A</v>
        <stp/>
        <stp>BDP|18371389675291287266</stp>
        <tr r="AD7" s="2"/>
      </tp>
      <tp t="s">
        <v>#N/A N/A</v>
        <stp/>
        <stp>BDP|17219778679929054164</stp>
        <tr r="K164" s="2"/>
        <tr r="R164" s="2"/>
        <tr r="W164" s="2"/>
      </tp>
      <tp t="s">
        <v>#N/A N/A</v>
        <stp/>
        <stp>BDP|13950064298430839550</stp>
        <tr r="AA75" s="2"/>
      </tp>
      <tp t="s">
        <v>#N/A N/A</v>
        <stp/>
        <stp>BDP|13035372669280314977</stp>
        <tr r="C207" s="2"/>
      </tp>
      <tp t="s">
        <v>#N/A N/A</v>
        <stp/>
        <stp>BDP|16106806939141138330</stp>
        <tr r="L217" s="2"/>
      </tp>
      <tp t="s">
        <v>#N/A N/A</v>
        <stp/>
        <stp>BDP|12510931576381981242</stp>
        <tr r="AB85" s="2"/>
      </tp>
      <tp t="s">
        <v>#N/A N/A</v>
        <stp/>
        <stp>BDP|11394874774029903843</stp>
        <tr r="E87" s="2"/>
      </tp>
      <tp t="s">
        <v>#N/A N/A</v>
        <stp/>
        <stp>BDP|10926259641239266023</stp>
        <tr r="H164" s="2"/>
      </tp>
      <tp t="s">
        <v>#N/A N/A</v>
        <stp/>
        <stp>BDP|15317223917079219091</stp>
        <tr r="L197" s="2"/>
      </tp>
      <tp t="s">
        <v>#N/A N/A</v>
        <stp/>
        <stp>BDP|13968824736694708373</stp>
        <tr r="P178" s="2"/>
      </tp>
      <tp t="s">
        <v>#N/A N/A</v>
        <stp/>
        <stp>BDP|17735758684885245293</stp>
        <tr r="AA34" s="2"/>
      </tp>
      <tp t="s">
        <v>#N/A N/A</v>
        <stp/>
        <stp>BDP|15055543164490922959</stp>
        <tr r="M4" s="2"/>
      </tp>
      <tp t="s">
        <v>#N/A N/A</v>
        <stp/>
        <stp>BDP|17287497780313570722</stp>
        <tr r="Q240" s="2"/>
      </tp>
      <tp t="s">
        <v>#N/A N/A</v>
        <stp/>
        <stp>BDP|15741251282992534297</stp>
        <tr r="G183" s="2"/>
      </tp>
      <tp t="s">
        <v>#N/A N/A</v>
        <stp/>
        <stp>BDP|14033809478480459403</stp>
        <tr r="Y235" s="2"/>
      </tp>
      <tp t="s">
        <v>#N/A N/A</v>
        <stp/>
        <stp>BDP|11318768013948373098</stp>
        <tr r="I46" s="2"/>
      </tp>
      <tp t="s">
        <v>#N/A N/A</v>
        <stp/>
        <stp>BDP|13193225882142412492</stp>
        <tr r="Y42" s="2"/>
      </tp>
      <tp t="s">
        <v>#N/A N/A</v>
        <stp/>
        <stp>BDP|13940734251978150661</stp>
        <tr r="O69" s="2"/>
      </tp>
      <tp t="s">
        <v>#N/A N/A</v>
        <stp/>
        <stp>BDP|12726718681352961022</stp>
        <tr r="F23" s="2"/>
      </tp>
      <tp t="s">
        <v>#N/A N/A</v>
        <stp/>
        <stp>BDP|15241877428063026312</stp>
        <tr r="AD165" s="2"/>
      </tp>
      <tp t="s">
        <v>#N/A N/A</v>
        <stp/>
        <stp>BDP|14922200827363245807</stp>
        <tr r="AA102" s="2"/>
      </tp>
      <tp t="s">
        <v>#N/A N/A</v>
        <stp/>
        <stp>BDP|13949949471197457548</stp>
        <tr r="E93" s="2"/>
      </tp>
      <tp t="s">
        <v>#N/A N/A</v>
        <stp/>
        <stp>BDP|18402591148092187489</stp>
        <tr r="Y109" s="2"/>
      </tp>
      <tp t="s">
        <v>#N/A N/A</v>
        <stp/>
        <stp>BDP|15428485071679323025</stp>
        <tr r="L174" s="2"/>
      </tp>
      <tp t="s">
        <v>#N/A N/A</v>
        <stp/>
        <stp>BDP|14974197729601035953</stp>
        <tr r="X22" s="2"/>
      </tp>
      <tp t="s">
        <v>#N/A N/A</v>
        <stp/>
        <stp>BDP|12707030274143569992</stp>
        <tr r="Z2" s="2"/>
      </tp>
      <tp t="s">
        <v>#N/A N/A</v>
        <stp/>
        <stp>BDP|14940070805939402207</stp>
        <tr r="C70" s="2"/>
      </tp>
      <tp t="s">
        <v>#N/A N/A</v>
        <stp/>
        <stp>BDP|16950803513827124746</stp>
        <tr r="L180" s="2"/>
      </tp>
      <tp t="s">
        <v>#N/A N/A</v>
        <stp/>
        <stp>BDP|13166808808450406425</stp>
        <tr r="G54" s="2"/>
      </tp>
      <tp t="s">
        <v>#N/A N/A</v>
        <stp/>
        <stp>BDP|11496378649981577800</stp>
        <tr r="Z198" s="2"/>
      </tp>
      <tp t="s">
        <v>#N/A N/A</v>
        <stp/>
        <stp>BDP|11241919358527273563</stp>
        <tr r="X144" s="2"/>
      </tp>
      <tp t="s">
        <v>#N/A N/A</v>
        <stp/>
        <stp>BDP|11355993104590867795</stp>
        <tr r="U32" s="2"/>
      </tp>
      <tp t="s">
        <v>#N/A N/A</v>
        <stp/>
        <stp>BDP|17230991345705114002</stp>
        <tr r="AC194" s="2"/>
      </tp>
      <tp t="s">
        <v>#N/A N/A</v>
        <stp/>
        <stp>BDP|12794470959754652811</stp>
        <tr r="C129" s="2"/>
      </tp>
      <tp t="s">
        <v>#N/A N/A</v>
        <stp/>
        <stp>BDP|11057234684446896215</stp>
        <tr r="AD20" s="2"/>
      </tp>
      <tp t="s">
        <v>#N/A N/A</v>
        <stp/>
        <stp>BDP|13554514197255482592</stp>
        <tr r="P93" s="2"/>
      </tp>
      <tp t="s">
        <v>#N/A N/A</v>
        <stp/>
        <stp>BDP|11281085069578457090</stp>
        <tr r="P8" s="2"/>
      </tp>
      <tp t="s">
        <v>#N/A N/A</v>
        <stp/>
        <stp>BDP|10413707980527990736</stp>
        <tr r="B183" s="2"/>
      </tp>
      <tp t="s">
        <v>#N/A N/A</v>
        <stp/>
        <stp>BDP|14487348199874013575</stp>
        <tr r="O189" s="2"/>
      </tp>
      <tp t="s">
        <v>#N/A N/A</v>
        <stp/>
        <stp>BDP|14847714243551513915</stp>
        <tr r="X134" s="2"/>
      </tp>
      <tp t="s">
        <v>#N/A N/A</v>
        <stp/>
        <stp>BDP|13226802937085285298</stp>
        <tr r="V140" s="2"/>
      </tp>
      <tp t="s">
        <v>#N/A N/A</v>
        <stp/>
        <stp>BDP|11771791693713343302</stp>
        <tr r="Z152" s="2"/>
      </tp>
      <tp t="s">
        <v>#N/A N/A</v>
        <stp/>
        <stp>BDP|10395287185091007408</stp>
        <tr r="B108" s="2"/>
      </tp>
      <tp t="s">
        <v>#N/A N/A</v>
        <stp/>
        <stp>BDP|14157346074828535753</stp>
        <tr r="F104" s="2"/>
      </tp>
      <tp t="s">
        <v>#N/A N/A</v>
        <stp/>
        <stp>BDP|14477978373095322027</stp>
        <tr r="I74" s="2"/>
      </tp>
      <tp t="s">
        <v>#N/A N/A</v>
        <stp/>
        <stp>BDP|10795404489043678097</stp>
        <tr r="Q213" s="2"/>
      </tp>
      <tp t="s">
        <v>#N/A N/A</v>
        <stp/>
        <stp>BDP|14192550832985151869</stp>
        <tr r="AE143" s="2"/>
      </tp>
      <tp t="s">
        <v>#N/A N/A</v>
        <stp/>
        <stp>BDP|14364886560860927539</stp>
        <tr r="C213" s="2"/>
      </tp>
      <tp t="s">
        <v>#N/A N/A</v>
        <stp/>
        <stp>BDP|10801015479650705861</stp>
        <tr r="G35" s="2"/>
      </tp>
      <tp t="s">
        <v>#N/A N/A</v>
        <stp/>
        <stp>BDP|12120959897969732450</stp>
        <tr r="X52" s="2"/>
      </tp>
      <tp t="s">
        <v>#N/A N/A</v>
        <stp/>
        <stp>BDP|15421238584665057529</stp>
        <tr r="X213" s="2"/>
      </tp>
      <tp t="s">
        <v>#N/A N/A</v>
        <stp/>
        <stp>BDP|17317867740221427502</stp>
        <tr r="I8" s="2"/>
      </tp>
      <tp t="s">
        <v>#N/A N/A</v>
        <stp/>
        <stp>BDP|13769255874219702005</stp>
        <tr r="M78" s="2"/>
      </tp>
      <tp t="s">
        <v>#N/A N/A</v>
        <stp/>
        <stp>BDP|15808656549831557910</stp>
        <tr r="M199" s="2"/>
      </tp>
      <tp t="s">
        <v>#N/A N/A</v>
        <stp/>
        <stp>BDP|15283984133538178884</stp>
        <tr r="B202" s="2"/>
      </tp>
      <tp t="s">
        <v>#N/A N/A</v>
        <stp/>
        <stp>BDP|11387878835665866099</stp>
        <tr r="AA68" s="2"/>
      </tp>
      <tp t="s">
        <v>#N/A N/A</v>
        <stp/>
        <stp>BDP|13211859252056612731</stp>
        <tr r="I97" s="2"/>
      </tp>
      <tp t="s">
        <v>#N/A N/A</v>
        <stp/>
        <stp>BDP|10901814945625989642</stp>
        <tr r="H64" s="2"/>
      </tp>
      <tp t="s">
        <v>#N/A N/A</v>
        <stp/>
        <stp>BDP|17088964712700447001</stp>
        <tr r="P142" s="2"/>
      </tp>
      <tp t="s">
        <v>#N/A N/A</v>
        <stp/>
        <stp>BDP|12364974310741586413</stp>
        <tr r="AA166" s="2"/>
      </tp>
      <tp t="s">
        <v>#N/A N/A</v>
        <stp/>
        <stp>BDP|10309294538446648849</stp>
        <tr r="T22" s="2"/>
      </tp>
      <tp t="s">
        <v>#N/A N/A</v>
        <stp/>
        <stp>BDP|15431111397333391115</stp>
        <tr r="Y237" s="2"/>
      </tp>
      <tp t="s">
        <v>#N/A N/A</v>
        <stp/>
        <stp>BDP|14858421328209526473</stp>
        <tr r="AD42" s="2"/>
      </tp>
      <tp t="s">
        <v>#N/A N/A</v>
        <stp/>
        <stp>BDP|15289060983282084076</stp>
        <tr r="C205" s="2"/>
      </tp>
      <tp t="s">
        <v>#N/A N/A</v>
        <stp/>
        <stp>BDP|16561842328255863628</stp>
        <tr r="H182" s="2"/>
      </tp>
      <tp t="s">
        <v>#N/A N/A</v>
        <stp/>
        <stp>BDP|12021308782860523648</stp>
        <tr r="L229" s="2"/>
      </tp>
      <tp t="s">
        <v>#N/A N/A</v>
        <stp/>
        <stp>BDP|11747134310407189961</stp>
        <tr r="K162" s="2"/>
        <tr r="R162" s="2"/>
        <tr r="W162" s="2"/>
      </tp>
      <tp t="s">
        <v>#N/A N/A</v>
        <stp/>
        <stp>BDP|12315861441583331245</stp>
        <tr r="G29" s="2"/>
      </tp>
      <tp t="s">
        <v>#N/A N/A</v>
        <stp/>
        <stp>BDP|16071835096171100971</stp>
        <tr r="P49" s="2"/>
      </tp>
      <tp t="s">
        <v>#N/A N/A</v>
        <stp/>
        <stp>BDP|10359895988368067712</stp>
        <tr r="H150" s="2"/>
      </tp>
      <tp t="s">
        <v>#N/A N/A</v>
        <stp/>
        <stp>BDP|13084603673074946999</stp>
        <tr r="V219" s="2"/>
      </tp>
      <tp t="s">
        <v>#N/A N/A</v>
        <stp/>
        <stp>BDP|16265278783395283670</stp>
        <tr r="B185" s="2"/>
      </tp>
      <tp t="s">
        <v>#N/A N/A</v>
        <stp/>
        <stp>BDP|17542063891264921583</stp>
        <tr r="S64" s="2"/>
      </tp>
      <tp t="s">
        <v>#N/A N/A</v>
        <stp/>
        <stp>BDP|12115975828125895346</stp>
        <tr r="S172" s="2"/>
      </tp>
      <tp t="s">
        <v>#N/A N/A</v>
        <stp/>
        <stp>BDP|13470636895646899587</stp>
        <tr r="L223" s="2"/>
      </tp>
      <tp t="s">
        <v>#N/A N/A</v>
        <stp/>
        <stp>BDP|14145508394680620710</stp>
        <tr r="AB122" s="2"/>
      </tp>
      <tp t="s">
        <v>#N/A N/A</v>
        <stp/>
        <stp>BDP|11911567200829844252</stp>
        <tr r="H238" s="2"/>
      </tp>
      <tp t="s">
        <v>#N/A N/A</v>
        <stp/>
        <stp>BDP|10635120450429282241</stp>
        <tr r="F94" s="2"/>
      </tp>
      <tp t="s">
        <v>#N/A N/A</v>
        <stp/>
        <stp>BDP|18274041734992018600</stp>
        <tr r="U9" s="2"/>
      </tp>
      <tp t="s">
        <v>#N/A N/A</v>
        <stp/>
        <stp>BDP|18340938990466615144</stp>
        <tr r="M146" s="2"/>
      </tp>
      <tp t="s">
        <v>#N/A N/A</v>
        <stp/>
        <stp>BDP|11782990864509952819</stp>
        <tr r="D225" s="2"/>
      </tp>
      <tp t="s">
        <v>#N/A N/A</v>
        <stp/>
        <stp>BDP|11145663811388721136</stp>
        <tr r="AC89" s="2"/>
      </tp>
      <tp t="s">
        <v>#N/A N/A</v>
        <stp/>
        <stp>BDP|11180047896791491651</stp>
        <tr r="G228" s="2"/>
      </tp>
      <tp t="s">
        <v>#N/A N/A</v>
        <stp/>
        <stp>BDP|14733260967658474705</stp>
        <tr r="AC92" s="2"/>
      </tp>
      <tp t="s">
        <v>#N/A N/A</v>
        <stp/>
        <stp>BDP|18248331478352882139</stp>
        <tr r="P184" s="2"/>
      </tp>
      <tp t="s">
        <v>#N/A N/A</v>
        <stp/>
        <stp>BDP|12438075990737344320</stp>
        <tr r="V234" s="2"/>
      </tp>
      <tp t="s">
        <v>#N/A N/A</v>
        <stp/>
        <stp>BDP|17729133203540246974</stp>
        <tr r="X139" s="2"/>
      </tp>
      <tp t="s">
        <v>#N/A N/A</v>
        <stp/>
        <stp>BDP|14702044696054430633</stp>
        <tr r="I161" s="2"/>
      </tp>
      <tp t="s">
        <v>#N/A N/A</v>
        <stp/>
        <stp>BDP|18355602261010864785</stp>
        <tr r="B209" s="2"/>
      </tp>
      <tp t="s">
        <v>#N/A N/A</v>
        <stp/>
        <stp>BDP|11306423063964348841</stp>
        <tr r="N198" s="2"/>
      </tp>
      <tp t="s">
        <v>#N/A N/A</v>
        <stp/>
        <stp>BDP|15731975966897596268</stp>
        <tr r="B203" s="2"/>
      </tp>
      <tp t="s">
        <v>#N/A N/A</v>
        <stp/>
        <stp>BDP|15193245598006845707</stp>
        <tr r="H157" s="2"/>
      </tp>
      <tp t="s">
        <v>#N/A N/A</v>
        <stp/>
        <stp>BDP|17173548910519036507</stp>
        <tr r="H126" s="2"/>
      </tp>
      <tp t="s">
        <v>#N/A N/A</v>
        <stp/>
        <stp>BDP|16259497999992577621</stp>
        <tr r="S111" s="2"/>
      </tp>
      <tp t="s">
        <v>#N/A N/A</v>
        <stp/>
        <stp>BDP|10404319219814848919</stp>
        <tr r="X99" s="2"/>
      </tp>
      <tp t="s">
        <v>#N/A N/A</v>
        <stp/>
        <stp>BDP|15980152738391619974</stp>
        <tr r="S140" s="2"/>
      </tp>
      <tp t="s">
        <v>#N/A N/A</v>
        <stp/>
        <stp>BDP|14301108383912195044</stp>
        <tr r="AD169" s="2"/>
      </tp>
      <tp t="s">
        <v>#N/A N/A</v>
        <stp/>
        <stp>BDP|16366337697462146133</stp>
        <tr r="V22" s="2"/>
      </tp>
      <tp t="s">
        <v>#N/A N/A</v>
        <stp/>
        <stp>BDP|12273418376747074908</stp>
        <tr r="I203" s="2"/>
      </tp>
      <tp t="s">
        <v>#N/A N/A</v>
        <stp/>
        <stp>BDP|16644030515049701120</stp>
        <tr r="T132" s="2"/>
      </tp>
      <tp t="s">
        <v>#N/A N/A</v>
        <stp/>
        <stp>BDP|14071157510052286932</stp>
        <tr r="X231" s="2"/>
      </tp>
      <tp t="s">
        <v>#N/A N/A</v>
        <stp/>
        <stp>BDP|15285365915149634137</stp>
        <tr r="M158" s="2"/>
      </tp>
      <tp t="s">
        <v>#N/A N/A</v>
        <stp/>
        <stp>BDP|15877282686890332010</stp>
        <tr r="Z19" s="2"/>
      </tp>
      <tp t="s">
        <v>#N/A N/A</v>
        <stp/>
        <stp>BDP|10623524783861227312</stp>
        <tr r="Q165" s="2"/>
      </tp>
      <tp t="s">
        <v>#N/A N/A</v>
        <stp/>
        <stp>BDP|13996136020268870764</stp>
        <tr r="AD11" s="2"/>
      </tp>
      <tp t="s">
        <v>#N/A N/A</v>
        <stp/>
        <stp>BDP|18130104817820444768</stp>
        <tr r="G238" s="2"/>
      </tp>
      <tp t="s">
        <v>#N/A N/A</v>
        <stp/>
        <stp>BDP|13210712687022333132</stp>
        <tr r="N124" s="2"/>
      </tp>
      <tp t="s">
        <v>#N/A N/A</v>
        <stp/>
        <stp>BDP|16777757617658937782</stp>
        <tr r="U98" s="2"/>
      </tp>
      <tp t="s">
        <v>#N/A N/A</v>
        <stp/>
        <stp>BDP|15710352601939554029</stp>
        <tr r="AD178" s="2"/>
      </tp>
      <tp t="s">
        <v>#N/A N/A</v>
        <stp/>
        <stp>BDP|14898426350452682887</stp>
        <tr r="F15" s="2"/>
      </tp>
      <tp t="s">
        <v>#N/A N/A</v>
        <stp/>
        <stp>BDP|16893786193176787102</stp>
        <tr r="D122" s="2"/>
      </tp>
      <tp t="s">
        <v>#N/A N/A</v>
        <stp/>
        <stp>BDP|14024128182022637016</stp>
        <tr r="M169" s="2"/>
      </tp>
      <tp t="s">
        <v>#N/A N/A</v>
        <stp/>
        <stp>BDP|18067839816156462866</stp>
        <tr r="O80" s="2"/>
      </tp>
      <tp t="s">
        <v>#N/A N/A</v>
        <stp/>
        <stp>BDP|13751450584910139003</stp>
        <tr r="K38" s="2"/>
        <tr r="R38" s="2"/>
        <tr r="W38" s="2"/>
      </tp>
      <tp t="s">
        <v>#N/A N/A</v>
        <stp/>
        <stp>BDP|12523535590676670775</stp>
        <tr r="AC4" s="2"/>
      </tp>
      <tp t="s">
        <v>#N/A N/A</v>
        <stp/>
        <stp>BDP|18395241903912357704</stp>
        <tr r="E136" s="2"/>
      </tp>
      <tp t="s">
        <v>#N/A N/A</v>
        <stp/>
        <stp>BDP|10507131570458973185</stp>
        <tr r="Q82" s="2"/>
      </tp>
      <tp t="s">
        <v>#N/A N/A</v>
        <stp/>
        <stp>BDP|18221152251351065212</stp>
        <tr r="K201" s="2"/>
        <tr r="R201" s="2"/>
        <tr r="W201" s="2"/>
      </tp>
      <tp t="s">
        <v>#N/A N/A</v>
        <stp/>
        <stp>BDP|15560119882277651461</stp>
        <tr r="I192" s="2"/>
      </tp>
      <tp t="s">
        <v>#N/A N/A</v>
        <stp/>
        <stp>BDP|11379381585232101799</stp>
        <tr r="AE79" s="2"/>
      </tp>
      <tp t="s">
        <v>#N/A N/A</v>
        <stp/>
        <stp>BDP|13313658792344704759</stp>
        <tr r="F148" s="2"/>
      </tp>
      <tp t="s">
        <v>#N/A N/A</v>
        <stp/>
        <stp>BDP|17748961314656744646</stp>
        <tr r="G141" s="2"/>
      </tp>
      <tp t="s">
        <v>#N/A N/A</v>
        <stp/>
        <stp>BDP|18384511212733794017</stp>
        <tr r="G223" s="2"/>
      </tp>
      <tp t="s">
        <v>#N/A N/A</v>
        <stp/>
        <stp>BDP|18372647251460337430</stp>
        <tr r="S23" s="2"/>
      </tp>
      <tp t="s">
        <v>#N/A N/A</v>
        <stp/>
        <stp>BDP|11837819058090152369</stp>
        <tr r="I76" s="2"/>
      </tp>
      <tp t="s">
        <v>#N/A N/A</v>
        <stp/>
        <stp>BDP|10042662720592718974</stp>
        <tr r="S214" s="2"/>
      </tp>
      <tp t="s">
        <v>#N/A N/A</v>
        <stp/>
        <stp>BDP|13112972932111134735</stp>
        <tr r="H81" s="2"/>
      </tp>
      <tp t="s">
        <v>#N/A N/A</v>
        <stp/>
        <stp>BDP|18031187458975087661</stp>
        <tr r="AD108" s="2"/>
      </tp>
      <tp t="s">
        <v>#N/A N/A</v>
        <stp/>
        <stp>BDP|18424279736110276619</stp>
        <tr r="U111" s="2"/>
      </tp>
      <tp t="s">
        <v>#N/A N/A</v>
        <stp/>
        <stp>BDP|13488308552671744889</stp>
        <tr r="AB226" s="2"/>
      </tp>
      <tp t="s">
        <v>#N/A N/A</v>
        <stp/>
        <stp>BDP|14258199288198216986</stp>
        <tr r="P125" s="2"/>
      </tp>
      <tp t="s">
        <v>#N/A N/A</v>
        <stp/>
        <stp>BDP|10745758511113221985</stp>
        <tr r="G99" s="2"/>
      </tp>
      <tp t="s">
        <v>#N/A N/A</v>
        <stp/>
        <stp>BDP|11378544226773826908</stp>
        <tr r="D198" s="2"/>
      </tp>
      <tp t="s">
        <v>#N/A N/A</v>
        <stp/>
        <stp>BDP|13972507754538784733</stp>
        <tr r="L169" s="2"/>
      </tp>
      <tp t="s">
        <v>#N/A N/A</v>
        <stp/>
        <stp>BDP|12553173111919949739</stp>
        <tr r="AE169" s="2"/>
      </tp>
      <tp t="s">
        <v>#N/A N/A</v>
        <stp/>
        <stp>BDP|12867826998417274892</stp>
        <tr r="P25" s="2"/>
      </tp>
      <tp t="s">
        <v>#N/A N/A</v>
        <stp/>
        <stp>BDP|14677897867687876191</stp>
        <tr r="AE148" s="2"/>
      </tp>
      <tp t="s">
        <v>#N/A N/A</v>
        <stp/>
        <stp>BDP|15210722141222917814</stp>
        <tr r="V231" s="2"/>
      </tp>
      <tp t="s">
        <v>#N/A N/A</v>
        <stp/>
        <stp>BDP|15041394412829195228</stp>
        <tr r="B92" s="2"/>
      </tp>
      <tp t="s">
        <v>#N/A N/A</v>
        <stp/>
        <stp>BDP|12614842021084231098</stp>
        <tr r="C196" s="2"/>
      </tp>
      <tp t="s">
        <v>#N/A N/A</v>
        <stp/>
        <stp>BDP|16415803169471416519</stp>
        <tr r="V143" s="2"/>
      </tp>
      <tp t="s">
        <v>#N/A N/A</v>
        <stp/>
        <stp>BDP|18367383316873345567</stp>
        <tr r="AC16" s="2"/>
      </tp>
      <tp t="s">
        <v>#N/A N/A</v>
        <stp/>
        <stp>BDP|16959510994707067149</stp>
        <tr r="L2" s="2"/>
      </tp>
      <tp t="s">
        <v>#N/A N/A</v>
        <stp/>
        <stp>BDP|15359475656779984133</stp>
        <tr r="V12" s="2"/>
      </tp>
      <tp t="s">
        <v>#N/A N/A</v>
        <stp/>
        <stp>BDP|15659008173528879653</stp>
        <tr r="AA206" s="2"/>
      </tp>
      <tp t="s">
        <v>#N/A N/A</v>
        <stp/>
        <stp>BDP|12956790286621773091</stp>
        <tr r="E155" s="2"/>
      </tp>
      <tp t="s">
        <v>#N/A N/A</v>
        <stp/>
        <stp>BDP|17557979864465740198</stp>
        <tr r="X133" s="2"/>
      </tp>
      <tp t="s">
        <v>#N/A N/A</v>
        <stp/>
        <stp>BDP|17398316879048153711</stp>
        <tr r="S13" s="2"/>
      </tp>
      <tp t="s">
        <v>#N/A N/A</v>
        <stp/>
        <stp>BDP|11253658139840163849</stp>
        <tr r="M224" s="2"/>
      </tp>
      <tp t="s">
        <v>#N/A N/A</v>
        <stp/>
        <stp>BDP|16790592836468650456</stp>
        <tr r="D121" s="2"/>
      </tp>
      <tp t="s">
        <v>#N/A N/A</v>
        <stp/>
        <stp>BDP|12192536309088243327</stp>
        <tr r="F191" s="2"/>
      </tp>
      <tp t="s">
        <v>#N/A N/A</v>
        <stp/>
        <stp>BDP|12174087756378149354</stp>
        <tr r="H98" s="2"/>
      </tp>
      <tp t="s">
        <v>#N/A N/A</v>
        <stp/>
        <stp>BDP|13474976670327061686</stp>
        <tr r="H234" s="2"/>
      </tp>
      <tp t="s">
        <v>#N/A N/A</v>
        <stp/>
        <stp>BDP|11022594721638053235</stp>
        <tr r="Q223" s="2"/>
      </tp>
      <tp t="s">
        <v>#N/A N/A</v>
        <stp/>
        <stp>BDP|14985017686124407419</stp>
        <tr r="Z121" s="2"/>
      </tp>
      <tp t="s">
        <v>#N/A N/A</v>
        <stp/>
        <stp>BDP|16124937898233527943</stp>
        <tr r="AB65" s="2"/>
      </tp>
      <tp t="s">
        <v>#N/A N/A</v>
        <stp/>
        <stp>BDP|16280144373935838960</stp>
        <tr r="AA219" s="2"/>
      </tp>
      <tp t="s">
        <v>#N/A N/A</v>
        <stp/>
        <stp>BDP|16080453796340171799</stp>
        <tr r="T154" s="2"/>
      </tp>
      <tp t="s">
        <v>#N/A N/A</v>
        <stp/>
        <stp>BDP|16841119505149505229</stp>
        <tr r="I84" s="2"/>
      </tp>
      <tp t="s">
        <v>#N/A N/A</v>
        <stp/>
        <stp>BDP|17462762171349980206</stp>
        <tr r="P26" s="2"/>
      </tp>
      <tp t="s">
        <v>#N/A N/A</v>
        <stp/>
        <stp>BDP|16726255757959700483</stp>
        <tr r="E164" s="2"/>
      </tp>
      <tp t="s">
        <v>#N/A N/A</v>
        <stp/>
        <stp>BDP|13531642869577732855</stp>
        <tr r="Z155" s="2"/>
      </tp>
      <tp t="s">
        <v>#N/A N/A</v>
        <stp/>
        <stp>BDP|16140882424921142169</stp>
        <tr r="S167" s="2"/>
      </tp>
      <tp t="s">
        <v>#N/A N/A</v>
        <stp/>
        <stp>BDP|17150741810298825574</stp>
        <tr r="Q226" s="2"/>
      </tp>
      <tp t="s">
        <v>#N/A N/A</v>
        <stp/>
        <stp>BDP|10475916993284513895</stp>
        <tr r="F5" s="2"/>
      </tp>
      <tp t="s">
        <v>#N/A N/A</v>
        <stp/>
        <stp>BDP|15483138644014976801</stp>
        <tr r="AC33" s="2"/>
      </tp>
      <tp t="s">
        <v>#N/A N/A</v>
        <stp/>
        <stp>BDP|16798826904920949227</stp>
        <tr r="Q5" s="2"/>
      </tp>
      <tp t="s">
        <v>#N/A N/A</v>
        <stp/>
        <stp>BDP|15605021279818285654</stp>
        <tr r="AE135" s="2"/>
      </tp>
      <tp t="s">
        <v>#N/A N/A</v>
        <stp/>
        <stp>BDP|17042352462588516686</stp>
        <tr r="Q74" s="2"/>
      </tp>
      <tp t="s">
        <v>#N/A N/A</v>
        <stp/>
        <stp>BDP|11333045558010440816</stp>
        <tr r="E145" s="2"/>
      </tp>
      <tp t="s">
        <v>#N/A N/A</v>
        <stp/>
        <stp>BDP|16596404150379964213</stp>
        <tr r="U103" s="2"/>
      </tp>
      <tp t="s">
        <v>#N/A N/A</v>
        <stp/>
        <stp>BDP|16922073490573633058</stp>
        <tr r="H106" s="2"/>
      </tp>
      <tp t="s">
        <v>#N/A N/A</v>
        <stp/>
        <stp>BDP|11791117494533822677</stp>
        <tr r="M126" s="2"/>
      </tp>
      <tp t="s">
        <v>#N/A N/A</v>
        <stp/>
        <stp>BDP|11217324350458857358</stp>
        <tr r="S91" s="2"/>
      </tp>
      <tp t="s">
        <v>#N/A N/A</v>
        <stp/>
        <stp>BDP|15930420726928434745</stp>
        <tr r="H239" s="2"/>
      </tp>
      <tp t="s">
        <v>#N/A N/A</v>
        <stp/>
        <stp>BDP|10873818341048667835</stp>
        <tr r="O228" s="2"/>
      </tp>
      <tp t="s">
        <v>#N/A N/A</v>
        <stp/>
        <stp>BDP|15834788530049547483</stp>
        <tr r="Q96" s="2"/>
      </tp>
      <tp t="s">
        <v>#N/A N/A</v>
        <stp/>
        <stp>BDP|12285581296043536149</stp>
        <tr r="Z195" s="2"/>
      </tp>
      <tp t="s">
        <v>#N/A N/A</v>
        <stp/>
        <stp>BDP|15930651445432210960</stp>
        <tr r="Q68" s="2"/>
      </tp>
      <tp t="s">
        <v>#N/A N/A</v>
        <stp/>
        <stp>BDP|10405727158578661652</stp>
        <tr r="N186" s="2"/>
      </tp>
      <tp t="s">
        <v>#N/A N/A</v>
        <stp/>
        <stp>BDP|17608799283233180706</stp>
        <tr r="F149" s="2"/>
      </tp>
      <tp t="s">
        <v>#N/A N/A</v>
        <stp/>
        <stp>BDP|14488478509808035463</stp>
        <tr r="D71" s="2"/>
      </tp>
      <tp t="s">
        <v>#N/A N/A</v>
        <stp/>
        <stp>BDP|13179177486944992258</stp>
        <tr r="M127" s="2"/>
      </tp>
      <tp t="s">
        <v>#N/A N/A</v>
        <stp/>
        <stp>BDP|16973137011479081374</stp>
        <tr r="E98" s="2"/>
      </tp>
      <tp t="s">
        <v>#N/A N/A</v>
        <stp/>
        <stp>BDP|16941509575618365032</stp>
        <tr r="AD156" s="2"/>
      </tp>
      <tp t="s">
        <v>#N/A N/A</v>
        <stp/>
        <stp>BDP|15304273830408098080</stp>
        <tr r="E71" s="2"/>
      </tp>
      <tp t="s">
        <v>#N/A N/A</v>
        <stp/>
        <stp>BDP|13715962389836571810</stp>
        <tr r="S55" s="2"/>
      </tp>
      <tp t="s">
        <v>#N/A N/A</v>
        <stp/>
        <stp>BDP|11091183535876713960</stp>
        <tr r="D96" s="2"/>
      </tp>
      <tp t="s">
        <v>#N/A N/A</v>
        <stp/>
        <stp>BDP|17103031331278754085</stp>
        <tr r="L146" s="2"/>
      </tp>
      <tp t="s">
        <v>#N/A N/A</v>
        <stp/>
        <stp>BDP|13334997870607245644</stp>
        <tr r="U96" s="2"/>
      </tp>
      <tp t="s">
        <v>#N/A N/A</v>
        <stp/>
        <stp>BDP|10128176103314969900</stp>
        <tr r="Q131" s="2"/>
      </tp>
      <tp t="s">
        <v>#N/A N/A</v>
        <stp/>
        <stp>BDP|14705120122913998820</stp>
        <tr r="M186" s="2"/>
      </tp>
      <tp t="s">
        <v>#N/A N/A</v>
        <stp/>
        <stp>BDP|14204031936583850831</stp>
        <tr r="I24" s="2"/>
      </tp>
      <tp t="s">
        <v>#N/A N/A</v>
        <stp/>
        <stp>BDP|12506687621902416848</stp>
        <tr r="H236" s="2"/>
      </tp>
      <tp t="s">
        <v>#N/A N/A</v>
        <stp/>
        <stp>BDP|13162984860692502201</stp>
        <tr r="G235" s="2"/>
      </tp>
      <tp t="s">
        <v>#N/A N/A</v>
        <stp/>
        <stp>BDP|13331339334657875831</stp>
        <tr r="F130" s="2"/>
      </tp>
      <tp t="s">
        <v>#N/A N/A</v>
        <stp/>
        <stp>BDP|15927517308384698896</stp>
        <tr r="Y85" s="2"/>
      </tp>
      <tp t="s">
        <v>#N/A N/A</v>
        <stp/>
        <stp>BDP|18140086867583872199</stp>
        <tr r="AB114" s="2"/>
      </tp>
      <tp t="s">
        <v>#N/A N/A</v>
        <stp/>
        <stp>BDP|15934507294934618140</stp>
        <tr r="AD221" s="2"/>
      </tp>
      <tp t="s">
        <v>#N/A N/A</v>
        <stp/>
        <stp>BDP|10575815453285190498</stp>
        <tr r="G41" s="2"/>
      </tp>
      <tp t="s">
        <v>#N/A N/A</v>
        <stp/>
        <stp>BDP|12911929871431796123</stp>
        <tr r="Z99" s="2"/>
      </tp>
      <tp t="s">
        <v>#N/A N/A</v>
        <stp/>
        <stp>BDP|11228785214228924382</stp>
        <tr r="N72" s="2"/>
      </tp>
      <tp t="s">
        <v>#N/A N/A</v>
        <stp/>
        <stp>BDP|11421539299352649364</stp>
        <tr r="Y201" s="2"/>
      </tp>
      <tp t="s">
        <v>#N/A N/A</v>
        <stp/>
        <stp>BDP|16890495048288240252</stp>
        <tr r="AD188" s="2"/>
      </tp>
      <tp t="s">
        <v>#N/A N/A</v>
        <stp/>
        <stp>BDP|13369987786099005739</stp>
        <tr r="Q152" s="2"/>
      </tp>
      <tp t="s">
        <v>#N/A N/A</v>
        <stp/>
        <stp>BDP|17736966110972734180</stp>
        <tr r="O138" s="2"/>
      </tp>
      <tp t="s">
        <v>#N/A N/A</v>
        <stp/>
        <stp>BDP|14069336184814842711</stp>
        <tr r="AC32" s="2"/>
      </tp>
      <tp t="s">
        <v>#N/A N/A</v>
        <stp/>
        <stp>BDP|11278731170835685897</stp>
        <tr r="P199" s="2"/>
      </tp>
      <tp t="s">
        <v>#N/A N/A</v>
        <stp/>
        <stp>BDP|15401507082117115396</stp>
        <tr r="L90" s="2"/>
      </tp>
      <tp t="s">
        <v>#N/A N/A</v>
        <stp/>
        <stp>BDP|15748995828874198690</stp>
        <tr r="H204" s="2"/>
      </tp>
      <tp t="s">
        <v>#N/A N/A</v>
        <stp/>
        <stp>BDP|12055711950299741585</stp>
        <tr r="G39" s="2"/>
      </tp>
      <tp t="s">
        <v>#N/A N/A</v>
        <stp/>
        <stp>BDP|18140519119075787502</stp>
        <tr r="S94" s="2"/>
      </tp>
      <tp t="s">
        <v>#N/A N/A</v>
        <stp/>
        <stp>BDP|14295393852976112864</stp>
        <tr r="S174" s="2"/>
      </tp>
      <tp t="s">
        <v>#N/A N/A</v>
        <stp/>
        <stp>BDP|15396898364960759778</stp>
        <tr r="M175" s="2"/>
      </tp>
      <tp t="s">
        <v>#N/A N/A</v>
        <stp/>
        <stp>BDP|11307969225261886798</stp>
        <tr r="F65" s="2"/>
      </tp>
      <tp t="s">
        <v>#N/A N/A</v>
        <stp/>
        <stp>BDP|18334373017605498360</stp>
        <tr r="X56" s="2"/>
      </tp>
      <tp t="s">
        <v>#N/A N/A</v>
        <stp/>
        <stp>BDP|16605126145926561956</stp>
        <tr r="O160" s="2"/>
      </tp>
      <tp t="s">
        <v>#N/A N/A</v>
        <stp/>
        <stp>BDP|17787841066383758630</stp>
        <tr r="Z69" s="2"/>
      </tp>
      <tp t="s">
        <v>#N/A N/A</v>
        <stp/>
        <stp>BDP|17146791820587054998</stp>
        <tr r="AA112" s="2"/>
      </tp>
      <tp t="s">
        <v>#N/A N/A</v>
        <stp/>
        <stp>BDP|15246924950207692277</stp>
        <tr r="V19" s="2"/>
      </tp>
      <tp t="s">
        <v>#N/A N/A</v>
        <stp/>
        <stp>BDP|16762383819088717007</stp>
        <tr r="AC230" s="2"/>
      </tp>
      <tp t="s">
        <v>#N/A N/A</v>
        <stp/>
        <stp>BDP|18050737884762308954</stp>
        <tr r="AC157" s="2"/>
      </tp>
      <tp t="s">
        <v>#N/A N/A</v>
        <stp/>
        <stp>BDP|10127839742843526340</stp>
        <tr r="P236" s="2"/>
      </tp>
      <tp t="s">
        <v>#N/A N/A</v>
        <stp/>
        <stp>BDP|16521458440323905988</stp>
        <tr r="G181" s="2"/>
      </tp>
      <tp t="s">
        <v>#N/A N/A</v>
        <stp/>
        <stp>BDP|13359930227771723510</stp>
        <tr r="AB124" s="2"/>
      </tp>
      <tp t="s">
        <v>#N/A N/A</v>
        <stp/>
        <stp>BDP|11146817066261368241</stp>
        <tr r="L177" s="2"/>
      </tp>
      <tp t="s">
        <v>#N/A N/A</v>
        <stp/>
        <stp>BDP|14862058909671374969</stp>
        <tr r="B239" s="2"/>
      </tp>
      <tp t="s">
        <v>#N/A N/A</v>
        <stp/>
        <stp>BDP|17551251719970050891</stp>
        <tr r="AE85" s="2"/>
      </tp>
      <tp t="s">
        <v>#N/A N/A</v>
        <stp/>
        <stp>BDP|12099372748268964161</stp>
        <tr r="E74" s="2"/>
      </tp>
      <tp t="s">
        <v>#N/A N/A</v>
        <stp/>
        <stp>BDP|16491973113783340137</stp>
        <tr r="U199" s="2"/>
      </tp>
      <tp t="s">
        <v>#N/A N/A</v>
        <stp/>
        <stp>BDP|12183665126089548344</stp>
        <tr r="AE52" s="2"/>
      </tp>
      <tp t="s">
        <v>#N/A N/A</v>
        <stp/>
        <stp>BDP|15008414471202800885</stp>
        <tr r="Y7" s="2"/>
      </tp>
      <tp t="s">
        <v>#N/A N/A</v>
        <stp/>
        <stp>BDP|11768700886494346625</stp>
        <tr r="Y147" s="2"/>
      </tp>
      <tp t="s">
        <v>#N/A N/A</v>
        <stp/>
        <stp>BDP|13770426317223685949</stp>
        <tr r="AE238" s="2"/>
      </tp>
      <tp t="s">
        <v>#N/A N/A</v>
        <stp/>
        <stp>BDP|17907398364658065648</stp>
        <tr r="O42" s="2"/>
      </tp>
      <tp t="s">
        <v>#N/A N/A</v>
        <stp/>
        <stp>BDP|10352940897059177515</stp>
        <tr r="Q80" s="2"/>
      </tp>
      <tp t="s">
        <v>#N/A N/A</v>
        <stp/>
        <stp>BDP|16398392488580482163</stp>
        <tr r="F240" s="2"/>
      </tp>
      <tp t="s">
        <v>#N/A N/A</v>
        <stp/>
        <stp>BDP|14412385494703218198</stp>
        <tr r="G120" s="2"/>
      </tp>
      <tp t="s">
        <v>#N/A N/A</v>
        <stp/>
        <stp>BDP|12704437456119883697</stp>
        <tr r="AC231" s="2"/>
      </tp>
      <tp t="s">
        <v>#N/A N/A</v>
        <stp/>
        <stp>BDP|13249133801099392706</stp>
        <tr r="K166" s="2"/>
        <tr r="R166" s="2"/>
        <tr r="W166" s="2"/>
      </tp>
      <tp t="s">
        <v>#N/A N/A</v>
        <stp/>
        <stp>BDP|11437484368918451734</stp>
        <tr r="Z192" s="2"/>
      </tp>
      <tp t="s">
        <v>#N/A N/A</v>
        <stp/>
        <stp>BDP|15956534421849869701</stp>
        <tr r="L92" s="2"/>
      </tp>
      <tp t="s">
        <v>#N/A N/A</v>
        <stp/>
        <stp>BDP|17944766510189957458</stp>
        <tr r="L83" s="2"/>
      </tp>
      <tp t="s">
        <v>#N/A N/A</v>
        <stp/>
        <stp>BDP|17536402313108794625</stp>
        <tr r="AB23" s="2"/>
      </tp>
      <tp t="s">
        <v>#N/A N/A</v>
        <stp/>
        <stp>BDP|11427303344138419272</stp>
        <tr r="D203" s="2"/>
      </tp>
      <tp t="s">
        <v>#N/A N/A</v>
        <stp/>
        <stp>BDP|16656956967704428135</stp>
        <tr r="N195" s="2"/>
      </tp>
      <tp t="s">
        <v>#N/A N/A</v>
        <stp/>
        <stp>BDP|18144512519763235381</stp>
        <tr r="Q111" s="2"/>
      </tp>
      <tp t="s">
        <v>#N/A N/A</v>
        <stp/>
        <stp>BDP|13200558936759186035</stp>
        <tr r="T36" s="2"/>
      </tp>
      <tp t="s">
        <v>#N/A N/A</v>
        <stp/>
        <stp>BDP|13982264161903521885</stp>
        <tr r="B97" s="2"/>
      </tp>
      <tp t="s">
        <v>#N/A N/A</v>
        <stp/>
        <stp>BDP|12116027806617471920</stp>
        <tr r="I230" s="2"/>
      </tp>
      <tp t="s">
        <v>#N/A N/A</v>
        <stp/>
        <stp>BDP|16304430790562209513</stp>
        <tr r="S31" s="2"/>
      </tp>
      <tp t="s">
        <v>#N/A N/A</v>
        <stp/>
        <stp>BDP|17699756273443572869</stp>
        <tr r="Q174" s="2"/>
      </tp>
      <tp t="s">
        <v>#N/A N/A</v>
        <stp/>
        <stp>BDP|10342772522701702824</stp>
        <tr r="F12" s="2"/>
      </tp>
      <tp t="s">
        <v>#N/A N/A</v>
        <stp/>
        <stp>BDP|16226026793746327534</stp>
        <tr r="N177" s="2"/>
      </tp>
      <tp t="s">
        <v>#N/A N/A</v>
        <stp/>
        <stp>BDP|17708483896552913433</stp>
        <tr r="D208" s="2"/>
      </tp>
      <tp t="s">
        <v>#N/A N/A</v>
        <stp/>
        <stp>BDP|17438387899622396340</stp>
        <tr r="I53" s="2"/>
      </tp>
      <tp t="s">
        <v>#N/A N/A</v>
        <stp/>
        <stp>BDP|13394492391730163283</stp>
        <tr r="Z123" s="2"/>
      </tp>
      <tp t="s">
        <v>#N/A N/A</v>
        <stp/>
        <stp>BDP|18155531213671696154</stp>
        <tr r="AD145" s="2"/>
      </tp>
      <tp t="s">
        <v>#N/A N/A</v>
        <stp/>
        <stp>BDP|11315157105868053414</stp>
        <tr r="S66" s="2"/>
      </tp>
      <tp t="s">
        <v>#N/A N/A</v>
        <stp/>
        <stp>BDP|12174950028666971375</stp>
        <tr r="P192" s="2"/>
      </tp>
      <tp t="s">
        <v>#N/A N/A</v>
        <stp/>
        <stp>BDP|17125939224121283160</stp>
        <tr r="K86" s="2"/>
        <tr r="R86" s="2"/>
        <tr r="W86" s="2"/>
      </tp>
      <tp t="s">
        <v>#N/A N/A</v>
        <stp/>
        <stp>BDP|11930207944132936967</stp>
        <tr r="V141" s="2"/>
      </tp>
      <tp t="s">
        <v>#N/A N/A</v>
        <stp/>
        <stp>BDP|16198698894462825767</stp>
        <tr r="I200" s="2"/>
      </tp>
      <tp t="s">
        <v>#N/A N/A</v>
        <stp/>
        <stp>BDP|18206583707527994669</stp>
        <tr r="M125" s="2"/>
      </tp>
      <tp t="s">
        <v>#N/A N/A</v>
        <stp/>
        <stp>BDP|15422972535677259467</stp>
        <tr r="B136" s="2"/>
      </tp>
      <tp t="s">
        <v>#N/A N/A</v>
        <stp/>
        <stp>BDP|13329995205864219285</stp>
        <tr r="E69" s="2"/>
      </tp>
      <tp t="s">
        <v>#N/A N/A</v>
        <stp/>
        <stp>BDP|17962811465974979113</stp>
        <tr r="O171" s="2"/>
      </tp>
      <tp t="s">
        <v>#N/A N/A</v>
        <stp/>
        <stp>BDP|16034553701567485852</stp>
        <tr r="Q156" s="2"/>
      </tp>
      <tp t="s">
        <v>#N/A N/A</v>
        <stp/>
        <stp>BDP|11220339960319075143</stp>
        <tr r="Y107" s="2"/>
      </tp>
      <tp t="s">
        <v>#N/A N/A</v>
        <stp/>
        <stp>BDP|14661152294118403867</stp>
        <tr r="F190" s="2"/>
      </tp>
      <tp t="s">
        <v>#N/A N/A</v>
        <stp/>
        <stp>BDP|15062700696097111020</stp>
        <tr r="C62" s="2"/>
      </tp>
      <tp t="s">
        <v>#N/A N/A</v>
        <stp/>
        <stp>BDP|16737848117026883595</stp>
        <tr r="I164" s="2"/>
      </tp>
      <tp t="s">
        <v>#N/A N/A</v>
        <stp/>
        <stp>BDP|11019111145820494854</stp>
        <tr r="X76" s="2"/>
      </tp>
      <tp t="s">
        <v>#N/A N/A</v>
        <stp/>
        <stp>BDP|12486821077294424513</stp>
        <tr r="L16" s="2"/>
      </tp>
      <tp t="s">
        <v>#N/A N/A</v>
        <stp/>
        <stp>BDP|17831287414768395030</stp>
        <tr r="Z80" s="2"/>
      </tp>
      <tp t="s">
        <v>#N/A N/A</v>
        <stp/>
        <stp>BDP|13372243283470114518</stp>
        <tr r="F172" s="2"/>
      </tp>
      <tp t="s">
        <v>#N/A N/A</v>
        <stp/>
        <stp>BDP|10897745228028068102</stp>
        <tr r="Z145" s="2"/>
      </tp>
      <tp t="s">
        <v>#N/A N/A</v>
        <stp/>
        <stp>BDP|14079051468679868719</stp>
        <tr r="S234" s="2"/>
      </tp>
      <tp t="s">
        <v>#N/A N/A</v>
        <stp/>
        <stp>BDP|13424103543989566362</stp>
        <tr r="H13" s="2"/>
      </tp>
      <tp t="s">
        <v>#N/A N/A</v>
        <stp/>
        <stp>BDP|17043583999260598700</stp>
        <tr r="P213" s="2"/>
      </tp>
      <tp t="s">
        <v>#N/A N/A</v>
        <stp/>
        <stp>BDP|11421454411300207866</stp>
        <tr r="D226" s="2"/>
      </tp>
      <tp t="s">
        <v>#N/A N/A</v>
        <stp/>
        <stp>BDP|18369933938548479685</stp>
        <tr r="C102" s="2"/>
      </tp>
      <tp t="s">
        <v>#N/A N/A</v>
        <stp/>
        <stp>BDP|12912650879657031816</stp>
        <tr r="Y62" s="2"/>
      </tp>
      <tp t="s">
        <v>#N/A N/A</v>
        <stp/>
        <stp>BDP|17330222774596231837</stp>
        <tr r="B129" s="2"/>
      </tp>
      <tp t="s">
        <v>#N/A N/A</v>
        <stp/>
        <stp>BDP|17821143433070316987</stp>
        <tr r="AA55" s="2"/>
      </tp>
      <tp t="s">
        <v>#N/A N/A</v>
        <stp/>
        <stp>BDP|12343271393115257017</stp>
        <tr r="M115" s="2"/>
      </tp>
      <tp t="s">
        <v>#N/A N/A</v>
        <stp/>
        <stp>BDP|15645018983420113122</stp>
        <tr r="E47" s="2"/>
      </tp>
      <tp t="s">
        <v>#N/A N/A</v>
        <stp/>
        <stp>BDP|16586016549009937736</stp>
        <tr r="AA29" s="2"/>
      </tp>
      <tp t="s">
        <v>#N/A N/A</v>
        <stp/>
        <stp>BDP|17503840511803051174</stp>
        <tr r="D24" s="2"/>
      </tp>
      <tp t="s">
        <v>#N/A N/A</v>
        <stp/>
        <stp>BDP|16692838019154847739</stp>
        <tr r="L121" s="2"/>
      </tp>
      <tp t="s">
        <v>#N/A N/A</v>
        <stp/>
        <stp>BDP|12286802773976299746</stp>
        <tr r="B211" s="2"/>
      </tp>
      <tp t="s">
        <v>#N/A N/A</v>
        <stp/>
        <stp>BDP|14966891424315257713</stp>
        <tr r="H54" s="2"/>
      </tp>
      <tp t="s">
        <v>#N/A N/A</v>
        <stp/>
        <stp>BDP|13165687652419944553</stp>
        <tr r="G142" s="2"/>
      </tp>
      <tp t="s">
        <v>#N/A N/A</v>
        <stp/>
        <stp>BDP|12804180678950813879</stp>
        <tr r="O215" s="2"/>
      </tp>
      <tp t="s">
        <v>#N/A N/A</v>
        <stp/>
        <stp>BDP|17571094727979833048</stp>
        <tr r="Q199" s="2"/>
      </tp>
      <tp t="s">
        <v>#N/A N/A</v>
        <stp/>
        <stp>BDP|11179910386255657970</stp>
        <tr r="U88" s="2"/>
      </tp>
      <tp t="s">
        <v>#N/A N/A</v>
        <stp/>
        <stp>BDP|11423652534518577075</stp>
        <tr r="Y89" s="2"/>
      </tp>
      <tp t="s">
        <v>#N/A N/A</v>
        <stp/>
        <stp>BDP|16252959958342885402</stp>
        <tr r="AC147" s="2"/>
      </tp>
      <tp t="s">
        <v>#N/A N/A</v>
        <stp/>
        <stp>BDP|12361727595832136238</stp>
        <tr r="AE144" s="2"/>
      </tp>
      <tp t="s">
        <v>#N/A N/A</v>
        <stp/>
        <stp>BDP|12643790295532420281</stp>
        <tr r="I73" s="2"/>
      </tp>
      <tp t="s">
        <v>#N/A N/A</v>
        <stp/>
        <stp>BDP|10684774494405305709</stp>
        <tr r="AB205" s="2"/>
      </tp>
      <tp t="s">
        <v>#N/A N/A</v>
        <stp/>
        <stp>BDP|14105877159597153280</stp>
        <tr r="Z168" s="2"/>
      </tp>
      <tp t="s">
        <v>#N/A N/A</v>
        <stp/>
        <stp>BDP|18014369736371145578</stp>
        <tr r="X29" s="2"/>
      </tp>
      <tp t="s">
        <v>#N/A N/A</v>
        <stp/>
        <stp>BDP|12099485001319517255</stp>
        <tr r="B176" s="2"/>
      </tp>
      <tp t="s">
        <v>#N/A N/A</v>
        <stp/>
        <stp>BDP|13930076743703484903</stp>
        <tr r="H178" s="2"/>
      </tp>
      <tp t="s">
        <v>#N/A N/A</v>
        <stp/>
        <stp>BDP|18386480332050739274</stp>
        <tr r="X58" s="2"/>
      </tp>
      <tp t="s">
        <v>#N/A N/A</v>
        <stp/>
        <stp>BDP|14346987215904036576</stp>
        <tr r="T233" s="2"/>
      </tp>
      <tp t="s">
        <v>#N/A N/A</v>
        <stp/>
        <stp>BDP|11911651427348658048</stp>
        <tr r="U50" s="2"/>
      </tp>
      <tp t="s">
        <v>#N/A N/A</v>
        <stp/>
        <stp>BDP|17130854737418846929</stp>
        <tr r="B20" s="2"/>
      </tp>
      <tp t="s">
        <v>#N/A N/A</v>
        <stp/>
        <stp>BDP|11915336498554948226</stp>
        <tr r="L153" s="2"/>
      </tp>
      <tp t="s">
        <v>#N/A N/A</v>
        <stp/>
        <stp>BDP|14788312787897081591</stp>
        <tr r="AA105" s="2"/>
      </tp>
      <tp t="s">
        <v>#N/A N/A</v>
        <stp/>
        <stp>BDP|14645499571933287946</stp>
        <tr r="X175" s="2"/>
      </tp>
      <tp t="s">
        <v>#N/A N/A</v>
        <stp/>
        <stp>BDP|15237037386119885977</stp>
        <tr r="G203" s="2"/>
      </tp>
      <tp t="s">
        <v>#N/A N/A</v>
        <stp/>
        <stp>BDP|15789074710478905111</stp>
        <tr r="P170" s="2"/>
      </tp>
      <tp t="s">
        <v>#N/A N/A</v>
        <stp/>
        <stp>BDP|15323511618888359416</stp>
        <tr r="N43" s="2"/>
      </tp>
      <tp t="s">
        <v>#N/A N/A</v>
        <stp/>
        <stp>BDP|16564836488442647908</stp>
        <tr r="I126" s="2"/>
      </tp>
      <tp t="s">
        <v>#N/A N/A</v>
        <stp/>
        <stp>BDP|17782465382720930625</stp>
        <tr r="D103" s="2"/>
      </tp>
      <tp t="s">
        <v>#N/A N/A</v>
        <stp/>
        <stp>BDP|17514373476596547890</stp>
        <tr r="C27" s="2"/>
      </tp>
      <tp t="s">
        <v>#N/A N/A</v>
        <stp/>
        <stp>BDP|16058440618669268764</stp>
        <tr r="M31" s="2"/>
      </tp>
      <tp t="s">
        <v>#N/A N/A</v>
        <stp/>
        <stp>BDP|18360085750267227713</stp>
        <tr r="S81" s="2"/>
      </tp>
      <tp t="s">
        <v>#N/A N/A</v>
        <stp/>
        <stp>BDP|11786917230593872557</stp>
        <tr r="AB130" s="2"/>
      </tp>
      <tp t="s">
        <v>#N/A N/A</v>
        <stp/>
        <stp>BDP|13276798007631700800</stp>
        <tr r="F174" s="2"/>
      </tp>
      <tp t="s">
        <v>#N/A N/A</v>
        <stp/>
        <stp>BDP|11934037292842045730</stp>
        <tr r="T229" s="2"/>
      </tp>
      <tp t="s">
        <v>#N/A N/A</v>
        <stp/>
        <stp>BDP|18285291455037144540</stp>
        <tr r="AA138" s="2"/>
      </tp>
      <tp t="s">
        <v>#N/A N/A</v>
        <stp/>
        <stp>BDP|15679310784575179698</stp>
        <tr r="Q70" s="2"/>
      </tp>
      <tp t="s">
        <v>#N/A N/A</v>
        <stp/>
        <stp>BDP|14742342869314768860</stp>
        <tr r="D21" s="2"/>
      </tp>
      <tp t="s">
        <v>#N/A N/A</v>
        <stp/>
        <stp>BDP|15094168686308288998</stp>
        <tr r="V113" s="2"/>
      </tp>
      <tp t="s">
        <v>#N/A N/A</v>
        <stp/>
        <stp>BDP|15630482621748158652</stp>
        <tr r="AD225" s="2"/>
      </tp>
      <tp t="s">
        <v>#N/A N/A</v>
        <stp/>
        <stp>BDP|10077301099627164037</stp>
        <tr r="Q146" s="2"/>
      </tp>
      <tp t="s">
        <v>#N/A N/A</v>
        <stp/>
        <stp>BDP|13930407584304067660</stp>
        <tr r="L66" s="2"/>
      </tp>
      <tp t="s">
        <v>#N/A N/A</v>
        <stp/>
        <stp>BDP|14411680325898085527</stp>
        <tr r="AB15" s="2"/>
      </tp>
      <tp t="s">
        <v>#N/A N/A</v>
        <stp/>
        <stp>BDP|17441192896532321035</stp>
        <tr r="H168" s="2"/>
      </tp>
      <tp t="s">
        <v>#N/A N/A</v>
        <stp/>
        <stp>BDP|11224166859179485137</stp>
        <tr r="E38" s="2"/>
      </tp>
      <tp t="s">
        <v>#N/A N/A</v>
        <stp/>
        <stp>BDP|16680070904402657993</stp>
        <tr r="S223" s="2"/>
      </tp>
      <tp t="s">
        <v>#N/A N/A</v>
        <stp/>
        <stp>BDP|11534058194350659587</stp>
        <tr r="T170" s="2"/>
      </tp>
      <tp t="s">
        <v>#N/A N/A</v>
        <stp/>
        <stp>BDP|12374219449511533840</stp>
        <tr r="AE198" s="2"/>
      </tp>
      <tp t="s">
        <v>#N/A N/A</v>
        <stp/>
        <stp>BDP|16107928247743858565</stp>
        <tr r="K42" s="2"/>
        <tr r="R42" s="2"/>
        <tr r="W42" s="2"/>
      </tp>
      <tp t="s">
        <v>#N/A N/A</v>
        <stp/>
        <stp>BDP|16009219039598133232</stp>
        <tr r="D140" s="2"/>
      </tp>
      <tp t="s">
        <v>#N/A N/A</v>
        <stp/>
        <stp>BDP|16318222488417333608</stp>
        <tr r="E88" s="2"/>
      </tp>
      <tp t="s">
        <v>#N/A N/A</v>
        <stp/>
        <stp>BDP|17976802012991383227</stp>
        <tr r="E68" s="2"/>
      </tp>
      <tp t="s">
        <v>#N/A N/A</v>
        <stp/>
        <stp>BDP|11905224494220002755</stp>
        <tr r="X199" s="2"/>
      </tp>
      <tp t="s">
        <v>#N/A N/A</v>
        <stp/>
        <stp>BDP|10847979159478489983</stp>
        <tr r="S204" s="2"/>
      </tp>
      <tp t="s">
        <v>#N/A N/A</v>
        <stp/>
        <stp>BDP|15430017589070075061</stp>
        <tr r="F119" s="2"/>
      </tp>
      <tp t="s">
        <v>#N/A N/A</v>
        <stp/>
        <stp>BDP|16107911042727949115</stp>
        <tr r="AC53" s="2"/>
      </tp>
      <tp t="s">
        <v>#N/A N/A</v>
        <stp/>
        <stp>BDP|12940671416938691040</stp>
        <tr r="Y36" s="2"/>
      </tp>
      <tp t="s">
        <v>#N/A N/A</v>
        <stp/>
        <stp>BDP|14522586707945270950</stp>
        <tr r="S87" s="2"/>
      </tp>
      <tp t="s">
        <v>#N/A N/A</v>
        <stp/>
        <stp>BDP|12868594522189829168</stp>
        <tr r="AA172" s="2"/>
      </tp>
      <tp t="s">
        <v>#N/A N/A</v>
        <stp/>
        <stp>BDP|13508781086781738019</stp>
        <tr r="B8" s="2"/>
      </tp>
      <tp t="s">
        <v>#N/A N/A</v>
        <stp/>
        <stp>BDP|12984197598232598506</stp>
        <tr r="I108" s="2"/>
      </tp>
      <tp t="s">
        <v>#N/A N/A</v>
        <stp/>
        <stp>BDP|13193822239777287256</stp>
        <tr r="AE80" s="2"/>
      </tp>
      <tp t="s">
        <v>#N/A N/A</v>
        <stp/>
        <stp>BDP|15571292298602059197</stp>
        <tr r="I18" s="2"/>
      </tp>
      <tp t="s">
        <v>#N/A N/A</v>
        <stp/>
        <stp>BDP|15087287008553894954</stp>
        <tr r="O185" s="2"/>
      </tp>
      <tp t="s">
        <v>#N/A N/A</v>
        <stp/>
        <stp>BDP|11866453493781466071</stp>
        <tr r="U113" s="2"/>
      </tp>
      <tp t="s">
        <v>#N/A N/A</v>
        <stp/>
        <stp>BDP|11221799941157599827</stp>
        <tr r="V176" s="2"/>
      </tp>
      <tp t="s">
        <v>#N/A N/A</v>
        <stp/>
        <stp>BDP|13242678290292865311</stp>
        <tr r="Q140" s="2"/>
      </tp>
      <tp t="s">
        <v>#N/A N/A</v>
        <stp/>
        <stp>BDP|13755362742679995060</stp>
        <tr r="I158" s="2"/>
      </tp>
      <tp t="s">
        <v>#N/A N/A</v>
        <stp/>
        <stp>BDP|17924438365901242918</stp>
        <tr r="T40" s="2"/>
      </tp>
      <tp t="s">
        <v>#N/A N/A</v>
        <stp/>
        <stp>BDP|16083671457479408183</stp>
        <tr r="O107" s="2"/>
      </tp>
      <tp t="s">
        <v>#N/A N/A</v>
        <stp/>
        <stp>BDP|13756082657972356977</stp>
        <tr r="H97" s="2"/>
      </tp>
      <tp t="s">
        <v>#N/A N/A</v>
        <stp/>
        <stp>BDP|15108656486343606582</stp>
        <tr r="L212" s="2"/>
      </tp>
      <tp t="s">
        <v>#N/A N/A</v>
        <stp/>
        <stp>BDP|10806165127206475817</stp>
        <tr r="AB220" s="2"/>
      </tp>
      <tp t="s">
        <v>#N/A N/A</v>
        <stp/>
        <stp>BDP|18132047048538064912</stp>
        <tr r="Y188" s="2"/>
      </tp>
      <tp t="s">
        <v>#N/A N/A</v>
        <stp/>
        <stp>BDP|15435602766149842159</stp>
        <tr r="N73" s="2"/>
      </tp>
      <tp t="s">
        <v>#N/A N/A</v>
        <stp/>
        <stp>BDP|16903925851135002258</stp>
        <tr r="M113" s="2"/>
      </tp>
      <tp t="s">
        <v>#N/A N/A</v>
        <stp/>
        <stp>BDP|14230921217542925315</stp>
        <tr r="P210" s="2"/>
      </tp>
      <tp t="s">
        <v>#N/A N/A</v>
        <stp/>
        <stp>BDP|15396835152272423787</stp>
        <tr r="Q215" s="2"/>
      </tp>
      <tp t="s">
        <v>#N/A N/A</v>
        <stp/>
        <stp>BDP|14640273101952949973</stp>
        <tr r="B56" s="2"/>
      </tp>
      <tp t="s">
        <v>#N/A N/A</v>
        <stp/>
        <stp>BDP|11391703518593441912</stp>
        <tr r="AB19" s="2"/>
      </tp>
      <tp t="s">
        <v>#N/A N/A</v>
        <stp/>
        <stp>BDP|11804731860818363566</stp>
        <tr r="M188" s="2"/>
      </tp>
      <tp t="s">
        <v>#N/A N/A</v>
        <stp/>
        <stp>BDP|10909955705584492037</stp>
        <tr r="O37" s="2"/>
      </tp>
      <tp t="s">
        <v>#N/A N/A</v>
        <stp/>
        <stp>BDP|14162684271111286945</stp>
        <tr r="D183" s="2"/>
      </tp>
      <tp t="s">
        <v>#N/A N/A</v>
        <stp/>
        <stp>BDP|12358859890469921716</stp>
        <tr r="X9" s="2"/>
      </tp>
      <tp t="s">
        <v>#N/A N/A</v>
        <stp/>
        <stp>BDP|12238381391784476111</stp>
        <tr r="F22" s="2"/>
      </tp>
      <tp t="s">
        <v>#N/A N/A</v>
        <stp/>
        <stp>BDP|14013095063719730633</stp>
        <tr r="AA117" s="2"/>
      </tp>
      <tp t="s">
        <v>#N/A N/A</v>
        <stp/>
        <stp>BDP|10845656784014708700</stp>
        <tr r="D87" s="2"/>
      </tp>
      <tp t="s">
        <v>#N/A N/A</v>
        <stp/>
        <stp>BDP|11067925781448920544</stp>
        <tr r="K205" s="2"/>
        <tr r="R205" s="2"/>
        <tr r="W205" s="2"/>
      </tp>
      <tp t="s">
        <v>#N/A N/A</v>
        <stp/>
        <stp>BDP|17511647358418209152</stp>
        <tr r="N174" s="2"/>
      </tp>
      <tp t="s">
        <v>#N/A N/A</v>
        <stp/>
        <stp>BDP|14292733595126280185</stp>
        <tr r="K233" s="2"/>
        <tr r="R233" s="2"/>
        <tr r="W233" s="2"/>
      </tp>
      <tp t="s">
        <v>#N/A N/A</v>
        <stp/>
        <stp>BDP|11737457598181658025</stp>
        <tr r="I173" s="2"/>
      </tp>
      <tp t="s">
        <v>#N/A N/A</v>
        <stp/>
        <stp>BDP|11217370759509491396</stp>
        <tr r="L156" s="2"/>
      </tp>
      <tp t="s">
        <v>#N/A N/A</v>
        <stp/>
        <stp>BDP|13898612441935121983</stp>
        <tr r="U134" s="2"/>
      </tp>
      <tp t="s">
        <v>#N/A N/A</v>
        <stp/>
        <stp>BDP|13803584133378569073</stp>
        <tr r="AA144" s="2"/>
      </tp>
      <tp t="s">
        <v>#N/A N/A</v>
        <stp/>
        <stp>BDP|11182979106172718760</stp>
        <tr r="I54" s="2"/>
      </tp>
      <tp t="s">
        <v>#N/A N/A</v>
        <stp/>
        <stp>BDP|15057160480766563725</stp>
        <tr r="Y67" s="2"/>
      </tp>
      <tp t="s">
        <v>#N/A N/A</v>
        <stp/>
        <stp>BDP|16004623679392826824</stp>
        <tr r="F70" s="2"/>
      </tp>
      <tp t="s">
        <v>#N/A N/A</v>
        <stp/>
        <stp>BDP|17343138218739179394</stp>
        <tr r="X59" s="2"/>
      </tp>
      <tp t="s">
        <v>#N/A N/A</v>
        <stp/>
        <stp>BDP|10688435186856537769</stp>
        <tr r="M197" s="2"/>
      </tp>
      <tp t="s">
        <v>#N/A N/A</v>
        <stp/>
        <stp>BDP|10303849738492723483</stp>
        <tr r="F107" s="2"/>
      </tp>
      <tp t="s">
        <v>#N/A N/A</v>
        <stp/>
        <stp>BDP|12568468597812423006</stp>
        <tr r="N97" s="2"/>
      </tp>
      <tp t="s">
        <v>#N/A N/A</v>
        <stp/>
        <stp>BDP|14044502883127705340</stp>
        <tr r="V153" s="2"/>
      </tp>
      <tp t="s">
        <v>#N/A N/A</v>
        <stp/>
        <stp>BDP|14212712912449315620</stp>
        <tr r="O116" s="2"/>
      </tp>
      <tp t="s">
        <v>#N/A N/A</v>
        <stp/>
        <stp>BDP|14633003532079240361</stp>
        <tr r="Q84" s="2"/>
      </tp>
      <tp t="s">
        <v>#N/A N/A</v>
        <stp/>
        <stp>BDP|13658144964970719923</stp>
        <tr r="T50" s="2"/>
      </tp>
      <tp t="s">
        <v>#N/A N/A</v>
        <stp/>
        <stp>BDP|12355032131705605948</stp>
        <tr r="N172" s="2"/>
      </tp>
      <tp t="s">
        <v>#N/A N/A</v>
        <stp/>
        <stp>BDP|16725861721021150029</stp>
        <tr r="L131" s="2"/>
      </tp>
      <tp t="s">
        <v>#N/A N/A</v>
        <stp/>
        <stp>BDP|12633305305258050400</stp>
        <tr r="AB86" s="2"/>
      </tp>
      <tp t="s">
        <v>#N/A N/A</v>
        <stp/>
        <stp>BDP|15406233887837083533</stp>
        <tr r="E221" s="2"/>
      </tp>
      <tp t="s">
        <v>#N/A N/A</v>
        <stp/>
        <stp>BDP|11522376693430635645</stp>
        <tr r="X69" s="2"/>
      </tp>
      <tp t="s">
        <v>#N/A N/A</v>
        <stp/>
        <stp>BDP|12200840222100314545</stp>
        <tr r="AC156" s="2"/>
      </tp>
      <tp t="s">
        <v>#N/A N/A</v>
        <stp/>
        <stp>BDP|12751330078179607291</stp>
        <tr r="S220" s="2"/>
      </tp>
      <tp t="s">
        <v>#N/A N/A</v>
        <stp/>
        <stp>BDP|16363830821823121238</stp>
        <tr r="B154" s="2"/>
      </tp>
      <tp t="s">
        <v>#N/A N/A</v>
        <stp/>
        <stp>BDP|15596436288636853258</stp>
        <tr r="F67" s="2"/>
      </tp>
      <tp t="s">
        <v>#N/A N/A</v>
        <stp/>
        <stp>BDP|18002184290234293985</stp>
        <tr r="F4" s="2"/>
      </tp>
      <tp t="s">
        <v>#N/A N/A</v>
        <stp/>
        <stp>BDP|12774728950135359842</stp>
        <tr r="AB54" s="2"/>
      </tp>
      <tp t="s">
        <v>#N/A N/A</v>
        <stp/>
        <stp>BDP|18339259545252775163</stp>
        <tr r="I81" s="2"/>
      </tp>
      <tp t="s">
        <v>#N/A N/A</v>
        <stp/>
        <stp>BDP|18016071960427492411</stp>
        <tr r="C135" s="2"/>
      </tp>
      <tp t="s">
        <v>#N/A N/A</v>
        <stp/>
        <stp>BDP|12099175264120893897</stp>
        <tr r="I61" s="2"/>
      </tp>
      <tp t="s">
        <v>#N/A N/A</v>
        <stp/>
        <stp>BDP|11301266006376445855</stp>
        <tr r="S93" s="2"/>
      </tp>
      <tp t="s">
        <v>#N/A N/A</v>
        <stp/>
        <stp>BDP|12322513237141630868</stp>
        <tr r="H196" s="2"/>
      </tp>
      <tp t="s">
        <v>#N/A N/A</v>
        <stp/>
        <stp>BDP|15371946237745615739</stp>
        <tr r="U20" s="2"/>
      </tp>
      <tp t="s">
        <v>#N/A N/A</v>
        <stp/>
        <stp>BDP|14679721012317095830</stp>
        <tr r="C161" s="2"/>
      </tp>
      <tp t="s">
        <v>#N/A N/A</v>
        <stp/>
        <stp>BDP|17265861567487088367</stp>
        <tr r="S32" s="2"/>
      </tp>
      <tp t="s">
        <v>#N/A N/A</v>
        <stp/>
        <stp>BDP|17516977383528473307</stp>
        <tr r="U158" s="2"/>
      </tp>
      <tp t="s">
        <v>#N/A N/A</v>
        <stp/>
        <stp>BDP|15731025248989893507</stp>
        <tr r="Q48" s="2"/>
      </tp>
      <tp t="s">
        <v>#N/A N/A</v>
        <stp/>
        <stp>BDP|13101114666529170027</stp>
        <tr r="AA164" s="2"/>
      </tp>
      <tp t="s">
        <v>#N/A N/A</v>
        <stp/>
        <stp>BDP|15545721707749538606</stp>
        <tr r="AA163" s="2"/>
      </tp>
      <tp t="s">
        <v>#N/A N/A</v>
        <stp/>
        <stp>BDP|15942461328238443665</stp>
        <tr r="K150" s="2"/>
        <tr r="R150" s="2"/>
        <tr r="W150" s="2"/>
      </tp>
      <tp t="s">
        <v>#N/A N/A</v>
        <stp/>
        <stp>BDP|15550825743360959483</stp>
        <tr r="P175" s="2"/>
      </tp>
      <tp t="s">
        <v>#N/A N/A</v>
        <stp/>
        <stp>BDP|17017956081878978391</stp>
        <tr r="Q53" s="2"/>
      </tp>
      <tp t="s">
        <v>#N/A N/A</v>
        <stp/>
        <stp>BDP|14452767302199783733</stp>
        <tr r="N222" s="2"/>
      </tp>
      <tp t="s">
        <v>#N/A N/A</v>
        <stp/>
        <stp>BDP|18303584076873966407</stp>
        <tr r="H27" s="2"/>
      </tp>
      <tp t="s">
        <v>#N/A N/A</v>
        <stp/>
        <stp>BDP|15511770715818794643</stp>
        <tr r="D85" s="2"/>
      </tp>
      <tp t="s">
        <v>#N/A N/A</v>
        <stp/>
        <stp>BDP|10017890669232435102</stp>
        <tr r="AD87" s="2"/>
      </tp>
      <tp t="s">
        <v>#N/A N/A</v>
        <stp/>
        <stp>BDP|15456840612388707916</stp>
        <tr r="AA165" s="2"/>
      </tp>
      <tp t="s">
        <v>#N/A N/A</v>
        <stp/>
        <stp>BDP|14840970476457411096</stp>
        <tr r="AE151" s="2"/>
      </tp>
      <tp t="s">
        <v>#N/A N/A</v>
        <stp/>
        <stp>BDP|15339542493604145016</stp>
        <tr r="B88" s="2"/>
      </tp>
      <tp t="s">
        <v>#N/A N/A</v>
        <stp/>
        <stp>BDP|11187699688675144756</stp>
        <tr r="G56" s="2"/>
      </tp>
      <tp t="s">
        <v>#N/A N/A</v>
        <stp/>
        <stp>BDP|13697219950478696159</stp>
        <tr r="Z187" s="2"/>
      </tp>
      <tp t="s">
        <v>#N/A N/A</v>
        <stp/>
        <stp>BDP|18031108802582724618</stp>
        <tr r="AD216" s="2"/>
      </tp>
      <tp t="s">
        <v>#N/A N/A</v>
        <stp/>
        <stp>BDP|18002662803984711751</stp>
        <tr r="E187" s="2"/>
      </tp>
      <tp t="s">
        <v>#N/A N/A</v>
        <stp/>
        <stp>BDP|14898746185516976077</stp>
        <tr r="T173" s="2"/>
      </tp>
      <tp t="s">
        <v>#N/A N/A</v>
        <stp/>
        <stp>BDP|14688413030136868886</stp>
        <tr r="P86" s="2"/>
      </tp>
      <tp t="s">
        <v>#N/A N/A</v>
        <stp/>
        <stp>BDP|13642835375530397144</stp>
        <tr r="AE215" s="2"/>
      </tp>
      <tp t="s">
        <v>#N/A N/A</v>
        <stp/>
        <stp>BDP|10096614495415524762</stp>
        <tr r="F164" s="2"/>
      </tp>
      <tp t="s">
        <v>#N/A N/A</v>
        <stp/>
        <stp>BDP|12064848427703244665</stp>
        <tr r="P65" s="2"/>
      </tp>
      <tp t="s">
        <v>#N/A N/A</v>
        <stp/>
        <stp>BDP|14375734886862638470</stp>
        <tr r="AC39" s="2"/>
      </tp>
      <tp t="s">
        <v>#N/A N/A</v>
        <stp/>
        <stp>BDP|16616329931633634842</stp>
        <tr r="V121" s="2"/>
      </tp>
      <tp t="s">
        <v>#N/A N/A</v>
        <stp/>
        <stp>BDP|10002207104979283618</stp>
        <tr r="P162" s="2"/>
      </tp>
      <tp t="s">
        <v>#N/A N/A</v>
        <stp/>
        <stp>BDP|11482737375218218470</stp>
        <tr r="V135" s="2"/>
      </tp>
      <tp t="s">
        <v>#N/A N/A</v>
        <stp/>
        <stp>BDP|16432276617938244014</stp>
        <tr r="I169" s="2"/>
      </tp>
      <tp t="s">
        <v>#N/A N/A</v>
        <stp/>
        <stp>BDP|14268133997669788869</stp>
        <tr r="AA196" s="2"/>
      </tp>
      <tp t="s">
        <v>#N/A N/A</v>
        <stp/>
        <stp>BDP|17590116900133193825</stp>
        <tr r="P70" s="2"/>
      </tp>
      <tp t="s">
        <v>#N/A N/A</v>
        <stp/>
        <stp>BDP|17009507524618718542</stp>
        <tr r="AE15" s="2"/>
      </tp>
      <tp t="s">
        <v>#N/A N/A</v>
        <stp/>
        <stp>BDP|10613049317579774558</stp>
        <tr r="Q44" s="2"/>
      </tp>
      <tp t="s">
        <v>#N/A N/A</v>
        <stp/>
        <stp>BDP|12102493328140244957</stp>
        <tr r="X100" s="2"/>
      </tp>
      <tp t="s">
        <v>#N/A N/A</v>
        <stp/>
        <stp>BDP|17758366686231361030</stp>
        <tr r="H122" s="2"/>
      </tp>
      <tp t="s">
        <v>#N/A N/A</v>
        <stp/>
        <stp>BDP|14710965100309499935</stp>
        <tr r="D169" s="2"/>
      </tp>
      <tp t="s">
        <v>#N/A N/A</v>
        <stp/>
        <stp>BDP|18398142233500418765</stp>
        <tr r="E125" s="2"/>
      </tp>
      <tp t="s">
        <v>#N/A N/A</v>
        <stp/>
        <stp>BDP|17745428085757416122</stp>
        <tr r="I100" s="2"/>
      </tp>
      <tp t="s">
        <v>#N/A N/A</v>
        <stp/>
        <stp>BDP|10477832044858563903</stp>
        <tr r="Q108" s="2"/>
      </tp>
      <tp t="s">
        <v>#N/A N/A</v>
        <stp/>
        <stp>BDP|12324348480406411251</stp>
        <tr r="S161" s="2"/>
      </tp>
      <tp t="s">
        <v>#N/A N/A</v>
        <stp/>
        <stp>BDP|13179420822438591027</stp>
        <tr r="F64" s="2"/>
      </tp>
      <tp t="s">
        <v>#N/A N/A</v>
        <stp/>
        <stp>BDP|16388516297650151721</stp>
        <tr r="Z189" s="2"/>
      </tp>
      <tp t="s">
        <v>#N/A N/A</v>
        <stp/>
        <stp>BDP|11418862467536325408</stp>
        <tr r="V17" s="2"/>
      </tp>
      <tp t="s">
        <v>#N/A N/A</v>
        <stp/>
        <stp>BDP|10560979011050360565</stp>
        <tr r="F124" s="2"/>
      </tp>
      <tp t="s">
        <v>#N/A N/A</v>
        <stp/>
        <stp>BDP|11303540742925771842</stp>
        <tr r="O182" s="2"/>
      </tp>
      <tp t="s">
        <v>#N/A N/A</v>
        <stp/>
        <stp>BDP|16541068295816324435</stp>
        <tr r="K25" s="2"/>
        <tr r="R25" s="2"/>
        <tr r="W25" s="2"/>
      </tp>
      <tp t="s">
        <v>#N/A N/A</v>
        <stp/>
        <stp>BDP|10554448634069384306</stp>
        <tr r="M16" s="2"/>
      </tp>
      <tp t="s">
        <v>#N/A N/A</v>
        <stp/>
        <stp>BDP|17583949151447356153</stp>
        <tr r="L22" s="2"/>
      </tp>
      <tp t="s">
        <v>#N/A N/A</v>
        <stp/>
        <stp>BDP|11123998032227895140</stp>
        <tr r="E54" s="2"/>
      </tp>
      <tp t="s">
        <v>#N/A N/A</v>
        <stp/>
        <stp>BDP|14259172649184949832</stp>
        <tr r="I211" s="2"/>
      </tp>
      <tp t="s">
        <v>#N/A N/A</v>
        <stp/>
        <stp>BDP|17555270255285153804</stp>
        <tr r="AE203" s="2"/>
      </tp>
      <tp t="s">
        <v>#N/A N/A</v>
        <stp/>
        <stp>BDP|10416346320759453523</stp>
        <tr r="I143" s="2"/>
      </tp>
      <tp t="s">
        <v>#N/A N/A</v>
        <stp/>
        <stp>BDP|10263371741268271207</stp>
        <tr r="E216" s="2"/>
      </tp>
      <tp t="s">
        <v>#N/A N/A</v>
        <stp/>
        <stp>BDP|15556790560221802822</stp>
        <tr r="M102" s="2"/>
      </tp>
      <tp t="s">
        <v>#N/A N/A</v>
        <stp/>
        <stp>BDP|18241000025381997974</stp>
        <tr r="Y112" s="2"/>
      </tp>
      <tp t="s">
        <v>#N/A N/A</v>
        <stp/>
        <stp>BDP|10840190752862367490</stp>
        <tr r="AD8" s="2"/>
      </tp>
      <tp t="s">
        <v>#N/A N/A</v>
        <stp/>
        <stp>BDP|16275078878261320277</stp>
        <tr r="K191" s="2"/>
        <tr r="R191" s="2"/>
        <tr r="W191" s="2"/>
      </tp>
      <tp t="s">
        <v>#N/A N/A</v>
        <stp/>
        <stp>BDP|16084430673154157384</stp>
        <tr r="I40" s="2"/>
      </tp>
      <tp t="s">
        <v>#N/A N/A</v>
        <stp/>
        <stp>BDP|11804673556814526454</stp>
        <tr r="H203" s="2"/>
      </tp>
      <tp t="s">
        <v>#N/A N/A</v>
        <stp/>
        <stp>BDP|14606699155854597164</stp>
        <tr r="AD217" s="2"/>
      </tp>
      <tp t="s">
        <v>#N/A N/A</v>
        <stp/>
        <stp>BDP|17573990865513668968</stp>
        <tr r="AD63" s="2"/>
      </tp>
      <tp t="s">
        <v>#N/A N/A</v>
        <stp/>
        <stp>BDP|17286677846472282580</stp>
        <tr r="E118" s="2"/>
      </tp>
      <tp t="s">
        <v>#N/A N/A</v>
        <stp/>
        <stp>BDP|12420339529848108962</stp>
        <tr r="X25" s="2"/>
      </tp>
      <tp t="s">
        <v>#N/A N/A</v>
        <stp/>
        <stp>BDP|15987954468130806842</stp>
        <tr r="D142" s="2"/>
      </tp>
      <tp t="s">
        <v>#N/A N/A</v>
        <stp/>
        <stp>BDP|13475394914593686071</stp>
        <tr r="AE95" s="2"/>
      </tp>
      <tp t="s">
        <v>#N/A N/A</v>
        <stp/>
        <stp>BDP|13955516464977674522</stp>
        <tr r="I124" s="2"/>
      </tp>
      <tp t="s">
        <v>#N/A N/A</v>
        <stp/>
        <stp>BDP|14958432121805244518</stp>
        <tr r="D106" s="2"/>
      </tp>
      <tp t="s">
        <v>#N/A N/A</v>
        <stp/>
        <stp>BDP|12773532571762940046</stp>
        <tr r="Z77" s="2"/>
      </tp>
      <tp t="s">
        <v>#N/A N/A</v>
        <stp/>
        <stp>BDP|14379355926305007287</stp>
        <tr r="D39" s="2"/>
      </tp>
      <tp t="s">
        <v>#N/A N/A</v>
        <stp/>
        <stp>BDP|11435893389233905054</stp>
        <tr r="AA159" s="2"/>
      </tp>
      <tp t="s">
        <v>#N/A N/A</v>
        <stp/>
        <stp>BDP|15103870489903652419</stp>
        <tr r="G136" s="2"/>
      </tp>
      <tp t="s">
        <v>#N/A N/A</v>
        <stp/>
        <stp>BDP|12545032054800965503</stp>
        <tr r="Z219" s="2"/>
      </tp>
      <tp t="s">
        <v>#N/A N/A</v>
        <stp/>
        <stp>BDP|17909485302509133899</stp>
        <tr r="I136" s="2"/>
      </tp>
      <tp t="s">
        <v>#N/A N/A</v>
        <stp/>
        <stp>BDP|10904075295932123914</stp>
        <tr r="AE223" s="2"/>
      </tp>
      <tp t="s">
        <v>#N/A N/A</v>
        <stp/>
        <stp>BDP|10097422378058977985</stp>
        <tr r="E46" s="2"/>
      </tp>
      <tp t="s">
        <v>#N/A N/A</v>
        <stp/>
        <stp>BDP|16055321508074094314</stp>
        <tr r="O125" s="2"/>
      </tp>
      <tp t="s">
        <v>#N/A N/A</v>
        <stp/>
        <stp>BDP|13408236543507630098</stp>
        <tr r="S155" s="2"/>
      </tp>
      <tp t="s">
        <v>#N/A N/A</v>
        <stp/>
        <stp>BDP|11654982522999680119</stp>
        <tr r="AC76" s="2"/>
      </tp>
      <tp t="s">
        <v>#N/A N/A</v>
        <stp/>
        <stp>BDP|16573548631752351080</stp>
        <tr r="T238" s="2"/>
      </tp>
      <tp t="s">
        <v>#N/A N/A</v>
        <stp/>
        <stp>BDP|12897438157906206755</stp>
        <tr r="AE210" s="2"/>
      </tp>
      <tp t="s">
        <v>#N/A N/A</v>
        <stp/>
        <stp>BDP|12524387446093438447</stp>
        <tr r="K14" s="2"/>
        <tr r="R14" s="2"/>
        <tr r="W14" s="2"/>
      </tp>
      <tp t="s">
        <v>#N/A N/A</v>
        <stp/>
        <stp>BDP|14712202413373731684</stp>
        <tr r="X64" s="2"/>
      </tp>
      <tp t="s">
        <v>#N/A N/A</v>
        <stp/>
        <stp>BDP|14244729450052308696</stp>
        <tr r="AD100" s="2"/>
      </tp>
      <tp t="s">
        <v>#N/A N/A</v>
        <stp/>
        <stp>BDP|17210671424765372488</stp>
        <tr r="AE234" s="2"/>
      </tp>
      <tp t="s">
        <v>#N/A N/A</v>
        <stp/>
        <stp>BDP|10982432557524750705</stp>
        <tr r="F176" s="2"/>
      </tp>
      <tp t="s">
        <v>#N/A N/A</v>
        <stp/>
        <stp>BDP|12190472049949642938</stp>
        <tr r="S159" s="2"/>
      </tp>
      <tp t="s">
        <v>#N/A N/A</v>
        <stp/>
        <stp>BDP|12574947788850017135</stp>
        <tr r="L4" s="2"/>
      </tp>
      <tp t="s">
        <v>#N/A N/A</v>
        <stp/>
        <stp>BDP|13733563591585363891</stp>
        <tr r="AB148" s="2"/>
      </tp>
      <tp t="s">
        <v>#N/A N/A</v>
        <stp/>
        <stp>BDP|10646908789021559208</stp>
        <tr r="AB63" s="2"/>
      </tp>
      <tp t="s">
        <v>#N/A N/A</v>
        <stp/>
        <stp>BDP|17201575296241841814</stp>
        <tr r="K13" s="2"/>
        <tr r="R13" s="2"/>
        <tr r="W13" s="2"/>
      </tp>
      <tp t="s">
        <v>#N/A N/A</v>
        <stp/>
        <stp>BDP|14691325245148985920</stp>
        <tr r="AA116" s="2"/>
      </tp>
      <tp t="s">
        <v>#N/A N/A</v>
        <stp/>
        <stp>BDP|12217574061422832166</stp>
        <tr r="N102" s="2"/>
      </tp>
      <tp t="s">
        <v>#N/A N/A</v>
        <stp/>
        <stp>BDP|11114017984589877260</stp>
        <tr r="G66" s="2"/>
      </tp>
      <tp t="s">
        <v>#N/A N/A</v>
        <stp/>
        <stp>BDP|13502069090268801060</stp>
        <tr r="AD154" s="2"/>
      </tp>
      <tp t="s">
        <v>#N/A N/A</v>
        <stp/>
        <stp>BDP|11440741344669102988</stp>
        <tr r="C72" s="2"/>
      </tp>
      <tp t="s">
        <v>#N/A N/A</v>
        <stp/>
        <stp>BDP|13735386403791690371</stp>
        <tr r="AB10" s="2"/>
      </tp>
      <tp t="s">
        <v>#N/A N/A</v>
        <stp/>
        <stp>BDP|17526160306933114793</stp>
        <tr r="K186" s="2"/>
        <tr r="R186" s="2"/>
        <tr r="W186" s="2"/>
      </tp>
      <tp t="s">
        <v>#N/A N/A</v>
        <stp/>
        <stp>BDP|17850326903964246263</stp>
        <tr r="Y74" s="2"/>
      </tp>
      <tp t="s">
        <v>#N/A N/A</v>
        <stp/>
        <stp>BDP|12163097050774713126</stp>
        <tr r="N142" s="2"/>
      </tp>
      <tp t="s">
        <v>#N/A N/A</v>
        <stp/>
        <stp>BDP|18008604316609906422</stp>
        <tr r="D215" s="2"/>
      </tp>
      <tp t="s">
        <v>#N/A N/A</v>
        <stp/>
        <stp>BDP|13687244452730885653</stp>
        <tr r="X136" s="2"/>
      </tp>
      <tp t="s">
        <v>#N/A N/A</v>
        <stp/>
        <stp>BDP|13315608538440189472</stp>
        <tr r="H19" s="2"/>
      </tp>
      <tp t="s">
        <v>#N/A N/A</v>
        <stp/>
        <stp>BDP|11796662997994972822</stp>
        <tr r="G70" s="2"/>
      </tp>
      <tp t="s">
        <v>#N/A N/A</v>
        <stp/>
        <stp>BDP|13986993909751377960</stp>
        <tr r="AC68" s="2"/>
      </tp>
      <tp t="s">
        <v>#N/A N/A</v>
        <stp/>
        <stp>BDP|16750786932831074116</stp>
        <tr r="B49" s="2"/>
      </tp>
      <tp t="s">
        <v>#N/A N/A</v>
        <stp/>
        <stp>BDP|10894662126415160356</stp>
        <tr r="M189" s="2"/>
      </tp>
      <tp t="s">
        <v>#N/A N/A</v>
        <stp/>
        <stp>BDP|14292562237624609490</stp>
        <tr r="M221" s="2"/>
      </tp>
      <tp t="s">
        <v>#N/A N/A</v>
        <stp/>
        <stp>BDP|11596444700246562184</stp>
        <tr r="E135" s="2"/>
      </tp>
      <tp t="s">
        <v>#N/A N/A</v>
        <stp/>
        <stp>BDP|16276772028843472257</stp>
        <tr r="AC154" s="2"/>
      </tp>
      <tp t="s">
        <v>#N/A N/A</v>
        <stp/>
        <stp>BDP|12800404735511259638</stp>
        <tr r="X2" s="2"/>
      </tp>
      <tp t="s">
        <v>#N/A N/A</v>
        <stp/>
        <stp>BDP|11622330317948945973</stp>
        <tr r="I47" s="2"/>
      </tp>
      <tp t="s">
        <v>#N/A N/A</v>
        <stp/>
        <stp>BDP|11113545732011810434</stp>
        <tr r="U185" s="2"/>
      </tp>
      <tp t="s">
        <v>#N/A N/A</v>
        <stp/>
        <stp>BDP|13773253398209733314</stp>
        <tr r="F202" s="2"/>
      </tp>
      <tp t="s">
        <v>#N/A N/A</v>
        <stp/>
        <stp>BDP|15095431318953061177</stp>
        <tr r="AC232" s="2"/>
      </tp>
      <tp t="s">
        <v>#N/A N/A</v>
        <stp/>
        <stp>BDP|14775480864250527422</stp>
        <tr r="T5" s="2"/>
      </tp>
      <tp t="s">
        <v>#N/A N/A</v>
        <stp/>
        <stp>BDP|13206068875597506188</stp>
        <tr r="C167" s="2"/>
      </tp>
      <tp t="s">
        <v>#N/A N/A</v>
        <stp/>
        <stp>BDP|16709110047036470793</stp>
        <tr r="V132" s="2"/>
      </tp>
      <tp t="s">
        <v>#N/A N/A</v>
        <stp/>
        <stp>BDP|13449718367753561387</stp>
        <tr r="E11" s="2"/>
      </tp>
      <tp t="s">
        <v>#N/A N/A</v>
        <stp/>
        <stp>BDP|13553399514815540629</stp>
        <tr r="AA167" s="2"/>
      </tp>
      <tp t="s">
        <v>#N/A N/A</v>
        <stp/>
        <stp>BDP|12111023119201083056</stp>
        <tr r="AC236" s="2"/>
      </tp>
      <tp t="s">
        <v>#N/A N/A</v>
        <stp/>
        <stp>BDP|11024804392492583088</stp>
        <tr r="D91" s="2"/>
      </tp>
      <tp t="s">
        <v>#N/A N/A</v>
        <stp/>
        <stp>BDP|15042788362095145349</stp>
        <tr r="S179" s="2"/>
      </tp>
      <tp t="s">
        <v>#N/A N/A</v>
        <stp/>
        <stp>BDP|15297550936344621589</stp>
        <tr r="H206" s="2"/>
      </tp>
      <tp t="s">
        <v>#N/A N/A</v>
        <stp/>
        <stp>BDP|13693166469062665408</stp>
        <tr r="S131" s="2"/>
      </tp>
      <tp t="s">
        <v>#N/A N/A</v>
        <stp/>
        <stp>BDP|12538895491158233904</stp>
        <tr r="M157" s="2"/>
      </tp>
      <tp t="s">
        <v>#N/A N/A</v>
        <stp/>
        <stp>BDP|14420592862644309136</stp>
        <tr r="Y52" s="2"/>
      </tp>
      <tp t="s">
        <v>#N/A N/A</v>
        <stp/>
        <stp>BDP|16467067898788682539</stp>
        <tr r="P89" s="2"/>
      </tp>
      <tp t="s">
        <v>#N/A N/A</v>
        <stp/>
        <stp>BDP|13647273992763824944</stp>
        <tr r="I163" s="2"/>
      </tp>
      <tp t="s">
        <v>#N/A N/A</v>
        <stp/>
        <stp>BDP|12917084967170016690</stp>
        <tr r="P58" s="2"/>
      </tp>
      <tp t="s">
        <v>#N/A N/A</v>
        <stp/>
        <stp>BDP|10118083234691148035</stp>
        <tr r="I85" s="2"/>
      </tp>
      <tp t="s">
        <v>#N/A N/A</v>
        <stp/>
        <stp>BDP|17621094802584353113</stp>
        <tr r="B130" s="2"/>
      </tp>
      <tp t="s">
        <v>#N/A N/A</v>
        <stp/>
        <stp>BDP|15189792717044898587</stp>
        <tr r="AE196" s="2"/>
      </tp>
      <tp t="s">
        <v>#N/A N/A</v>
        <stp/>
        <stp>BDP|12510769454615979703</stp>
        <tr r="E213" s="2"/>
      </tp>
      <tp t="s">
        <v>#N/A N/A</v>
        <stp/>
        <stp>BDP|18368678551971396884</stp>
        <tr r="G48" s="2"/>
      </tp>
      <tp t="s">
        <v>#N/A N/A</v>
        <stp/>
        <stp>BDP|11215471138841479577</stp>
        <tr r="I202" s="2"/>
      </tp>
      <tp t="s">
        <v>#N/A N/A</v>
        <stp/>
        <stp>BDP|17678447155775995106</stp>
        <tr r="E109" s="2"/>
      </tp>
      <tp t="s">
        <v>#N/A N/A</v>
        <stp/>
        <stp>BDP|15886326660677096549</stp>
        <tr r="Y222" s="2"/>
      </tp>
      <tp t="s">
        <v>#N/A N/A</v>
        <stp/>
        <stp>BDP|16792018243423213398</stp>
        <tr r="N30" s="2"/>
      </tp>
      <tp t="s">
        <v>#N/A N/A</v>
        <stp/>
        <stp>BDP|14885627437525692653</stp>
        <tr r="Z51" s="2"/>
      </tp>
      <tp t="s">
        <v>#N/A N/A</v>
        <stp/>
        <stp>BDP|15227761211329402809</stp>
        <tr r="X122" s="2"/>
      </tp>
      <tp t="s">
        <v>#N/A N/A</v>
        <stp/>
        <stp>BDP|17486734104155645745</stp>
        <tr r="B157" s="2"/>
      </tp>
      <tp t="s">
        <v>#N/A N/A</v>
        <stp/>
        <stp>BDP|15087657291899513105</stp>
        <tr r="L222" s="2"/>
      </tp>
      <tp t="s">
        <v>#N/A N/A</v>
        <stp/>
        <stp>BDP|12694128994879730169</stp>
        <tr r="S189" s="2"/>
      </tp>
      <tp t="s">
        <v>#N/A N/A</v>
        <stp/>
        <stp>BDP|17666452436957443508</stp>
        <tr r="S177" s="2"/>
      </tp>
      <tp t="s">
        <v>#N/A N/A</v>
        <stp/>
        <stp>BDP|13080056156801078521</stp>
        <tr r="AD89" s="2"/>
      </tp>
      <tp t="s">
        <v>#N/A N/A</v>
        <stp/>
        <stp>BDP|14054143212530130667</stp>
        <tr r="E55" s="2"/>
      </tp>
      <tp t="s">
        <v>#N/A N/A</v>
        <stp/>
        <stp>BDP|10650527970087016754</stp>
        <tr r="M138" s="2"/>
      </tp>
      <tp t="s">
        <v>#N/A N/A</v>
        <stp/>
        <stp>BDP|18350841126253433342</stp>
        <tr r="AE174" s="2"/>
      </tp>
      <tp t="s">
        <v>#N/A N/A</v>
        <stp/>
        <stp>BDP|13721677125154541116</stp>
        <tr r="F95" s="2"/>
      </tp>
      <tp t="s">
        <v>#N/A N/A</v>
        <stp/>
        <stp>BDP|14676403277087047204</stp>
        <tr r="Q105" s="2"/>
      </tp>
      <tp t="s">
        <v>#N/A N/A</v>
        <stp/>
        <stp>BDP|14953815268871496955</stp>
        <tr r="F150" s="2"/>
      </tp>
      <tp t="s">
        <v>#N/A N/A</v>
        <stp/>
        <stp>BDP|15947485521278905987</stp>
        <tr r="D10" s="2"/>
      </tp>
      <tp t="s">
        <v>#N/A N/A</v>
        <stp/>
        <stp>BDP|12392237275086026355</stp>
        <tr r="U150" s="2"/>
      </tp>
      <tp t="s">
        <v>#N/A N/A</v>
        <stp/>
        <stp>BDP|17387674655415946382</stp>
        <tr r="AA190" s="2"/>
      </tp>
      <tp t="s">
        <v>#N/A N/A</v>
        <stp/>
        <stp>BDP|15767007759357717590</stp>
        <tr r="M172" s="2"/>
      </tp>
      <tp t="s">
        <v>#N/A N/A</v>
        <stp/>
        <stp>BDP|10131105511184419644</stp>
        <tr r="AA59" s="2"/>
      </tp>
      <tp t="s">
        <v>#N/A N/A</v>
        <stp/>
        <stp>BDP|16488112370250190241</stp>
        <tr r="D146" s="2"/>
      </tp>
      <tp t="s">
        <v>#N/A N/A</v>
        <stp/>
        <stp>BDP|11058587771353910200</stp>
        <tr r="D192" s="2"/>
      </tp>
      <tp t="s">
        <v>#N/A N/A</v>
        <stp/>
        <stp>BDP|10032168608517977479</stp>
        <tr r="F120" s="2"/>
      </tp>
      <tp t="s">
        <v>#N/A N/A</v>
        <stp/>
        <stp>BDP|16740526624050868391</stp>
        <tr r="K161" s="2"/>
        <tr r="R161" s="2"/>
        <tr r="W161" s="2"/>
      </tp>
      <tp t="s">
        <v>#N/A N/A</v>
        <stp/>
        <stp>BDP|10135304214080632030</stp>
        <tr r="AD160" s="2"/>
      </tp>
      <tp t="s">
        <v>#N/A N/A</v>
        <stp/>
        <stp>BDP|10823967674188382498</stp>
        <tr r="T16" s="2"/>
      </tp>
      <tp t="s">
        <v>#N/A N/A</v>
        <stp/>
        <stp>BDP|12900480161902433071</stp>
        <tr r="I80" s="2"/>
      </tp>
      <tp t="s">
        <v>#N/A N/A</v>
        <stp/>
        <stp>BDP|13403784819703402429</stp>
        <tr r="O46" s="2"/>
      </tp>
      <tp t="s">
        <v>#N/A N/A</v>
        <stp/>
        <stp>BDP|11423115558950866762</stp>
        <tr r="P205" s="2"/>
      </tp>
      <tp t="s">
        <v>#N/A N/A</v>
        <stp/>
        <stp>BDP|13173621368476093781</stp>
        <tr r="T113" s="2"/>
      </tp>
      <tp t="s">
        <v>#N/A N/A</v>
        <stp/>
        <stp>BDP|13724894224692890910</stp>
        <tr r="Q211" s="2"/>
      </tp>
      <tp t="s">
        <v>#N/A N/A</v>
        <stp/>
        <stp>BDP|12012916857639398561</stp>
        <tr r="L10" s="2"/>
      </tp>
      <tp t="s">
        <v>#N/A N/A</v>
        <stp/>
        <stp>BDP|17184755707341904396</stp>
        <tr r="Q38" s="2"/>
      </tp>
      <tp t="s">
        <v>#N/A N/A</v>
        <stp/>
        <stp>BDP|16934727524956432781</stp>
        <tr r="T115" s="2"/>
      </tp>
      <tp t="s">
        <v>#N/A N/A</v>
        <stp/>
        <stp>BDP|17332983566563899961</stp>
        <tr r="F45" s="2"/>
      </tp>
      <tp t="s">
        <v>#N/A N/A</v>
        <stp/>
        <stp>BDP|14681010163762076279</stp>
        <tr r="T209" s="2"/>
      </tp>
      <tp t="s">
        <v>#N/A N/A</v>
        <stp/>
        <stp>BDP|10384637736515481213</stp>
        <tr r="I175" s="2"/>
      </tp>
      <tp t="s">
        <v>#N/A N/A</v>
        <stp/>
        <stp>BDP|12220343233403076362</stp>
        <tr r="D227" s="2"/>
      </tp>
      <tp t="s">
        <v>#N/A N/A</v>
        <stp/>
        <stp>BDP|12513223109536502487</stp>
        <tr r="D79" s="2"/>
      </tp>
      <tp t="s">
        <v>#N/A N/A</v>
        <stp/>
        <stp>BDP|15027866835419702577</stp>
        <tr r="Z110" s="2"/>
      </tp>
      <tp t="s">
        <v>#N/A N/A</v>
        <stp/>
        <stp>BDP|17292723536874062551</stp>
        <tr r="AE188" s="2"/>
      </tp>
      <tp t="s">
        <v>#N/A N/A</v>
        <stp/>
        <stp>BDP|17051448216944860489</stp>
        <tr r="Q134" s="2"/>
      </tp>
      <tp t="s">
        <v>#N/A N/A</v>
        <stp/>
        <stp>BDP|16552268055624378774</stp>
        <tr r="N213" s="2"/>
      </tp>
      <tp t="s">
        <v>#N/A N/A</v>
        <stp/>
        <stp>BDP|15525435483882529922</stp>
        <tr r="V54" s="2"/>
      </tp>
      <tp t="s">
        <v>#N/A N/A</v>
        <stp/>
        <stp>BDP|16159015854249799816</stp>
        <tr r="T34" s="2"/>
      </tp>
      <tp t="s">
        <v>#N/A N/A</v>
        <stp/>
        <stp>BDP|18405729486985556078</stp>
        <tr r="AB44" s="2"/>
      </tp>
      <tp t="s">
        <v>#N/A N/A</v>
        <stp/>
        <stp>BDP|15423750207396391675</stp>
        <tr r="S139" s="2"/>
      </tp>
      <tp t="s">
        <v>#N/A N/A</v>
        <stp/>
        <stp>BDP|12014642231260117563</stp>
        <tr r="Z147" s="2"/>
      </tp>
      <tp t="s">
        <v>#N/A N/A</v>
        <stp/>
        <stp>BDP|11189048613314490608</stp>
        <tr r="AC113" s="2"/>
      </tp>
      <tp t="s">
        <v>#N/A N/A</v>
        <stp/>
        <stp>BDP|18318895345521410790</stp>
        <tr r="U97" s="2"/>
      </tp>
      <tp t="s">
        <v>#N/A N/A</v>
        <stp/>
        <stp>BDP|14530367334115398368</stp>
        <tr r="Q177" s="2"/>
      </tp>
      <tp t="s">
        <v>#N/A N/A</v>
        <stp/>
        <stp>BDP|14102342205721565477</stp>
        <tr r="Z221" s="2"/>
      </tp>
      <tp t="s">
        <v>#N/A N/A</v>
        <stp/>
        <stp>BDP|17193069842012130318</stp>
        <tr r="B188" s="2"/>
      </tp>
      <tp t="s">
        <v>#N/A N/A</v>
        <stp/>
        <stp>BDP|11316809761205627812</stp>
        <tr r="X40" s="2"/>
      </tp>
      <tp t="s">
        <v>#N/A N/A</v>
        <stp/>
        <stp>BDP|12135288932773902275</stp>
        <tr r="X226" s="2"/>
      </tp>
      <tp t="s">
        <v>#N/A N/A</v>
        <stp/>
        <stp>BDP|18219727920696260979</stp>
        <tr r="AE110" s="2"/>
      </tp>
      <tp t="s">
        <v>#N/A N/A</v>
        <stp/>
        <stp>BDP|11004457624942330773</stp>
        <tr r="AC75" s="2"/>
      </tp>
      <tp t="s">
        <v>#N/A N/A</v>
        <stp/>
        <stp>BDP|13235917685160023039</stp>
        <tr r="V76" s="2"/>
      </tp>
      <tp t="s">
        <v>#N/A N/A</v>
        <stp/>
        <stp>BDP|11686819045928043771</stp>
        <tr r="AB176" s="2"/>
      </tp>
      <tp t="s">
        <v>#N/A N/A</v>
        <stp/>
        <stp>BDP|12286835454138672567</stp>
        <tr r="G209" s="2"/>
      </tp>
      <tp t="s">
        <v>#N/A N/A</v>
        <stp/>
        <stp>BDP|14944125547265953604</stp>
        <tr r="X132" s="2"/>
      </tp>
      <tp t="s">
        <v>#N/A N/A</v>
        <stp/>
        <stp>BDP|10690307954030582427</stp>
        <tr r="AD163" s="2"/>
      </tp>
      <tp t="s">
        <v>#N/A N/A</v>
        <stp/>
        <stp>BDP|11238552825427020377</stp>
        <tr r="L47" s="2"/>
      </tp>
      <tp t="s">
        <v>#N/A N/A</v>
        <stp/>
        <stp>BDP|16308674340270521642</stp>
        <tr r="H88" s="2"/>
      </tp>
      <tp t="s">
        <v>#N/A N/A</v>
        <stp/>
        <stp>BDP|10517022431957082637</stp>
        <tr r="S105" s="2"/>
      </tp>
      <tp t="s">
        <v>#N/A N/A</v>
        <stp/>
        <stp>BDP|15874716381740417893</stp>
        <tr r="F102" s="2"/>
      </tp>
      <tp t="s">
        <v>#N/A N/A</v>
        <stp/>
        <stp>BDP|13458047452812012660</stp>
        <tr r="Y140" s="2"/>
      </tp>
      <tp t="s">
        <v>#N/A N/A</v>
        <stp/>
        <stp>BDP|14603903072511656969</stp>
        <tr r="T79" s="2"/>
      </tp>
      <tp t="s">
        <v>#N/A N/A</v>
        <stp/>
        <stp>BDP|13636249868522906776</stp>
        <tr r="Y179" s="2"/>
      </tp>
      <tp t="s">
        <v>#N/A N/A</v>
        <stp/>
        <stp>BDP|11450775582274693834</stp>
        <tr r="O2" s="2"/>
      </tp>
      <tp t="s">
        <v>#N/A N/A</v>
        <stp/>
        <stp>BDP|17564938382132279626</stp>
        <tr r="O216" s="2"/>
      </tp>
      <tp t="s">
        <v>#N/A N/A</v>
        <stp/>
        <stp>BDP|11566554425687873392</stp>
        <tr r="V64" s="2"/>
      </tp>
      <tp t="s">
        <v>#N/A N/A</v>
        <stp/>
        <stp>BDP|11904350563661913726</stp>
        <tr r="T188" s="2"/>
      </tp>
      <tp t="s">
        <v>#N/A N/A</v>
        <stp/>
        <stp>BDP|17187275995246599821</stp>
        <tr r="I227" s="2"/>
      </tp>
      <tp t="s">
        <v>#N/A N/A</v>
        <stp/>
        <stp>BDP|14584527106100095352</stp>
        <tr r="X190" s="2"/>
      </tp>
      <tp t="s">
        <v>#N/A N/A</v>
        <stp/>
        <stp>BDP|10695206202434587456</stp>
        <tr r="I131" s="2"/>
      </tp>
      <tp t="s">
        <v>#N/A N/A</v>
        <stp/>
        <stp>BDP|14701383857331806144</stp>
        <tr r="AC71" s="2"/>
      </tp>
      <tp t="s">
        <v>#N/A N/A</v>
        <stp/>
        <stp>BDP|16510287149152187024</stp>
        <tr r="U233" s="2"/>
      </tp>
      <tp t="s">
        <v>#N/A N/A</v>
        <stp/>
        <stp>BDP|12068218808263762197</stp>
        <tr r="Z17" s="2"/>
      </tp>
      <tp t="s">
        <v>#N/A N/A</v>
        <stp/>
        <stp>BDP|17165923596635052025</stp>
        <tr r="V193" s="2"/>
      </tp>
      <tp t="s">
        <v>#N/A N/A</v>
        <stp/>
        <stp>BDP|12104530343473362251</stp>
        <tr r="P153" s="2"/>
      </tp>
      <tp t="s">
        <v>#N/A N/A</v>
        <stp/>
        <stp>BDP|10774308761274781367</stp>
        <tr r="E157" s="2"/>
      </tp>
      <tp t="s">
        <v>#N/A N/A</v>
        <stp/>
        <stp>BDP|17901083421486672110</stp>
        <tr r="T97" s="2"/>
      </tp>
      <tp t="s">
        <v>#N/A N/A</v>
        <stp/>
        <stp>BDP|10463724510877296333</stp>
        <tr r="G169" s="2"/>
      </tp>
      <tp t="s">
        <v>#N/A N/A</v>
        <stp/>
        <stp>BDP|15423435940331252627</stp>
        <tr r="Q120" s="2"/>
      </tp>
      <tp t="s">
        <v>#N/A N/A</v>
        <stp/>
        <stp>BDP|13402375513396737501</stp>
        <tr r="U135" s="2"/>
      </tp>
      <tp t="s">
        <v>#N/A N/A</v>
        <stp/>
        <stp>BDP|10831162407010627387</stp>
        <tr r="AB162" s="2"/>
      </tp>
      <tp t="s">
        <v>#N/A N/A</v>
        <stp/>
        <stp>BDP|14369723960217390045</stp>
        <tr r="AE237" s="2"/>
      </tp>
      <tp t="s">
        <v>#N/A N/A</v>
        <stp/>
        <stp>BDP|10056759106384111146</stp>
        <tr r="AB95" s="2"/>
      </tp>
      <tp t="s">
        <v>#N/A N/A</v>
        <stp/>
        <stp>BDP|12387395318793624127</stp>
        <tr r="S97" s="2"/>
      </tp>
      <tp t="s">
        <v>#N/A N/A</v>
        <stp/>
        <stp>BDP|12316621487106450849</stp>
        <tr r="AC45" s="2"/>
      </tp>
      <tp t="s">
        <v>#N/A N/A</v>
        <stp/>
        <stp>BDP|12142306463156188357</stp>
        <tr r="M20" s="2"/>
      </tp>
      <tp t="s">
        <v>#N/A N/A</v>
        <stp/>
        <stp>BDP|18309420207299747775</stp>
        <tr r="AE114" s="2"/>
      </tp>
      <tp t="s">
        <v>#N/A N/A</v>
        <stp/>
        <stp>BDP|16782455425114260639</stp>
        <tr r="X129" s="2"/>
      </tp>
      <tp t="s">
        <v>#N/A N/A</v>
        <stp/>
        <stp>BDP|13404877994084267433</stp>
        <tr r="C78" s="2"/>
      </tp>
      <tp t="s">
        <v>#N/A N/A</v>
        <stp/>
        <stp>BDP|10580202425786187474</stp>
        <tr r="G172" s="2"/>
      </tp>
      <tp t="s">
        <v>#N/A N/A</v>
        <stp/>
        <stp>BDP|14921642523272919012</stp>
        <tr r="T11" s="2"/>
      </tp>
      <tp t="s">
        <v>#N/A N/A</v>
        <stp/>
        <stp>BDP|14619570151493255541</stp>
        <tr r="AC165" s="2"/>
      </tp>
      <tp t="s">
        <v>#N/A N/A</v>
        <stp/>
        <stp>BDP|17660872354900791845</stp>
        <tr r="Z93" s="2"/>
      </tp>
      <tp t="s">
        <v>#N/A N/A</v>
        <stp/>
        <stp>BDP|16028140402322278726</stp>
        <tr r="B51" s="2"/>
      </tp>
      <tp t="s">
        <v>#N/A N/A</v>
        <stp/>
        <stp>BDP|17364852155718165045</stp>
        <tr r="U55" s="2"/>
      </tp>
      <tp t="s">
        <v>#N/A N/A</v>
        <stp/>
        <stp>BDP|18013319251845075967</stp>
        <tr r="L20" s="2"/>
      </tp>
      <tp t="s">
        <v>#N/A N/A</v>
        <stp/>
        <stp>BDP|15316437294012294808</stp>
        <tr r="Z10" s="2"/>
      </tp>
      <tp t="s">
        <v>#N/A N/A</v>
        <stp/>
        <stp>BDP|16715963602189324464</stp>
        <tr r="T163" s="2"/>
      </tp>
      <tp t="s">
        <v>#N/A N/A</v>
        <stp/>
        <stp>BDP|17750254829385281103</stp>
        <tr r="AC203" s="2"/>
      </tp>
      <tp t="s">
        <v>#N/A N/A</v>
        <stp/>
        <stp>BDP|15577889092181125673</stp>
        <tr r="M27" s="2"/>
      </tp>
      <tp t="s">
        <v>#N/A N/A</v>
        <stp/>
        <stp>BDP|15972228672931323237</stp>
        <tr r="O121" s="2"/>
      </tp>
      <tp t="s">
        <v>#N/A N/A</v>
        <stp/>
        <stp>BDP|14574681045492048714</stp>
        <tr r="F78" s="2"/>
      </tp>
      <tp t="s">
        <v>#N/A N/A</v>
        <stp/>
        <stp>BDP|11608704078336089478</stp>
        <tr r="P46" s="2"/>
      </tp>
      <tp t="s">
        <v>#N/A N/A</v>
        <stp/>
        <stp>BDP|10864532432054699169</stp>
        <tr r="B67" s="2"/>
      </tp>
      <tp t="s">
        <v>#N/A N/A</v>
        <stp/>
        <stp>BDP|16421067124215744298</stp>
        <tr r="O44" s="2"/>
      </tp>
      <tp t="s">
        <v>#N/A N/A</v>
        <stp/>
        <stp>BDP|12689049506091528099</stp>
        <tr r="AC172" s="2"/>
      </tp>
      <tp t="s">
        <v>#N/A N/A</v>
        <stp/>
        <stp>BDP|17310581829946365596</stp>
        <tr r="AD222" s="2"/>
      </tp>
      <tp t="s">
        <v>#N/A N/A</v>
        <stp/>
        <stp>BDP|12658750251902240181</stp>
        <tr r="I16" s="2"/>
      </tp>
      <tp t="s">
        <v>#N/A N/A</v>
        <stp/>
        <stp>BDP|15182081640061539342</stp>
        <tr r="AE222" s="2"/>
      </tp>
      <tp t="s">
        <v>#N/A N/A</v>
        <stp/>
        <stp>BDP|17047325144070876368</stp>
        <tr r="AB161" s="2"/>
      </tp>
      <tp t="s">
        <v>#N/A N/A</v>
        <stp/>
        <stp>BDP|11796542752201076392</stp>
        <tr r="Z68" s="2"/>
      </tp>
      <tp t="s">
        <v>#N/A N/A</v>
        <stp/>
        <stp>BDP|17039226022867967319</stp>
        <tr r="I71" s="2"/>
      </tp>
      <tp t="s">
        <v>#N/A N/A</v>
        <stp/>
        <stp>BDP|13766323988682157946</stp>
        <tr r="H85" s="2"/>
      </tp>
      <tp t="s">
        <v>#N/A N/A</v>
        <stp/>
        <stp>BDP|17216501848960684546</stp>
        <tr r="AD64" s="2"/>
      </tp>
      <tp t="s">
        <v>#N/A N/A</v>
        <stp/>
        <stp>BDP|14318215745715618497</stp>
        <tr r="F134" s="2"/>
      </tp>
      <tp t="s">
        <v>#N/A N/A</v>
        <stp/>
        <stp>BDP|12407362460092268681</stp>
        <tr r="E194" s="2"/>
      </tp>
      <tp t="s">
        <v>#N/A N/A</v>
        <stp/>
        <stp>BDP|15066636659723404663</stp>
        <tr r="C204" s="2"/>
      </tp>
      <tp t="s">
        <v>#N/A N/A</v>
        <stp/>
        <stp>BDP|12234709035742982761</stp>
        <tr r="C21" s="2"/>
      </tp>
      <tp t="s">
        <v>#N/A N/A</v>
        <stp/>
        <stp>BDP|12025917568347053928</stp>
        <tr r="I87" s="2"/>
      </tp>
      <tp t="s">
        <v>#N/A N/A</v>
        <stp/>
        <stp>BDP|13003193279516353088</stp>
        <tr r="T21" s="2"/>
      </tp>
      <tp t="s">
        <v>#N/A N/A</v>
        <stp/>
        <stp>BDP|15557858166998599084</stp>
        <tr r="O70" s="2"/>
      </tp>
      <tp t="s">
        <v>#N/A N/A</v>
        <stp/>
        <stp>BDP|14196737407151657182</stp>
        <tr r="P33" s="2"/>
      </tp>
      <tp t="s">
        <v>#N/A N/A</v>
        <stp/>
        <stp>BDP|10630345049450226428</stp>
        <tr r="N119" s="2"/>
      </tp>
      <tp t="s">
        <v>#N/A N/A</v>
        <stp/>
        <stp>BDP|16583723054030919718</stp>
        <tr r="P140" s="2"/>
      </tp>
      <tp t="s">
        <v>#N/A N/A</v>
        <stp/>
        <stp>BDP|14194190883099163719</stp>
        <tr r="L228" s="2"/>
      </tp>
      <tp t="s">
        <v>#N/A N/A</v>
        <stp/>
        <stp>BDP|12318653050351801354</stp>
        <tr r="AB62" s="2"/>
      </tp>
      <tp t="s">
        <v>#N/A N/A</v>
        <stp/>
        <stp>BDP|15380294531625088207</stp>
        <tr r="AE35" s="2"/>
      </tp>
      <tp t="s">
        <v>#N/A N/A</v>
        <stp/>
        <stp>BDP|13131231064641954545</stp>
        <tr r="P52" s="2"/>
      </tp>
      <tp t="s">
        <v>#N/A N/A</v>
        <stp/>
        <stp>BDP|14218287936872239446</stp>
        <tr r="P32" s="2"/>
      </tp>
      <tp t="s">
        <v>#N/A N/A</v>
        <stp/>
        <stp>BDP|15800621419028927909</stp>
        <tr r="Q42" s="2"/>
      </tp>
      <tp t="s">
        <v>#N/A N/A</v>
        <stp/>
        <stp>BDP|13980616574604070566</stp>
        <tr r="T190" s="2"/>
      </tp>
      <tp t="s">
        <v>#N/A N/A</v>
        <stp/>
        <stp>BDP|14833492183488835309</stp>
        <tr r="O150" s="2"/>
      </tp>
      <tp t="s">
        <v>#N/A N/A</v>
        <stp/>
        <stp>BDP|17946167003873050660</stp>
        <tr r="B116" s="2"/>
      </tp>
      <tp t="s">
        <v>#N/A N/A</v>
        <stp/>
        <stp>BDP|13572417775367897437</stp>
        <tr r="AB118" s="2"/>
      </tp>
      <tp t="s">
        <v>#N/A N/A</v>
        <stp/>
        <stp>BDP|17192382355323414124</stp>
        <tr r="T58" s="2"/>
      </tp>
      <tp t="s">
        <v>#N/A N/A</v>
        <stp/>
        <stp>BDP|12888338613233530077</stp>
        <tr r="X147" s="2"/>
      </tp>
      <tp t="s">
        <v>#N/A N/A</v>
        <stp/>
        <stp>BDP|14825351865851384315</stp>
        <tr r="AB113" s="2"/>
      </tp>
      <tp t="s">
        <v>#N/A N/A</v>
        <stp/>
        <stp>BDP|11925444576495301424</stp>
        <tr r="Q236" s="2"/>
      </tp>
      <tp t="s">
        <v>#N/A N/A</v>
        <stp/>
        <stp>BDP|12786480078162871058</stp>
        <tr r="G211" s="2"/>
      </tp>
      <tp t="s">
        <v>#N/A N/A</v>
        <stp/>
        <stp>BDP|14526963333024421999</stp>
        <tr r="Y131" s="2"/>
      </tp>
      <tp t="s">
        <v>#N/A N/A</v>
        <stp/>
        <stp>BDP|13966549313315078132</stp>
        <tr r="AE30" s="2"/>
      </tp>
      <tp t="s">
        <v>#N/A N/A</v>
        <stp/>
        <stp>BDP|17917201464982627262</stp>
        <tr r="S99" s="2"/>
      </tp>
      <tp t="s">
        <v>#N/A N/A</v>
        <stp/>
        <stp>BDP|15913445721829174905</stp>
        <tr r="V16" s="2"/>
      </tp>
      <tp t="s">
        <v>#N/A N/A</v>
        <stp/>
        <stp>BDP|13100673655780904379</stp>
        <tr r="S3" s="2"/>
      </tp>
      <tp t="s">
        <v>#N/A N/A</v>
        <stp/>
        <stp>BDP|13575482030060824784</stp>
        <tr r="X180" s="2"/>
      </tp>
      <tp t="s">
        <v>#N/A N/A</v>
        <stp/>
        <stp>BDP|18342276613131350994</stp>
        <tr r="N20" s="2"/>
      </tp>
      <tp t="s">
        <v>#N/A N/A</v>
        <stp/>
        <stp>BDP|18114429498931743717</stp>
        <tr r="C64" s="2"/>
      </tp>
      <tp t="s">
        <v>#N/A N/A</v>
        <stp/>
        <stp>BDP|10750719387504988856</stp>
        <tr r="H52" s="2"/>
      </tp>
      <tp t="s">
        <v>#N/A N/A</v>
        <stp/>
        <stp>BDP|13028016797130268996</stp>
        <tr r="N47" s="2"/>
      </tp>
      <tp t="s">
        <v>#N/A N/A</v>
        <stp/>
        <stp>BDP|14154957988427115103</stp>
        <tr r="Z12" s="2"/>
      </tp>
      <tp t="s">
        <v>#N/A N/A</v>
        <stp/>
        <stp>BDP|17100249447187778594</stp>
        <tr r="AC161" s="2"/>
      </tp>
      <tp t="s">
        <v>#N/A N/A</v>
        <stp/>
        <stp>BDP|11516752511226512289</stp>
        <tr r="F177" s="2"/>
      </tp>
      <tp t="s">
        <v>#N/A N/A</v>
        <stp/>
        <stp>BDP|16893765793868594345</stp>
        <tr r="AA155" s="2"/>
      </tp>
      <tp t="s">
        <v>#N/A N/A</v>
        <stp/>
        <stp>BDP|11354100036931145186</stp>
        <tr r="L175" s="2"/>
      </tp>
      <tp t="s">
        <v>#N/A N/A</v>
        <stp/>
        <stp>BDP|16093013157696866627</stp>
        <tr r="T57" s="2"/>
      </tp>
      <tp t="s">
        <v>#N/A N/A</v>
        <stp/>
        <stp>BDP|15786023118247772062</stp>
        <tr r="O220" s="2"/>
      </tp>
      <tp t="s">
        <v>#N/A N/A</v>
        <stp/>
        <stp>BDP|12441006251110154485</stp>
        <tr r="AE74" s="2"/>
      </tp>
      <tp t="s">
        <v>#N/A N/A</v>
        <stp/>
        <stp>BDP|13696678129356464206</stp>
        <tr r="D151" s="2"/>
      </tp>
      <tp t="s">
        <v>#N/A N/A</v>
        <stp/>
        <stp>BDP|16948220959433857164</stp>
        <tr r="AE65" s="2"/>
      </tp>
      <tp t="s">
        <v>#N/A N/A</v>
        <stp/>
        <stp>BDP|16859611373295327151</stp>
        <tr r="AD168" s="2"/>
      </tp>
      <tp t="s">
        <v>#N/A N/A</v>
        <stp/>
        <stp>BDP|17546478061082896471</stp>
        <tr r="AB135" s="2"/>
      </tp>
      <tp t="s">
        <v>#N/A N/A</v>
        <stp/>
        <stp>BDP|12686041179950014675</stp>
        <tr r="AE236" s="2"/>
      </tp>
      <tp t="s">
        <v>#N/A N/A</v>
        <stp/>
        <stp>BDP|15525420104937822542</stp>
        <tr r="G6" s="2"/>
      </tp>
      <tp t="s">
        <v>#N/A N/A</v>
        <stp/>
        <stp>BDP|13678002139363090006</stp>
        <tr r="AD235" s="2"/>
      </tp>
      <tp t="s">
        <v>#N/A N/A</v>
        <stp/>
        <stp>BDP|15246150176811671182</stp>
        <tr r="E72" s="2"/>
      </tp>
      <tp t="s">
        <v>#N/A N/A</v>
        <stp/>
        <stp>BDP|15001080609832632482</stp>
        <tr r="G96" s="2"/>
      </tp>
      <tp t="s">
        <v>#N/A N/A</v>
        <stp/>
        <stp>BDP|10891695799509266557</stp>
        <tr r="B62" s="2"/>
      </tp>
      <tp t="s">
        <v>#N/A N/A</v>
        <stp/>
        <stp>BDP|13668235135203978269</stp>
        <tr r="G5" s="2"/>
      </tp>
      <tp t="s">
        <v>#N/A N/A</v>
        <stp/>
        <stp>BDP|10546135969944049003</stp>
        <tr r="P54" s="2"/>
      </tp>
      <tp t="s">
        <v>#N/A N/A</v>
        <stp/>
        <stp>BDP|13814387066307998202</stp>
        <tr r="T122" s="2"/>
      </tp>
      <tp t="s">
        <v>#N/A N/A</v>
        <stp/>
        <stp>BDP|18043114074299885427</stp>
        <tr r="Y150" s="2"/>
      </tp>
      <tp t="s">
        <v>#N/A N/A</v>
        <stp/>
        <stp>BDP|10276297169982872552</stp>
        <tr r="K211" s="2"/>
        <tr r="R211" s="2"/>
        <tr r="W211" s="2"/>
      </tp>
      <tp t="s">
        <v>#N/A N/A</v>
        <stp/>
        <stp>BDP|13905603063731599101</stp>
        <tr r="AB35" s="2"/>
      </tp>
      <tp t="s">
        <v>#N/A N/A</v>
        <stp/>
        <stp>BDP|14831530267570612455</stp>
        <tr r="K66" s="2"/>
        <tr r="R66" s="2"/>
        <tr r="W66" s="2"/>
      </tp>
      <tp t="s">
        <v>#N/A N/A</v>
        <stp/>
        <stp>BDP|17819916887562523741</stp>
        <tr r="U61" s="2"/>
      </tp>
      <tp t="s">
        <v>#N/A N/A</v>
        <stp/>
        <stp>BDP|13048266468406070216</stp>
        <tr r="D222" s="2"/>
      </tp>
      <tp t="s">
        <v>#N/A N/A</v>
        <stp/>
        <stp>BDP|14286259101377977202</stp>
        <tr r="P15" s="2"/>
      </tp>
      <tp t="s">
        <v>#N/A N/A</v>
        <stp/>
        <stp>BDP|14938511614600116320</stp>
        <tr r="AA179" s="2"/>
      </tp>
      <tp t="s">
        <v>#N/A N/A</v>
        <stp/>
        <stp>BDP|14944928845769166309</stp>
        <tr r="G208" s="2"/>
      </tp>
      <tp t="s">
        <v>#N/A N/A</v>
        <stp/>
        <stp>BDP|14811379006237574325</stp>
        <tr r="P220" s="2"/>
      </tp>
      <tp t="s">
        <v>#N/A N/A</v>
        <stp/>
        <stp>BDP|17380302604537847017</stp>
        <tr r="B234" s="2"/>
      </tp>
      <tp t="s">
        <v>#N/A N/A</v>
        <stp/>
        <stp>BDP|16674717719207499449</stp>
        <tr r="T14" s="2"/>
      </tp>
      <tp t="s">
        <v>#N/A N/A</v>
        <stp/>
        <stp>BDP|11316595144107916495</stp>
        <tr r="K134" s="2"/>
        <tr r="R134" s="2"/>
        <tr r="W134" s="2"/>
      </tp>
      <tp t="s">
        <v>#N/A N/A</v>
        <stp/>
        <stp>BDP|15238379458064239418</stp>
        <tr r="AB100" s="2"/>
      </tp>
      <tp t="s">
        <v>#N/A N/A</v>
        <stp/>
        <stp>BDP|17611188950770614068</stp>
        <tr r="Z138" s="2"/>
      </tp>
      <tp t="s">
        <v>#N/A N/A</v>
        <stp/>
        <stp>BDP|15478038061022880200</stp>
        <tr r="Y19" s="2"/>
      </tp>
      <tp t="s">
        <v>#N/A N/A</v>
        <stp/>
        <stp>BDP|10079420209575361262</stp>
        <tr r="P115" s="2"/>
      </tp>
      <tp t="s">
        <v>#N/A N/A</v>
        <stp/>
        <stp>BDP|12565243939736612605</stp>
        <tr r="X141" s="2"/>
      </tp>
      <tp t="s">
        <v>#N/A N/A</v>
        <stp/>
        <stp>BDP|15078654999080736956</stp>
        <tr r="C79" s="2"/>
      </tp>
      <tp t="s">
        <v>#N/A N/A</v>
        <stp/>
        <stp>BDP|12117623709467287068</stp>
        <tr r="Y72" s="2"/>
      </tp>
      <tp t="s">
        <v>#N/A N/A</v>
        <stp/>
        <stp>BDP|13397034111088700989</stp>
        <tr r="F30" s="2"/>
      </tp>
      <tp t="s">
        <v>#N/A N/A</v>
        <stp/>
        <stp>BDP|15146836641783830952</stp>
        <tr r="AC48" s="2"/>
      </tp>
      <tp t="s">
        <v>#N/A N/A</v>
        <stp/>
        <stp>BDP|15359673157324261108</stp>
        <tr r="AB46" s="2"/>
      </tp>
      <tp t="s">
        <v>#N/A N/A</v>
        <stp/>
        <stp>BDP|11789559611320782650</stp>
        <tr r="G78" s="2"/>
      </tp>
      <tp t="s">
        <v>#N/A N/A</v>
        <stp/>
        <stp>BDP|14981001433293331781</stp>
        <tr r="S130" s="2"/>
      </tp>
      <tp t="s">
        <v>#N/A N/A</v>
        <stp/>
        <stp>BDP|15992734401688961934</stp>
        <tr r="AC37" s="2"/>
      </tp>
      <tp t="s">
        <v>#N/A N/A</v>
        <stp/>
        <stp>BDP|16245422843901703456</stp>
        <tr r="AD189" s="2"/>
      </tp>
      <tp t="s">
        <v>#N/A N/A</v>
        <stp/>
        <stp>BDP|17126271453624649728</stp>
        <tr r="B220" s="2"/>
      </tp>
      <tp t="s">
        <v>#N/A N/A</v>
        <stp/>
        <stp>BDP|16975664208631480224</stp>
        <tr r="S226" s="2"/>
      </tp>
      <tp t="s">
        <v>#N/A N/A</v>
        <stp/>
        <stp>BDP|17259487373434831308</stp>
        <tr r="X201" s="2"/>
      </tp>
      <tp t="s">
        <v>#N/A N/A</v>
        <stp/>
        <stp>BDP|17941730697428595295</stp>
        <tr r="G33" s="2"/>
      </tp>
      <tp t="s">
        <v>#N/A N/A</v>
        <stp/>
        <stp>BDP|12339949703360380863</stp>
        <tr r="E214" s="2"/>
      </tp>
      <tp t="s">
        <v>#N/A N/A</v>
        <stp/>
        <stp>BDP|17261640741420160675</stp>
        <tr r="AC131" s="2"/>
      </tp>
      <tp t="s">
        <v>#N/A N/A</v>
        <stp/>
        <stp>BDP|11603765229433108491</stp>
        <tr r="AB32" s="2"/>
      </tp>
      <tp t="s">
        <v>#N/A N/A</v>
        <stp/>
        <stp>BDP|17675582216633148383</stp>
        <tr r="F17" s="2"/>
      </tp>
      <tp t="s">
        <v>#N/A N/A</v>
        <stp/>
        <stp>BDP|15785042816255083244</stp>
        <tr r="T120" s="2"/>
      </tp>
      <tp t="s">
        <v>#N/A N/A</v>
        <stp/>
        <stp>BDP|10470722395354764954</stp>
        <tr r="O225" s="2"/>
      </tp>
      <tp t="s">
        <v>#N/A N/A</v>
        <stp/>
        <stp>BDP|10937204508844257530</stp>
        <tr r="L105" s="2"/>
      </tp>
      <tp t="s">
        <v>#N/A N/A</v>
        <stp/>
        <stp>BDP|16712743404001516329</stp>
        <tr r="L158" s="2"/>
      </tp>
      <tp t="s">
        <v>#N/A N/A</v>
        <stp/>
        <stp>BDP|15647196288838124762</stp>
        <tr r="AC2" s="2"/>
      </tp>
      <tp t="s">
        <v>#N/A N/A</v>
        <stp/>
        <stp>BDP|16614456347152488707</stp>
        <tr r="AE41" s="2"/>
      </tp>
      <tp t="s">
        <v>#N/A N/A</v>
        <stp/>
        <stp>BDP|13996419339224251339</stp>
        <tr r="P226" s="2"/>
      </tp>
      <tp t="s">
        <v>#N/A N/A</v>
        <stp/>
        <stp>BDP|12375541234202410579</stp>
        <tr r="B73" s="2"/>
      </tp>
      <tp t="s">
        <v>#N/A N/A</v>
        <stp/>
        <stp>BDP|11582010978616598394</stp>
        <tr r="AC112" s="2"/>
      </tp>
      <tp t="s">
        <v>#N/A N/A</v>
        <stp/>
        <stp>BDP|14106077370799777915</stp>
        <tr r="O108" s="2"/>
      </tp>
      <tp t="s">
        <v>#N/A N/A</v>
        <stp/>
        <stp>BDP|11749169226101543029</stp>
        <tr r="X208" s="2"/>
      </tp>
      <tp t="s">
        <v>#N/A N/A</v>
        <stp/>
        <stp>BDP|13127057224375856782</stp>
        <tr r="AB73" s="2"/>
      </tp>
      <tp t="s">
        <v>#N/A N/A</v>
        <stp/>
        <stp>BDP|15438157200562892598</stp>
        <tr r="D189" s="2"/>
      </tp>
      <tp t="s">
        <v>#N/A N/A</v>
        <stp/>
        <stp>BDP|18082978767411655566</stp>
        <tr r="G170" s="2"/>
      </tp>
      <tp t="s">
        <v>#N/A N/A</v>
        <stp/>
        <stp>BDP|13635423854934493546</stp>
        <tr r="G28" s="2"/>
      </tp>
      <tp t="s">
        <v>#N/A N/A</v>
        <stp/>
        <stp>BDP|12819585773386225513</stp>
        <tr r="G198" s="2"/>
      </tp>
      <tp t="s">
        <v>#N/A N/A</v>
        <stp/>
        <stp>BDP|17029038560665189721</stp>
        <tr r="L185" s="2"/>
      </tp>
      <tp t="s">
        <v>#N/A N/A</v>
        <stp/>
        <stp>BDP|15670731573104148277</stp>
        <tr r="M97" s="2"/>
      </tp>
      <tp t="s">
        <v>#N/A N/A</v>
        <stp/>
        <stp>BDP|14651365744937554724</stp>
        <tr r="S28" s="2"/>
      </tp>
      <tp t="s">
        <v>#N/A N/A</v>
        <stp/>
        <stp>BDP|13015371239833834354</stp>
        <tr r="V112" s="2"/>
      </tp>
      <tp t="s">
        <v>#N/A N/A</v>
        <stp/>
        <stp>BDP|16409766947083388551</stp>
        <tr r="AB214" s="2"/>
      </tp>
      <tp t="s">
        <v>#N/A N/A</v>
        <stp/>
        <stp>BDP|11894506167528866941</stp>
        <tr r="AA191" s="2"/>
      </tp>
      <tp t="s">
        <v>#N/A N/A</v>
        <stp/>
        <stp>BDP|14249317427010273658</stp>
        <tr r="D156" s="2"/>
      </tp>
      <tp t="s">
        <v>#N/A N/A</v>
        <stp/>
        <stp>BDP|16219063925281635640</stp>
        <tr r="C53" s="2"/>
      </tp>
      <tp t="s">
        <v>#N/A N/A</v>
        <stp/>
        <stp>BDP|10292629159430350092</stp>
        <tr r="E6" s="2"/>
      </tp>
      <tp t="s">
        <v>#N/A N/A</v>
        <stp/>
        <stp>BDP|11312702172190080228</stp>
        <tr r="T119" s="2"/>
      </tp>
      <tp t="s">
        <v>#N/A N/A</v>
        <stp/>
        <stp>BDP|16263843482742324741</stp>
        <tr r="AC224" s="2"/>
      </tp>
      <tp t="s">
        <v>#N/A N/A</v>
        <stp/>
        <stp>BDP|11702548164987762637</stp>
        <tr r="L118" s="2"/>
      </tp>
      <tp t="s">
        <v>#N/A N/A</v>
        <stp/>
        <stp>BDP|15171977124549336423</stp>
        <tr r="P99" s="2"/>
      </tp>
      <tp t="s">
        <v>#N/A N/A</v>
        <stp/>
        <stp>BDP|17541338321845016041</stp>
        <tr r="C14" s="2"/>
      </tp>
      <tp t="s">
        <v>#N/A N/A</v>
        <stp/>
        <stp>BDP|10104408842037430454</stp>
        <tr r="AA234" s="2"/>
      </tp>
      <tp t="s">
        <v>#N/A N/A</v>
        <stp/>
        <stp>BDP|10093105622755701574</stp>
        <tr r="AC140" s="2"/>
      </tp>
      <tp t="s">
        <v>#N/A N/A</v>
        <stp/>
        <stp>BDP|15175930108728967718</stp>
        <tr r="V118" s="2"/>
      </tp>
      <tp t="s">
        <v>#N/A N/A</v>
        <stp/>
        <stp>BDP|10513798878890775317</stp>
        <tr r="C136" s="2"/>
      </tp>
      <tp t="s">
        <v>#N/A N/A</v>
        <stp/>
        <stp>BDP|12968203504486779586</stp>
        <tr r="AA91" s="2"/>
      </tp>
      <tp t="s">
        <v>#N/A N/A</v>
        <stp/>
        <stp>BDP|12180956096835935495</stp>
        <tr r="AB8" s="2"/>
      </tp>
      <tp t="s">
        <v>#N/A N/A</v>
        <stp/>
        <stp>BDP|14383766870083513429</stp>
        <tr r="AA223" s="2"/>
      </tp>
      <tp t="s">
        <v>#N/A N/A</v>
        <stp/>
        <stp>BDP|17264875306748471455</stp>
        <tr r="N237" s="2"/>
      </tp>
      <tp t="s">
        <v>#N/A N/A</v>
        <stp/>
        <stp>BDP|15276730117322793239</stp>
        <tr r="T59" s="2"/>
      </tp>
      <tp t="s">
        <v>#N/A N/A</v>
        <stp/>
        <stp>BDP|14618214642159881883</stp>
        <tr r="Q153" s="2"/>
      </tp>
      <tp t="s">
        <v>#N/A N/A</v>
        <stp/>
        <stp>BDP|15627753400942766311</stp>
        <tr r="N87" s="2"/>
      </tp>
      <tp t="s">
        <v>#N/A N/A</v>
        <stp/>
        <stp>BDP|11303667569254140682</stp>
        <tr r="Q47" s="2"/>
      </tp>
      <tp t="s">
        <v>#N/A N/A</v>
        <stp/>
        <stp>BDP|11049850551469424650</stp>
        <tr r="AA123" s="2"/>
      </tp>
      <tp t="s">
        <v>#N/A N/A</v>
        <stp/>
        <stp>BDP|16965827768628473322</stp>
        <tr r="S213" s="2"/>
      </tp>
      <tp t="s">
        <v>#N/A N/A</v>
        <stp/>
        <stp>BDP|11406444061889392974</stp>
        <tr r="D59" s="2"/>
      </tp>
      <tp t="s">
        <v>#N/A N/A</v>
        <stp/>
        <stp>BDP|18429962017687831485</stp>
        <tr r="P189" s="2"/>
      </tp>
      <tp t="s">
        <v>#N/A N/A</v>
        <stp/>
        <stp>BDP|17841764069841566479</stp>
        <tr r="G213" s="2"/>
      </tp>
      <tp t="s">
        <v>#N/A N/A</v>
        <stp/>
        <stp>BDP|12445330422474227426</stp>
        <tr r="H152" s="2"/>
      </tp>
      <tp t="s">
        <v>#N/A N/A</v>
        <stp/>
        <stp>BDP|11886669474825616681</stp>
        <tr r="S85" s="2"/>
      </tp>
      <tp t="s">
        <v>#N/A N/A</v>
        <stp/>
        <stp>BDP|17405844612885478823</stp>
        <tr r="B103" s="2"/>
      </tp>
      <tp t="s">
        <v>#N/A N/A</v>
        <stp/>
        <stp>BDP|12510317223622469279</stp>
        <tr r="I168" s="2"/>
      </tp>
      <tp t="s">
        <v>#N/A N/A</v>
        <stp/>
        <stp>BDP|12366609961414172572</stp>
        <tr r="P157" s="2"/>
      </tp>
      <tp t="s">
        <v>#N/A N/A</v>
        <stp/>
        <stp>BDP|15640039957040115372</stp>
        <tr r="I232" s="2"/>
      </tp>
      <tp t="s">
        <v>#N/A N/A</v>
        <stp/>
        <stp>BDP|13336444777881572214</stp>
        <tr r="T146" s="2"/>
      </tp>
      <tp t="s">
        <v>#N/A N/A</v>
        <stp/>
        <stp>BDP|16829354300474923201</stp>
        <tr r="X45" s="2"/>
      </tp>
      <tp t="s">
        <v>#N/A N/A</v>
        <stp/>
        <stp>BDP|10433475322407079255</stp>
        <tr r="N157" s="2"/>
      </tp>
      <tp t="s">
        <v>#N/A N/A</v>
        <stp/>
        <stp>BDP|16419519021172006009</stp>
        <tr r="I182" s="2"/>
      </tp>
      <tp t="s">
        <v>#N/A N/A</v>
        <stp/>
        <stp>BDP|13021385282179807266</stp>
        <tr r="Z48" s="2"/>
      </tp>
      <tp t="s">
        <v>#N/A N/A</v>
        <stp/>
        <stp>BDP|10378812283622328167</stp>
        <tr r="D110" s="2"/>
      </tp>
      <tp t="s">
        <v>#N/A N/A</v>
        <stp/>
        <stp>BDP|16401144763507775503</stp>
        <tr r="Z35" s="2"/>
      </tp>
      <tp t="s">
        <v>#N/A N/A</v>
        <stp/>
        <stp>BDP|18421678380066596327</stp>
        <tr r="H72" s="2"/>
      </tp>
      <tp t="s">
        <v>#N/A N/A</v>
        <stp/>
        <stp>BDP|14278281501173897645</stp>
        <tr r="V109" s="2"/>
      </tp>
      <tp t="s">
        <v>#N/A N/A</v>
        <stp/>
        <stp>BDP|10715631614551669518</stp>
        <tr r="N185" s="2"/>
      </tp>
      <tp t="s">
        <v>#N/A N/A</v>
        <stp/>
        <stp>BDP|15102654178164282396</stp>
        <tr r="D107" s="2"/>
      </tp>
      <tp t="s">
        <v>#N/A N/A</v>
        <stp/>
        <stp>BDP|12311100824393422149</stp>
        <tr r="H186" s="2"/>
      </tp>
      <tp t="s">
        <v>#N/A N/A</v>
        <stp/>
        <stp>BDP|16563039705133752636</stp>
        <tr r="B43" s="2"/>
      </tp>
      <tp t="s">
        <v>#N/A N/A</v>
        <stp/>
        <stp>BDP|14037500742166798027</stp>
        <tr r="H148" s="2"/>
      </tp>
      <tp t="s">
        <v>#N/A N/A</v>
        <stp/>
        <stp>BDP|13637250184862550852</stp>
        <tr r="AE67" s="2"/>
      </tp>
      <tp t="s">
        <v>#N/A N/A</v>
        <stp/>
        <stp>BDP|14084644180121278819</stp>
        <tr r="Z111" s="2"/>
      </tp>
      <tp t="s">
        <v>#N/A N/A</v>
        <stp/>
        <stp>BDP|17852114837555078390</stp>
        <tr r="AA86" s="2"/>
      </tp>
      <tp t="s">
        <v>#N/A N/A</v>
        <stp/>
        <stp>BDP|15144277005034676025</stp>
        <tr r="E84" s="2"/>
      </tp>
      <tp t="s">
        <v>#N/A N/A</v>
        <stp/>
        <stp>BDP|11467861083532702015</stp>
        <tr r="E211" s="2"/>
      </tp>
      <tp t="s">
        <v>#N/A N/A</v>
        <stp/>
        <stp>BDP|16050866973352609845</stp>
        <tr r="H202" s="2"/>
      </tp>
      <tp t="s">
        <v>#N/A N/A</v>
        <stp/>
        <stp>BDP|11324560595046080861</stp>
        <tr r="X62" s="2"/>
      </tp>
      <tp t="s">
        <v>#N/A N/A</v>
        <stp/>
        <stp>BDP|15899103846396973514</stp>
        <tr r="Q90" s="2"/>
      </tp>
      <tp t="s">
        <v>#N/A N/A</v>
        <stp/>
        <stp>BDP|16393403539370457286</stp>
        <tr r="T3" s="2"/>
      </tp>
      <tp t="s">
        <v>#N/A N/A</v>
        <stp/>
        <stp>BDP|10608897464725887857</stp>
        <tr r="U26" s="2"/>
      </tp>
      <tp t="s">
        <v>#N/A N/A</v>
        <stp/>
        <stp>BDP|14432545512891333270</stp>
        <tr r="AA58" s="2"/>
      </tp>
      <tp t="s">
        <v>#N/A N/A</v>
        <stp/>
        <stp>BDP|15631020128850925438</stp>
        <tr r="Q10" s="2"/>
      </tp>
      <tp t="s">
        <v>#N/A N/A</v>
        <stp/>
        <stp>BDP|17770956867239615252</stp>
        <tr r="N82" s="2"/>
      </tp>
      <tp t="s">
        <v>#N/A N/A</v>
        <stp/>
        <stp>BDP|14665620450243201703</stp>
        <tr r="H197" s="2"/>
      </tp>
      <tp t="s">
        <v>#N/A N/A</v>
        <stp/>
        <stp>BDP|12814567373092949124</stp>
        <tr r="M116" s="2"/>
      </tp>
      <tp t="s">
        <v>#N/A N/A</v>
        <stp/>
        <stp>BDP|11212323787189053013</stp>
        <tr r="AB159" s="2"/>
      </tp>
      <tp t="s">
        <v>#N/A N/A</v>
        <stp/>
        <stp>BDP|15782430876806742331</stp>
        <tr r="U8" s="2"/>
      </tp>
      <tp t="s">
        <v>#N/A N/A</v>
        <stp/>
        <stp>BDP|17640043456550126135</stp>
        <tr r="AD140" s="2"/>
      </tp>
      <tp t="s">
        <v>#N/A N/A</v>
        <stp/>
        <stp>BDP|18145211642915202869</stp>
        <tr r="Y231" s="2"/>
      </tp>
      <tp t="s">
        <v>#N/A N/A</v>
        <stp/>
        <stp>BDP|10169348369784652137</stp>
        <tr r="L203" s="2"/>
      </tp>
      <tp t="s">
        <v>#N/A N/A</v>
        <stp/>
        <stp>BDP|17846735075502373549</stp>
        <tr r="Y205" s="2"/>
      </tp>
      <tp t="s">
        <v>#N/A N/A</v>
        <stp/>
        <stp>BDP|11577714215145827208</stp>
        <tr r="N100" s="2"/>
      </tp>
      <tp t="s">
        <v>#N/A N/A</v>
        <stp/>
        <stp>BDP|17704036449205294662</stp>
        <tr r="AB81" s="2"/>
      </tp>
      <tp t="s">
        <v>#N/A N/A</v>
        <stp/>
        <stp>BDP|11759969487947996762</stp>
        <tr r="P124" s="2"/>
      </tp>
      <tp t="s">
        <v>#N/A N/A</v>
        <stp/>
        <stp>BDP|16979998803069294688</stp>
        <tr r="F26" s="2"/>
      </tp>
      <tp t="s">
        <v>#N/A N/A</v>
        <stp/>
        <stp>BDP|17929279586284763969</stp>
        <tr r="AB49" s="2"/>
      </tp>
      <tp t="s">
        <v>#N/A N/A</v>
        <stp/>
        <stp>BDP|10941140964312345536</stp>
        <tr r="AE175" s="2"/>
      </tp>
      <tp t="s">
        <v>#N/A N/A</v>
        <stp/>
        <stp>BDP|13921200225185154643</stp>
        <tr r="V208" s="2"/>
      </tp>
      <tp t="s">
        <v>#N/A N/A</v>
        <stp/>
        <stp>BDP|10467873409568143020</stp>
        <tr r="Y59" s="2"/>
      </tp>
      <tp t="s">
        <v>#N/A N/A</v>
        <stp/>
        <stp>BDP|11881790358250714362</stp>
        <tr r="AE86" s="2"/>
      </tp>
      <tp t="s">
        <v>#N/A N/A</v>
        <stp/>
        <stp>BDP|17756979932014819920</stp>
        <tr r="V29" s="2"/>
      </tp>
      <tp t="s">
        <v>#N/A N/A</v>
        <stp/>
        <stp>BDP|15670281416444391236</stp>
        <tr r="F47" s="2"/>
      </tp>
      <tp t="s">
        <v>#N/A N/A</v>
        <stp/>
        <stp>BDP|15815878562488258375</stp>
        <tr r="U200" s="2"/>
      </tp>
      <tp t="s">
        <v>#N/A N/A</v>
        <stp/>
        <stp>BDP|13573033949332203554</stp>
        <tr r="I86" s="2"/>
      </tp>
      <tp t="s">
        <v>#N/A N/A</v>
        <stp/>
        <stp>BDP|11161595205006027251</stp>
        <tr r="E14" s="2"/>
      </tp>
      <tp t="s">
        <v>#N/A N/A</v>
        <stp/>
        <stp>BDP|11263473364377004491</stp>
        <tr r="X15" s="2"/>
      </tp>
      <tp t="s">
        <v>#N/A N/A</v>
        <stp/>
        <stp>BDP|16039717256550675493</stp>
        <tr r="X167" s="2"/>
      </tp>
      <tp t="s">
        <v>#N/A N/A</v>
        <stp/>
        <stp>BDP|16658808361169603198</stp>
        <tr r="H51" s="2"/>
      </tp>
      <tp t="s">
        <v>#N/A N/A</v>
        <stp/>
        <stp>BDP|10518746373619930936</stp>
        <tr r="C94" s="2"/>
      </tp>
      <tp t="s">
        <v>#N/A N/A</v>
        <stp/>
        <stp>BDP|11477326837998957909</stp>
        <tr r="G103" s="2"/>
      </tp>
      <tp t="s">
        <v>#N/A N/A</v>
        <stp/>
        <stp>BDP|13095633998294757876</stp>
        <tr r="B9" s="2"/>
      </tp>
      <tp t="s">
        <v>#N/A N/A</v>
        <stp/>
        <stp>BDP|10783756945116469583</stp>
        <tr r="U209" s="2"/>
      </tp>
      <tp t="s">
        <v>#N/A N/A</v>
        <stp/>
        <stp>BDP|11610184167291198737</stp>
        <tr r="F138" s="2"/>
      </tp>
      <tp t="s">
        <v>#N/A N/A</v>
        <stp/>
        <stp>BDP|11997473412781677512</stp>
        <tr r="X127" s="2"/>
      </tp>
      <tp t="s">
        <v>#N/A N/A</v>
        <stp/>
        <stp>BDP|10551034517222999332</stp>
        <tr r="Y211" s="2"/>
      </tp>
      <tp t="s">
        <v>#N/A N/A</v>
        <stp/>
        <stp>BDP|12587990824300720946</stp>
        <tr r="AA106" s="2"/>
      </tp>
      <tp t="s">
        <v>#N/A N/A</v>
        <stp/>
        <stp>BDP|10906238166197777300</stp>
        <tr r="D9" s="2"/>
      </tp>
      <tp t="s">
        <v>#N/A N/A</v>
        <stp/>
        <stp>BDP|10554786644835543671</stp>
        <tr r="H76" s="2"/>
      </tp>
      <tp t="s">
        <v>#N/A N/A</v>
        <stp/>
        <stp>BDP|11462944087816917657</stp>
        <tr r="X230" s="2"/>
      </tp>
      <tp t="s">
        <v>#N/A N/A</v>
        <stp/>
        <stp>BDP|13261887085693434005</stp>
        <tr r="V223" s="2"/>
      </tp>
      <tp t="s">
        <v>#N/A N/A</v>
        <stp/>
        <stp>BDP|13214557520774896048</stp>
        <tr r="AC158" s="2"/>
      </tp>
      <tp t="s">
        <v>#N/A N/A</v>
        <stp/>
        <stp>BDP|16753684029686439494</stp>
        <tr r="Z118" s="2"/>
      </tp>
      <tp t="s">
        <v>#N/A N/A</v>
        <stp/>
        <stp>BDP|16863310183094371926</stp>
        <tr r="O92" s="2"/>
      </tp>
      <tp t="s">
        <v>#N/A N/A</v>
        <stp/>
        <stp>BDP|16422580224022669352</stp>
        <tr r="C67" s="2"/>
      </tp>
      <tp t="s">
        <v>#N/A N/A</v>
        <stp/>
        <stp>BDP|11748735579036103774</stp>
        <tr r="C222" s="2"/>
      </tp>
      <tp t="s">
        <v>#N/A N/A</v>
        <stp/>
        <stp>BDP|11867662497719134735</stp>
        <tr r="K109" s="2"/>
        <tr r="R109" s="2"/>
        <tr r="W109" s="2"/>
      </tp>
      <tp t="s">
        <v>#N/A N/A</v>
        <stp/>
        <stp>BDP|13885011186982294972</stp>
        <tr r="AA39" s="2"/>
      </tp>
      <tp t="s">
        <v>#N/A N/A</v>
        <stp/>
        <stp>BDP|17374980521939206524</stp>
        <tr r="AC41" s="2"/>
      </tp>
      <tp t="s">
        <v>#N/A N/A</v>
        <stp/>
        <stp>BDP|16455776349251092400</stp>
        <tr r="M233" s="2"/>
      </tp>
      <tp t="s">
        <v>#N/A N/A</v>
        <stp/>
        <stp>BDP|16329430200022381095</stp>
        <tr r="V206" s="2"/>
      </tp>
      <tp t="s">
        <v>#N/A N/A</v>
        <stp/>
        <stp>BDP|12341288806258357844</stp>
        <tr r="P188" s="2"/>
      </tp>
      <tp t="s">
        <v>#N/A N/A</v>
        <stp/>
        <stp>BDP|14034828873579328283</stp>
        <tr r="H135" s="2"/>
      </tp>
      <tp t="s">
        <v>#N/A N/A</v>
        <stp/>
        <stp>BDP|15454507739583689011</stp>
        <tr r="K114" s="2"/>
        <tr r="R114" s="2"/>
        <tr r="W114" s="2"/>
      </tp>
      <tp t="s">
        <v>#N/A N/A</v>
        <stp/>
        <stp>BDP|14010562978220772635</stp>
        <tr r="Y70" s="2"/>
      </tp>
      <tp t="s">
        <v>#N/A N/A</v>
        <stp/>
        <stp>BDP|13203146029755533501</stp>
        <tr r="X152" s="2"/>
      </tp>
      <tp t="s">
        <v>#N/A N/A</v>
        <stp/>
        <stp>BDP|15273385823241431571</stp>
        <tr r="X4" s="2"/>
      </tp>
      <tp t="s">
        <v>#N/A N/A</v>
        <stp/>
        <stp>BDP|17314482035191339170</stp>
        <tr r="I101" s="2"/>
      </tp>
      <tp t="s">
        <v>#N/A N/A</v>
        <stp/>
        <stp>BDP|10864900088373272282</stp>
        <tr r="AB59" s="2"/>
      </tp>
      <tp t="s">
        <v>#N/A N/A</v>
        <stp/>
        <stp>BDP|15612510342567620391</stp>
        <tr r="M88" s="2"/>
      </tp>
      <tp t="s">
        <v>#N/A N/A</v>
        <stp/>
        <stp>BDP|10660231364986882230</stp>
        <tr r="Z8" s="2"/>
      </tp>
      <tp t="s">
        <v>#N/A N/A</v>
        <stp/>
        <stp>BDP|14829379065667376641</stp>
        <tr r="U18" s="2"/>
      </tp>
      <tp t="s">
        <v>#N/A N/A</v>
        <stp/>
        <stp>BDP|16837979299581814734</stp>
        <tr r="L183" s="2"/>
      </tp>
      <tp t="s">
        <v>#N/A N/A</v>
        <stp/>
        <stp>BDP|17886674926496109551</stp>
        <tr r="G31" s="2"/>
      </tp>
      <tp t="s">
        <v>#N/A N/A</v>
        <stp/>
        <stp>BDP|15894262146245077653</stp>
        <tr r="AA147" s="2"/>
      </tp>
      <tp t="s">
        <v>#N/A N/A</v>
        <stp/>
        <stp>BDP|14760434705440535096</stp>
        <tr r="AD94" s="2"/>
      </tp>
      <tp t="s">
        <v>#N/A N/A</v>
        <stp/>
        <stp>BDP|15613320586809712788</stp>
        <tr r="M45" s="2"/>
      </tp>
      <tp t="s">
        <v>#N/A N/A</v>
        <stp/>
        <stp>BDP|16951589242117787092</stp>
        <tr r="AB101" s="2"/>
      </tp>
      <tp t="s">
        <v>#N/A N/A</v>
        <stp/>
        <stp>BDP|10059121559266697214</stp>
        <tr r="K36" s="2"/>
        <tr r="R36" s="2"/>
        <tr r="W36" s="2"/>
      </tp>
      <tp t="s">
        <v>#N/A N/A</v>
        <stp/>
        <stp>BDP|15877264184077680800</stp>
        <tr r="N109" s="2"/>
      </tp>
      <tp t="s">
        <v>#N/A N/A</v>
        <stp/>
        <stp>BDP|12615783858191992135</stp>
        <tr r="G25" s="2"/>
      </tp>
      <tp t="s">
        <v>#N/A N/A</v>
        <stp/>
        <stp>BDP|12955206710034692537</stp>
        <tr r="X212" s="2"/>
      </tp>
      <tp t="s">
        <v>#N/A N/A</v>
        <stp/>
        <stp>BDP|12309623428261577705</stp>
        <tr r="S51" s="2"/>
      </tp>
      <tp t="s">
        <v>#N/A N/A</v>
        <stp/>
        <stp>BDP|16031552306831727288</stp>
        <tr r="Z196" s="2"/>
      </tp>
      <tp t="s">
        <v>#N/A N/A</v>
        <stp/>
        <stp>BDP|16980159522754130136</stp>
        <tr r="V116" s="2"/>
      </tp>
      <tp t="s">
        <v>#N/A N/A</v>
        <stp/>
        <stp>BDP|14059617527591326196</stp>
        <tr r="X57" s="2"/>
      </tp>
      <tp t="s">
        <v>#N/A N/A</v>
        <stp/>
        <stp>BDP|16328696955635235010</stp>
        <tr r="E147" s="2"/>
      </tp>
      <tp t="s">
        <v>#N/A N/A</v>
        <stp/>
        <stp>BDP|10379442421123339596</stp>
        <tr r="L161" s="2"/>
      </tp>
      <tp t="s">
        <v>#N/A N/A</v>
        <stp/>
        <stp>BDP|12341490429473954765</stp>
        <tr r="AB105" s="2"/>
      </tp>
      <tp t="s">
        <v>#N/A N/A</v>
        <stp/>
        <stp>BDP|17621932663719360196</stp>
        <tr r="C50" s="2"/>
      </tp>
      <tp t="s">
        <v>#N/A N/A</v>
        <stp/>
        <stp>BDP|18236713958478047274</stp>
        <tr r="T24" s="2"/>
      </tp>
      <tp t="s">
        <v>#N/A N/A</v>
        <stp/>
        <stp>BDP|18041908257704932013</stp>
        <tr r="F85" s="2"/>
      </tp>
      <tp t="s">
        <v>#N/A N/A</v>
        <stp/>
        <stp>BDP|15857761291218293327</stp>
        <tr r="AA78" s="2"/>
      </tp>
      <tp t="s">
        <v>#N/A N/A</v>
        <stp/>
        <stp>BDP|12980358817225159558</stp>
        <tr r="M55" s="2"/>
      </tp>
      <tp t="s">
        <v>#N/A N/A</v>
        <stp/>
        <stp>BDP|16047332858057492703</stp>
        <tr r="N188" s="2"/>
      </tp>
      <tp t="s">
        <v>#N/A N/A</v>
        <stp/>
        <stp>BDP|10037458527163414597</stp>
        <tr r="Y22" s="2"/>
      </tp>
      <tp t="s">
        <v>#N/A N/A</v>
        <stp/>
        <stp>BDP|15039036603695792089</stp>
        <tr r="X172" s="2"/>
      </tp>
      <tp t="s">
        <v>#N/A N/A</v>
        <stp/>
        <stp>BDP|18378553134936560889</stp>
        <tr r="M35" s="2"/>
      </tp>
      <tp t="s">
        <v>#N/A N/A</v>
        <stp/>
        <stp>BDP|17905216022274016357</stp>
        <tr r="AD162" s="2"/>
      </tp>
      <tp t="s">
        <v>#N/A N/A</v>
        <stp/>
        <stp>BDP|13088538070977405688</stp>
        <tr r="L149" s="2"/>
      </tp>
      <tp t="s">
        <v>#N/A N/A</v>
        <stp/>
        <stp>BDP|17304284920125739237</stp>
        <tr r="G110" s="2"/>
      </tp>
      <tp t="s">
        <v>#N/A N/A</v>
        <stp/>
        <stp>BDP|11763256078013228772</stp>
        <tr r="D66" s="2"/>
      </tp>
      <tp t="s">
        <v>#N/A N/A</v>
        <stp/>
        <stp>BDP|15100161254205853441</stp>
        <tr r="D157" s="2"/>
      </tp>
      <tp t="s">
        <v>#N/A N/A</v>
        <stp/>
        <stp>BDP|11314492247151271002</stp>
        <tr r="C143" s="2"/>
      </tp>
      <tp t="s">
        <v>#N/A N/A</v>
        <stp/>
        <stp>BDP|10073857299307029637</stp>
        <tr r="U12" s="2"/>
      </tp>
      <tp t="s">
        <v>#N/A N/A</v>
        <stp/>
        <stp>BDP|16502298419611233496</stp>
        <tr r="N173" s="2"/>
      </tp>
      <tp t="s">
        <v>#N/A N/A</v>
        <stp/>
        <stp>BDP|12818016942563414519</stp>
        <tr r="N147" s="2"/>
      </tp>
      <tp t="s">
        <v>#N/A N/A</v>
        <stp/>
        <stp>BDP|17499567132481625081</stp>
        <tr r="X84" s="2"/>
      </tp>
      <tp t="s">
        <v>#N/A N/A</v>
        <stp/>
        <stp>BDP|17969953035875339846</stp>
        <tr r="Q106" s="2"/>
      </tp>
      <tp t="s">
        <v>#N/A N/A</v>
        <stp/>
        <stp>BDP|16566397272130906298</stp>
        <tr r="X151" s="2"/>
      </tp>
      <tp t="s">
        <v>#N/A N/A</v>
        <stp/>
        <stp>BDP|15041619437722135291</stp>
        <tr r="T28" s="2"/>
      </tp>
      <tp t="s">
        <v>#N/A N/A</v>
        <stp/>
        <stp>BDP|12157468200925036398</stp>
        <tr r="U131" s="2"/>
      </tp>
      <tp t="s">
        <v>#N/A N/A</v>
        <stp/>
        <stp>BDP|10087754218764746243</stp>
        <tr r="S33" s="2"/>
      </tp>
      <tp t="s">
        <v>#N/A N/A</v>
        <stp/>
        <stp>BDP|12286722539902561429</stp>
        <tr r="K168" s="2"/>
        <tr r="R168" s="2"/>
        <tr r="W168" s="2"/>
      </tp>
      <tp t="s">
        <v>#N/A N/A</v>
        <stp/>
        <stp>BDP|17183232568294682722</stp>
        <tr r="I92" s="2"/>
      </tp>
      <tp t="s">
        <v>#N/A N/A</v>
        <stp/>
        <stp>BDP|13796422104482864578</stp>
        <tr r="N196" s="2"/>
      </tp>
      <tp t="s">
        <v>#N/A N/A</v>
        <stp/>
        <stp>BDP|16046279455390576199</stp>
        <tr r="K49" s="2"/>
        <tr r="R49" s="2"/>
        <tr r="W49" s="2"/>
      </tp>
      <tp t="s">
        <v>#N/A N/A</v>
        <stp/>
        <stp>BDP|16843491714575979627</stp>
        <tr r="Z67" s="2"/>
      </tp>
      <tp t="s">
        <v>#N/A N/A</v>
        <stp/>
        <stp>BDP|10406576592888625499</stp>
        <tr r="AD2" s="2"/>
      </tp>
      <tp t="s">
        <v>#N/A N/A</v>
        <stp/>
        <stp>BDP|14558204063654390445</stp>
        <tr r="AD192" s="2"/>
      </tp>
      <tp t="s">
        <v>#N/A N/A</v>
        <stp/>
        <stp>BDP|16880637366400506690</stp>
        <tr r="K153" s="2"/>
        <tr r="R153" s="2"/>
        <tr r="W153" s="2"/>
      </tp>
      <tp t="s">
        <v>#N/A N/A</v>
        <stp/>
        <stp>BDP|14803096149077997705</stp>
        <tr r="K138" s="2"/>
        <tr r="R138" s="2"/>
        <tr r="W138" s="2"/>
      </tp>
      <tp t="s">
        <v>#N/A N/A</v>
        <stp/>
        <stp>BDP|14444278487117152941</stp>
        <tr r="L107" s="2"/>
      </tp>
      <tp t="s">
        <v>#N/A N/A</v>
        <stp/>
        <stp>BDP|11536671213002321438</stp>
        <tr r="N39" s="2"/>
      </tp>
      <tp t="s">
        <v>#N/A N/A</v>
        <stp/>
        <stp>BDP|10349816372116858998</stp>
        <tr r="AC10" s="2"/>
      </tp>
      <tp t="s">
        <v>#N/A N/A</v>
        <stp/>
        <stp>BDP|10991486146549122975</stp>
        <tr r="AA49" s="2"/>
      </tp>
      <tp t="s">
        <v>#N/A N/A</v>
        <stp/>
        <stp>BDP|10875602421860931412</stp>
        <tr r="P60" s="2"/>
      </tp>
      <tp t="s">
        <v>#N/A N/A</v>
        <stp/>
        <stp>BDP|12733430206354306202</stp>
        <tr r="F79" s="2"/>
      </tp>
      <tp t="s">
        <v>#N/A N/A</v>
        <stp/>
        <stp>BDP|17717325405786417253</stp>
        <tr r="B47" s="2"/>
      </tp>
      <tp t="s">
        <v>#N/A N/A</v>
        <stp/>
        <stp>BDP|16422955861169381028</stp>
        <tr r="C59" s="2"/>
      </tp>
      <tp t="s">
        <v>#N/A N/A</v>
        <stp/>
        <stp>BDP|17741747619373214297</stp>
        <tr r="P47" s="2"/>
      </tp>
      <tp t="s">
        <v>#N/A N/A</v>
        <stp/>
        <stp>BDP|11703147814657714615</stp>
        <tr r="I66" s="2"/>
      </tp>
      <tp t="s">
        <v>#N/A N/A</v>
        <stp/>
        <stp>BDP|16955257037394806324</stp>
        <tr r="Q227" s="2"/>
      </tp>
      <tp t="s">
        <v>#N/A N/A</v>
        <stp/>
        <stp>BDP|13402476419897281192</stp>
        <tr r="Z23" s="2"/>
      </tp>
      <tp t="s">
        <v>#N/A N/A</v>
        <stp/>
        <stp>BDP|14341003195469110466</stp>
        <tr r="D58" s="2"/>
      </tp>
      <tp t="s">
        <v>#N/A N/A</v>
        <stp/>
        <stp>BDP|10116373004201566262</stp>
        <tr r="N101" s="2"/>
      </tp>
      <tp t="s">
        <v>#N/A N/A</v>
        <stp/>
        <stp>BDP|15797662336308361847</stp>
        <tr r="U24" s="2"/>
      </tp>
      <tp t="s">
        <v>#N/A N/A</v>
        <stp/>
        <stp>BDP|10394104487928796134</stp>
        <tr r="M83" s="2"/>
      </tp>
      <tp t="s">
        <v>#N/A N/A</v>
        <stp/>
        <stp>BDP|15200842736879763775</stp>
        <tr r="AD158" s="2"/>
      </tp>
      <tp t="s">
        <v>#N/A N/A</v>
        <stp/>
        <stp>BDP|11613876760979161601</stp>
        <tr r="M42" s="2"/>
      </tp>
      <tp t="s">
        <v>#N/A N/A</v>
        <stp/>
        <stp>BDP|12398822441778337630</stp>
        <tr r="AE83" s="2"/>
      </tp>
      <tp t="s">
        <v>#N/A N/A</v>
        <stp/>
        <stp>BDP|18185952439654518683</stp>
        <tr r="L15" s="2"/>
      </tp>
      <tp t="s">
        <v>#N/A N/A</v>
        <stp/>
        <stp>BDP|16997816593053841437</stp>
        <tr r="I220" s="2"/>
      </tp>
      <tp t="s">
        <v>#N/A N/A</v>
        <stp/>
        <stp>BDP|10371329073063490766</stp>
        <tr r="D14" s="2"/>
      </tp>
      <tp t="s">
        <v>#N/A N/A</v>
        <stp/>
        <stp>BDP|14025220272721311033</stp>
        <tr r="AA129" s="2"/>
      </tp>
      <tp t="s">
        <v>#N/A N/A</v>
        <stp/>
        <stp>BDP|17602494770340665497</stp>
        <tr r="Q186" s="2"/>
      </tp>
      <tp t="s">
        <v>#N/A N/A</v>
        <stp/>
        <stp>BDP|15741484535087839526</stp>
        <tr r="O91" s="2"/>
      </tp>
      <tp t="s">
        <v>#N/A N/A</v>
        <stp/>
        <stp>BDP|17993838899896826080</stp>
        <tr r="AB229" s="2"/>
      </tp>
      <tp t="s">
        <v>#N/A N/A</v>
        <stp/>
        <stp>BDP|11460529399968496585</stp>
        <tr r="K175" s="2"/>
        <tr r="R175" s="2"/>
        <tr r="W175" s="2"/>
      </tp>
      <tp t="s">
        <v>#N/A N/A</v>
        <stp/>
        <stp>BDP|14204137500960023525</stp>
        <tr r="G162" s="2"/>
      </tp>
      <tp t="s">
        <v>#N/A N/A</v>
        <stp/>
        <stp>BDP|14906517801167265688</stp>
        <tr r="H25" s="2"/>
      </tp>
      <tp t="s">
        <v>#N/A N/A</v>
        <stp/>
        <stp>BDP|14755458717708025960</stp>
        <tr r="H187" s="2"/>
      </tp>
      <tp t="s">
        <v>#N/A N/A</v>
        <stp/>
        <stp>BDP|13398114750696076113</stp>
        <tr r="N217" s="2"/>
      </tp>
      <tp t="s">
        <v>#N/A N/A</v>
        <stp/>
        <stp>BDP|10974504056748402889</stp>
        <tr r="AD56" s="2"/>
      </tp>
      <tp t="s">
        <v>#N/A N/A</v>
        <stp/>
        <stp>BDP|17013600063365808281</stp>
        <tr r="AB188" s="2"/>
      </tp>
      <tp t="s">
        <v>#N/A N/A</v>
        <stp/>
        <stp>BDP|15144726734969309879</stp>
        <tr r="Q183" s="2"/>
      </tp>
      <tp t="s">
        <v>#N/A N/A</v>
        <stp/>
        <stp>BDP|10524000709133913360</stp>
        <tr r="AE34" s="2"/>
      </tp>
      <tp t="s">
        <v>#N/A N/A</v>
        <stp/>
        <stp>BDP|15378786038041408040</stp>
        <tr r="O186" s="2"/>
      </tp>
      <tp t="s">
        <v>#N/A N/A</v>
        <stp/>
        <stp>BDP|16239920830219797549</stp>
        <tr r="G145" s="2"/>
      </tp>
      <tp t="s">
        <v>#N/A N/A</v>
        <stp/>
        <stp>BDP|14079989226317499894</stp>
        <tr r="C148" s="2"/>
      </tp>
      <tp t="s">
        <v>#N/A N/A</v>
        <stp/>
        <stp>BDP|14037879276219294204</stp>
        <tr r="AE168" s="2"/>
      </tp>
      <tp t="s">
        <v>#N/A N/A</v>
        <stp/>
        <stp>BDP|14625672125317515738</stp>
        <tr r="Y192" s="2"/>
      </tp>
      <tp t="s">
        <v>#N/A N/A</v>
        <stp/>
        <stp>BDP|10335741352932520020</stp>
        <tr r="H210" s="2"/>
      </tp>
      <tp t="s">
        <v>#N/A N/A</v>
        <stp/>
        <stp>BDP|12581762858479839914</stp>
        <tr r="H226" s="2"/>
      </tp>
      <tp t="s">
        <v>#N/A N/A</v>
        <stp/>
        <stp>BDP|11860567776133816028</stp>
        <tr r="L77" s="2"/>
      </tp>
      <tp t="s">
        <v>#N/A N/A</v>
        <stp/>
        <stp>BDP|16669600947902532664</stp>
        <tr r="AE123" s="2"/>
      </tp>
      <tp t="s">
        <v>#N/A N/A</v>
        <stp/>
        <stp>BDP|10105643540962317046</stp>
        <tr r="T189" s="2"/>
      </tp>
      <tp t="s">
        <v>#N/A N/A</v>
        <stp/>
        <stp>BDP|15112557000538060868</stp>
        <tr r="AB186" s="2"/>
      </tp>
      <tp t="s">
        <v>#N/A N/A</v>
        <stp/>
        <stp>BDP|10160635244860749233</stp>
        <tr r="O155" s="2"/>
      </tp>
      <tp t="s">
        <v>#N/A N/A</v>
        <stp/>
        <stp>BDP|14461451280171567963</stp>
        <tr r="M47" s="2"/>
      </tp>
      <tp t="s">
        <v>#N/A N/A</v>
        <stp/>
        <stp>BDP|16242450641611366775</stp>
        <tr r="D125" s="2"/>
      </tp>
      <tp t="s">
        <v>#N/A N/A</v>
        <stp/>
        <stp>BDP|16845544575676321284</stp>
        <tr r="B125" s="2"/>
      </tp>
      <tp t="s">
        <v>#N/A N/A</v>
        <stp/>
        <stp>BDP|14290638422939878998</stp>
        <tr r="X111" s="2"/>
      </tp>
      <tp t="s">
        <v>#N/A N/A</v>
        <stp/>
        <stp>BDP|12081755964890639351</stp>
        <tr r="C116" s="2"/>
      </tp>
      <tp t="s">
        <v>#N/A N/A</v>
        <stp/>
        <stp>BDP|14526558332385266728</stp>
        <tr r="Z211" s="2"/>
      </tp>
      <tp t="s">
        <v>#N/A N/A</v>
        <stp/>
        <stp>BDP|12001157303414769731</stp>
        <tr r="L62" s="2"/>
      </tp>
      <tp t="s">
        <v>#N/A N/A</v>
        <stp/>
        <stp>BDP|10500249664616277221</stp>
        <tr r="H45" s="2"/>
      </tp>
      <tp t="s">
        <v>#N/A N/A</v>
        <stp/>
        <stp>BDP|17786111363709323934</stp>
        <tr r="AB191" s="2"/>
      </tp>
      <tp t="s">
        <v>#N/A N/A</v>
        <stp/>
        <stp>BDP|10409017520160801288</stp>
        <tr r="D113" s="2"/>
      </tp>
      <tp t="s">
        <v>#N/A N/A</v>
        <stp/>
        <stp>BDP|13688166800314754625</stp>
        <tr r="X143" s="2"/>
      </tp>
      <tp t="s">
        <v>#N/A N/A</v>
        <stp/>
        <stp>BDP|16232893920968654480</stp>
        <tr r="S156" s="2"/>
      </tp>
      <tp t="s">
        <v>#N/A N/A</v>
        <stp/>
        <stp>BDP|15952622804112276182</stp>
        <tr r="P91" s="2"/>
      </tp>
      <tp t="s">
        <v>#N/A N/A</v>
        <stp/>
        <stp>BDP|11822380828578837856</stp>
        <tr r="N216" s="2"/>
      </tp>
      <tp t="s">
        <v>#N/A N/A</v>
        <stp/>
        <stp>BDP|15204720667911472568</stp>
        <tr r="M210" s="2"/>
      </tp>
      <tp t="s">
        <v>#N/A N/A</v>
        <stp/>
        <stp>BDP|12619269943307140379</stp>
        <tr r="Q188" s="2"/>
      </tp>
      <tp t="s">
        <v>#N/A N/A</v>
        <stp/>
        <stp>BDP|15624096689294243917</stp>
        <tr r="S233" s="2"/>
      </tp>
      <tp t="s">
        <v>#N/A N/A</v>
        <stp/>
        <stp>BDP|16372650464732234456</stp>
        <tr r="D209" s="2"/>
      </tp>
      <tp t="s">
        <v>#N/A N/A</v>
        <stp/>
        <stp>BDP|13570905830868302123</stp>
        <tr r="L234" s="2"/>
      </tp>
      <tp t="s">
        <v>#N/A N/A</v>
        <stp/>
        <stp>BDP|16716393754854925470</stp>
        <tr r="E181" s="2"/>
      </tp>
      <tp t="s">
        <v>#N/A N/A</v>
        <stp/>
        <stp>BDP|18287806237651838295</stp>
        <tr r="AB41" s="2"/>
      </tp>
      <tp t="s">
        <v>#N/A N/A</v>
        <stp/>
        <stp>BDP|12182176738065341594</stp>
        <tr r="T181" s="2"/>
      </tp>
      <tp t="s">
        <v>#N/A N/A</v>
        <stp/>
        <stp>BDP|15432960991843731604</stp>
        <tr r="C124" s="2"/>
      </tp>
      <tp t="s">
        <v>#N/A N/A</v>
        <stp/>
        <stp>BDP|14194460964992235450</stp>
        <tr r="P74" s="2"/>
      </tp>
      <tp t="s">
        <v>#N/A N/A</v>
        <stp/>
        <stp>BDP|11557541955647033600</stp>
        <tr r="G137" s="2"/>
      </tp>
      <tp t="s">
        <v>#N/A N/A</v>
        <stp/>
        <stp>BDP|16223365315612700621</stp>
        <tr r="T64" s="2"/>
      </tp>
      <tp t="s">
        <v>#N/A N/A</v>
        <stp/>
        <stp>BDP|17165502738533868251</stp>
        <tr r="X80" s="2"/>
      </tp>
      <tp t="s">
        <v>#N/A N/A</v>
        <stp/>
        <stp>BDP|16279121796677371911</stp>
        <tr r="Z14" s="2"/>
      </tp>
      <tp t="s">
        <v>#N/A N/A</v>
        <stp/>
        <stp>BDP|13462726963000210237</stp>
        <tr r="V37" s="2"/>
      </tp>
      <tp t="s">
        <v>#N/A N/A</v>
        <stp/>
        <stp>BDP|17406063850313555133</stp>
        <tr r="AA35" s="2"/>
      </tp>
      <tp t="s">
        <v>#N/A N/A</v>
        <stp/>
        <stp>BDP|15801292717407601140</stp>
        <tr r="L82" s="2"/>
      </tp>
      <tp t="s">
        <v>#N/A N/A</v>
        <stp/>
        <stp>BDP|16346130656694524675</stp>
        <tr r="Q182" s="2"/>
      </tp>
      <tp t="s">
        <v>#N/A N/A</v>
        <stp/>
        <stp>BDP|16635845695766470172</stp>
        <tr r="V103" s="2"/>
      </tp>
      <tp t="s">
        <v>#N/A N/A</v>
        <stp/>
        <stp>BDP|17360797020400707291</stp>
        <tr r="K170" s="2"/>
        <tr r="R170" s="2"/>
        <tr r="W170" s="2"/>
      </tp>
      <tp t="s">
        <v>#N/A N/A</v>
        <stp/>
        <stp>BDP|10625440894755985886</stp>
        <tr r="L44" s="2"/>
      </tp>
      <tp t="s">
        <v>#N/A N/A</v>
        <stp/>
        <stp>BDP|15929394477580389130</stp>
        <tr r="I58" s="2"/>
      </tp>
      <tp t="s">
        <v>#N/A N/A</v>
        <stp/>
        <stp>BDP|17549123964125145559</stp>
        <tr r="B82" s="2"/>
      </tp>
      <tp t="s">
        <v>#N/A N/A</v>
        <stp/>
        <stp>BDP|12624010302802400063</stp>
        <tr r="O14" s="2"/>
      </tp>
      <tp t="s">
        <v>#N/A N/A</v>
        <stp/>
        <stp>BDP|11577372924006638679</stp>
        <tr r="Z27" s="2"/>
      </tp>
      <tp t="s">
        <v>#N/A N/A</v>
        <stp/>
        <stp>BDP|17050186313885559291</stp>
        <tr r="B21" s="2"/>
      </tp>
      <tp t="s">
        <v>#N/A N/A</v>
        <stp/>
        <stp>BDP|10209564835823502532</stp>
        <tr r="I29" s="2"/>
      </tp>
      <tp t="s">
        <v>#N/A N/A</v>
        <stp/>
        <stp>BDP|11870451004587690287</stp>
        <tr r="V115" s="2"/>
      </tp>
      <tp t="s">
        <v>#N/A N/A</v>
        <stp/>
        <stp>BDP|18357620019876646994</stp>
        <tr r="M147" s="2"/>
      </tp>
      <tp t="s">
        <v>#N/A N/A</v>
        <stp/>
        <stp>BDP|11850521079935461606</stp>
        <tr r="V148" s="2"/>
      </tp>
      <tp t="s">
        <v>#N/A N/A</v>
        <stp/>
        <stp>BDP|13522756150862103360</stp>
        <tr r="E224" s="2"/>
      </tp>
      <tp t="s">
        <v>#N/A N/A</v>
        <stp/>
        <stp>BDP|14592524569606166181</stp>
        <tr r="AA177" s="2"/>
      </tp>
      <tp t="s">
        <v>#N/A N/A</v>
        <stp/>
        <stp>BDP|15119141888695945931</stp>
        <tr r="AA25" s="2"/>
      </tp>
      <tp t="s">
        <v>#N/A N/A</v>
        <stp/>
        <stp>BDP|11200187849611732530</stp>
        <tr r="Z137" s="2"/>
      </tp>
      <tp t="s">
        <v>#N/A N/A</v>
        <stp/>
        <stp>BDP|17538647464696337113</stp>
        <tr r="O164" s="2"/>
      </tp>
      <tp t="s">
        <v>#N/A N/A</v>
        <stp/>
        <stp>BDP|17500435671352126615</stp>
        <tr r="H159" s="2"/>
      </tp>
      <tp t="s">
        <v>#N/A N/A</v>
        <stp/>
        <stp>BDP|14666617396019527233</stp>
        <tr r="AD237" s="2"/>
      </tp>
      <tp t="s">
        <v>#N/A N/A</v>
        <stp/>
        <stp>BDP|10342545976855088767</stp>
        <tr r="C97" s="2"/>
      </tp>
      <tp t="s">
        <v>#N/A N/A</v>
        <stp/>
        <stp>BDP|16387738730962196066</stp>
        <tr r="AB43" s="2"/>
      </tp>
      <tp t="s">
        <v>#N/A N/A</v>
        <stp/>
        <stp>BDP|10644579240207133678</stp>
        <tr r="AD65" s="2"/>
      </tp>
      <tp t="s">
        <v>#N/A N/A</v>
        <stp/>
        <stp>BDP|12564134440290694762</stp>
        <tr r="Q6" s="2"/>
      </tp>
      <tp t="s">
        <v>#N/A N/A</v>
        <stp/>
        <stp>BDP|17529676012947442723</stp>
        <tr r="V186" s="2"/>
      </tp>
      <tp t="s">
        <v>#N/A N/A</v>
        <stp/>
        <stp>BDP|11198170401643331326</stp>
        <tr r="X220" s="2"/>
      </tp>
      <tp t="s">
        <v>#N/A N/A</v>
        <stp/>
        <stp>BDP|16372461438739323889</stp>
        <tr r="AB90" s="2"/>
      </tp>
      <tp t="s">
        <v>#N/A N/A</v>
        <stp/>
        <stp>BDP|14521709560296633352</stp>
        <tr r="N125" s="2"/>
      </tp>
      <tp t="s">
        <v>#N/A N/A</v>
        <stp/>
        <stp>BDP|16472656014515097435</stp>
        <tr r="AC121" s="2"/>
      </tp>
      <tp t="s">
        <v>#N/A N/A</v>
        <stp/>
        <stp>BDP|12978128989179617221</stp>
        <tr r="E7" s="2"/>
      </tp>
      <tp t="s">
        <v>#N/A N/A</v>
        <stp/>
        <stp>BDP|10439098916475871454</stp>
        <tr r="D36" s="2"/>
      </tp>
      <tp t="s">
        <v>#N/A N/A</v>
        <stp/>
        <stp>BDP|11936871310490005884</stp>
        <tr r="AC19" s="2"/>
      </tp>
      <tp t="s">
        <v>#N/A N/A</v>
        <stp/>
        <stp>BDP|15030302415472025536</stp>
        <tr r="M60" s="2"/>
      </tp>
      <tp t="s">
        <v>#N/A N/A</v>
        <stp/>
        <stp>BDP|15157235556123323112</stp>
        <tr r="V191" s="2"/>
      </tp>
      <tp t="s">
        <v>#N/A N/A</v>
        <stp/>
        <stp>BDP|11191800686866613771</stp>
        <tr r="H175" s="2"/>
      </tp>
      <tp t="s">
        <v>#N/A N/A</v>
        <stp/>
        <stp>BDP|10117656498297204882</stp>
        <tr r="C179" s="2"/>
      </tp>
      <tp t="s">
        <v>#N/A N/A</v>
        <stp/>
        <stp>BDP|11824991794708535960</stp>
        <tr r="H232" s="2"/>
      </tp>
      <tp t="s">
        <v>#N/A N/A</v>
        <stp/>
        <stp>BDP|16427312549700785025</stp>
        <tr r="U128" s="2"/>
      </tp>
      <tp t="s">
        <v>#N/A N/A</v>
        <stp/>
        <stp>BDP|12712824043209608698</stp>
        <tr r="P201" s="2"/>
      </tp>
      <tp t="s">
        <v>#N/A N/A</v>
        <stp/>
        <stp>BDP|10166389439970918109</stp>
        <tr r="Z46" s="2"/>
      </tp>
      <tp t="s">
        <v>#N/A N/A</v>
        <stp/>
        <stp>BDP|11849533463965217631</stp>
        <tr r="D165" s="2"/>
      </tp>
      <tp t="s">
        <v>#N/A N/A</v>
        <stp/>
        <stp>BDP|14766772718387493450</stp>
        <tr r="U36" s="2"/>
      </tp>
      <tp t="s">
        <v>#N/A N/A</v>
        <stp/>
        <stp>BDP|12950691482689896436</stp>
        <tr r="K54" s="2"/>
        <tr r="R54" s="2"/>
        <tr r="W54" s="2"/>
      </tp>
      <tp t="s">
        <v>#N/A N/A</v>
        <stp/>
        <stp>BDP|18183084934559335379</stp>
        <tr r="Z135" s="2"/>
      </tp>
      <tp t="s">
        <v>#N/A N/A</v>
        <stp/>
        <stp>BDP|14906922317439755420</stp>
        <tr r="S182" s="2"/>
      </tp>
      <tp t="s">
        <v>#N/A N/A</v>
        <stp/>
        <stp>BDP|10973343141325402314</stp>
        <tr r="I154" s="2"/>
      </tp>
      <tp t="s">
        <v>#N/A N/A</v>
        <stp/>
        <stp>BDP|11645849490266855739</stp>
        <tr r="AC70" s="2"/>
      </tp>
      <tp t="s">
        <v>#N/A N/A</v>
        <stp/>
        <stp>BDP|12635715846158916811</stp>
        <tr r="I113" s="2"/>
      </tp>
      <tp t="s">
        <v>#N/A N/A</v>
        <stp/>
        <stp>BDP|14348714106040526285</stp>
        <tr r="F31" s="2"/>
      </tp>
      <tp t="s">
        <v>#N/A N/A</v>
        <stp/>
        <stp>BDP|15756269149913464154</stp>
        <tr r="G240" s="2"/>
      </tp>
      <tp t="s">
        <v>#N/A N/A</v>
        <stp/>
        <stp>BDP|12292891340688294701</stp>
        <tr r="P181" s="2"/>
      </tp>
      <tp t="s">
        <v>#N/A N/A</v>
        <stp/>
        <stp>BDP|17631485697292075905</stp>
        <tr r="AD60" s="2"/>
      </tp>
      <tp t="s">
        <v>#N/A N/A</v>
        <stp/>
        <stp>BDP|13268767858742205273</stp>
        <tr r="B44" s="2"/>
      </tp>
      <tp t="s">
        <v>#N/A N/A</v>
        <stp/>
        <stp>BDP|16417479837684941451</stp>
        <tr r="X85" s="2"/>
      </tp>
      <tp t="s">
        <v>#N/A N/A</v>
        <stp/>
        <stp>BDP|18044949478767157055</stp>
        <tr r="C151" s="2"/>
      </tp>
      <tp t="s">
        <v>#N/A N/A</v>
        <stp/>
        <stp>BDP|11876106053224340009</stp>
        <tr r="P85" s="2"/>
      </tp>
      <tp t="s">
        <v>#N/A N/A</v>
        <stp/>
        <stp>BDP|15061815043878354090</stp>
        <tr r="AD239" s="2"/>
      </tp>
      <tp t="s">
        <v>#N/A N/A</v>
        <stp/>
        <stp>BDP|14501571726711596393</stp>
        <tr r="AD193" s="2"/>
      </tp>
      <tp t="s">
        <v>#N/A N/A</v>
        <stp/>
        <stp>BDP|14329434033620363287</stp>
        <tr r="H141" s="2"/>
      </tp>
      <tp t="s">
        <v>#N/A N/A</v>
        <stp/>
        <stp>BDP|17305730078424405245</stp>
        <tr r="I11" s="2"/>
      </tp>
      <tp t="s">
        <v>#N/A N/A</v>
        <stp/>
        <stp>BDP|17896697459294650169</stp>
        <tr r="Q115" s="2"/>
      </tp>
      <tp t="s">
        <v>#N/A N/A</v>
        <stp/>
        <stp>BDP|16462205529296119146</stp>
        <tr r="AA134" s="2"/>
      </tp>
      <tp t="s">
        <v>#N/A N/A</v>
        <stp/>
        <stp>BDP|15697406138702350159</stp>
        <tr r="Q178" s="2"/>
      </tp>
      <tp t="s">
        <v>#N/A N/A</v>
        <stp/>
        <stp>BDP|14754028855680334082</stp>
        <tr r="D47" s="2"/>
      </tp>
      <tp t="s">
        <v>#N/A N/A</v>
        <stp/>
        <stp>BDP|16466380995945334814</stp>
        <tr r="F54" s="2"/>
      </tp>
      <tp t="s">
        <v>#N/A N/A</v>
        <stp/>
        <stp>BDP|17924348174786556470</stp>
        <tr r="Q64" s="2"/>
      </tp>
      <tp t="s">
        <v>#N/A N/A</v>
        <stp/>
        <stp>BDP|10125122246200796493</stp>
        <tr r="AB16" s="2"/>
      </tp>
      <tp t="s">
        <v>#N/A N/A</v>
        <stp/>
        <stp>BDP|10950696149066393514</stp>
        <tr r="Y79" s="2"/>
      </tp>
      <tp t="s">
        <v>#N/A N/A</v>
        <stp/>
        <stp>BDP|15396270500445634393</stp>
        <tr r="AA13" s="2"/>
      </tp>
      <tp t="s">
        <v>#N/A N/A</v>
        <stp/>
        <stp>BDP|13907485790788338793</stp>
        <tr r="AB104" s="2"/>
      </tp>
      <tp t="s">
        <v>#N/A N/A</v>
        <stp/>
        <stp>BDP|12959065131463762324</stp>
        <tr r="M44" s="2"/>
      </tp>
      <tp t="s">
        <v>#N/A N/A</v>
        <stp/>
        <stp>BDP|11670892276419367612</stp>
        <tr r="Z36" s="2"/>
      </tp>
      <tp t="s">
        <v>#N/A N/A</v>
        <stp/>
        <stp>BDP|15438379308307094004</stp>
        <tr r="E9" s="2"/>
      </tp>
      <tp t="s">
        <v>#N/A N/A</v>
        <stp/>
        <stp>BDP|12610012045725162286</stp>
        <tr r="Q233" s="2"/>
      </tp>
      <tp t="s">
        <v>#N/A N/A</v>
        <stp/>
        <stp>BDP|16534619149466773303</stp>
        <tr r="K221" s="2"/>
        <tr r="R221" s="2"/>
        <tr r="W221" s="2"/>
      </tp>
      <tp t="s">
        <v>#N/A N/A</v>
        <stp/>
        <stp>BDP|10780300462942719688</stp>
        <tr r="Y98" s="2"/>
      </tp>
      <tp t="s">
        <v>#N/A N/A</v>
        <stp/>
        <stp>BDP|14902774695043393825</stp>
        <tr r="C221" s="2"/>
      </tp>
      <tp t="s">
        <v>#N/A N/A</v>
        <stp/>
        <stp>BDP|17657797105294970599</stp>
        <tr r="Z209" s="2"/>
      </tp>
      <tp t="s">
        <v>#N/A N/A</v>
        <stp/>
        <stp>BDP|11561452078682513170</stp>
        <tr r="AB22" s="2"/>
      </tp>
      <tp t="s">
        <v>#N/A N/A</v>
        <stp/>
        <stp>BDP|13574176146051955677</stp>
        <tr r="I188" s="2"/>
      </tp>
      <tp t="s">
        <v>#N/A N/A</v>
        <stp/>
        <stp>BDP|10604580704752558653</stp>
        <tr r="H66" s="2"/>
      </tp>
      <tp t="s">
        <v>#N/A N/A</v>
        <stp/>
        <stp>BDP|10823374644540916683</stp>
        <tr r="F18" s="2"/>
      </tp>
      <tp t="s">
        <v>#N/A N/A</v>
        <stp/>
        <stp>BDP|16203594911765535650</stp>
        <tr r="U62" s="2"/>
      </tp>
      <tp t="s">
        <v>#N/A N/A</v>
        <stp/>
        <stp>BDP|14476069107625874079</stp>
        <tr r="E39" s="2"/>
      </tp>
      <tp t="s">
        <v>#N/A N/A</v>
        <stp/>
        <stp>BDP|11531329818212684034</stp>
        <tr r="X217" s="2"/>
      </tp>
      <tp t="s">
        <v>#N/A N/A</v>
        <stp/>
        <stp>BDP|16820929405397142948</stp>
        <tr r="I180" s="2"/>
      </tp>
      <tp t="s">
        <v>#N/A N/A</v>
        <stp/>
        <stp>BDP|17223484832491037025</stp>
        <tr r="H194" s="2"/>
      </tp>
      <tp t="s">
        <v>#N/A N/A</v>
        <stp/>
        <stp>BDP|17200560293342318899</stp>
        <tr r="AC180" s="2"/>
      </tp>
      <tp t="s">
        <v>#N/A N/A</v>
        <stp/>
        <stp>BDP|16537733044045951169</stp>
        <tr r="Z28" s="2"/>
      </tp>
      <tp t="s">
        <v>#N/A N/A</v>
        <stp/>
        <stp>BDP|14929549925354227679</stp>
        <tr r="Z215" s="2"/>
      </tp>
      <tp t="s">
        <v>#N/A N/A</v>
        <stp/>
        <stp>BDP|15516786340701634661</stp>
        <tr r="D27" s="2"/>
      </tp>
      <tp t="s">
        <v>#N/A N/A</v>
        <stp/>
        <stp>BDP|10372616589206287949</stp>
        <tr r="AE19" s="2"/>
      </tp>
      <tp t="s">
        <v>#N/A N/A</v>
        <stp/>
        <stp>BDP|16087717932523730098</stp>
        <tr r="X92" s="2"/>
      </tp>
      <tp t="s">
        <v>#N/A N/A</v>
        <stp/>
        <stp>BDP|14391236152181892376</stp>
        <tr r="AB210" s="2"/>
      </tp>
      <tp t="s">
        <v>#N/A N/A</v>
        <stp/>
        <stp>BDP|14658965755100951914</stp>
        <tr r="V195" s="2"/>
      </tp>
      <tp t="s">
        <v>#N/A N/A</v>
        <stp/>
        <stp>BDP|12954627611507417331</stp>
        <tr r="I177" s="2"/>
      </tp>
      <tp t="s">
        <v>#N/A N/A</v>
        <stp/>
        <stp>BDP|16218702629343442121</stp>
        <tr r="T90" s="2"/>
      </tp>
      <tp t="s">
        <v>#N/A N/A</v>
        <stp/>
        <stp>BDP|11784408798709368415</stp>
        <tr r="B68" s="2"/>
      </tp>
      <tp t="s">
        <v>#N/A N/A</v>
        <stp/>
        <stp>BDP|11171318796322886830</stp>
        <tr r="H174" s="2"/>
      </tp>
      <tp t="s">
        <v>#N/A N/A</v>
        <stp/>
        <stp>BDP|15435189150558672863</stp>
        <tr r="G138" s="2"/>
      </tp>
      <tp t="s">
        <v>#N/A N/A</v>
        <stp/>
        <stp>BDP|10780137833364310787</stp>
        <tr r="Q100" s="2"/>
      </tp>
      <tp t="s">
        <v>#N/A N/A</v>
        <stp/>
        <stp>BDP|13895065180469469364</stp>
        <tr r="Y145" s="2"/>
      </tp>
      <tp t="s">
        <v>#N/A N/A</v>
        <stp/>
        <stp>BDP|10663344721930703081</stp>
        <tr r="X110" s="2"/>
      </tp>
      <tp t="s">
        <v>#N/A N/A</v>
        <stp/>
        <stp>BDP|10576698534702203661</stp>
        <tr r="K238" s="2"/>
        <tr r="R238" s="2"/>
        <tr r="W238" s="2"/>
      </tp>
      <tp t="s">
        <v>#N/A N/A</v>
        <stp/>
        <stp>BDP|15166549131074112697</stp>
        <tr r="F29" s="2"/>
      </tp>
      <tp t="s">
        <v>#N/A N/A</v>
        <stp/>
        <stp>BDP|15327666211210865308</stp>
        <tr r="Z229" s="2"/>
      </tp>
      <tp t="s">
        <v>#N/A N/A</v>
        <stp/>
        <stp>BDP|16752491276122792632</stp>
        <tr r="U110" s="2"/>
      </tp>
      <tp t="s">
        <v>#N/A N/A</v>
        <stp/>
        <stp>BDP|17248452026328869850</stp>
        <tr r="F121" s="2"/>
      </tp>
      <tp t="s">
        <v>#N/A N/A</v>
        <stp/>
        <stp>BDP|11345762629692117713</stp>
        <tr r="AA211" s="2"/>
      </tp>
      <tp t="s">
        <v>#N/A N/A</v>
        <stp/>
        <stp>BDP|11923993998424057440</stp>
        <tr r="P161" s="2"/>
      </tp>
      <tp t="s">
        <v>#N/A N/A</v>
        <stp/>
        <stp>BDP|13072720257327178783</stp>
        <tr r="Q7" s="2"/>
      </tp>
      <tp t="s">
        <v>#N/A N/A</v>
        <stp/>
        <stp>BDP|17877861383370698679</stp>
        <tr r="AB71" s="2"/>
      </tp>
      <tp t="s">
        <v>#N/A N/A</v>
        <stp/>
        <stp>BDP|18262193373176263967</stp>
        <tr r="H38" s="2"/>
      </tp>
      <tp t="s">
        <v>#N/A N/A</v>
        <stp/>
        <stp>BDP|14520743456584392389</stp>
        <tr r="X63" s="2"/>
      </tp>
      <tp t="s">
        <v>#N/A N/A</v>
        <stp/>
        <stp>BDP|16024469175361906551</stp>
        <tr r="E33" s="2"/>
      </tp>
      <tp t="s">
        <v>#N/A N/A</v>
        <stp/>
        <stp>BDP|14402588334544462733</stp>
        <tr r="AD187" s="2"/>
      </tp>
      <tp t="s">
        <v>#N/A N/A</v>
        <stp/>
        <stp>BDP|14393710829022675220</stp>
        <tr r="O223" s="2"/>
      </tp>
      <tp t="s">
        <v>#N/A N/A</v>
        <stp/>
        <stp>BDP|16553681226806030542</stp>
        <tr r="S206" s="2"/>
      </tp>
      <tp t="s">
        <v>#N/A N/A</v>
        <stp/>
        <stp>BDP|13726296935374738739</stp>
        <tr r="I119" s="2"/>
      </tp>
      <tp t="s">
        <v>#N/A N/A</v>
        <stp/>
        <stp>BDP|13704755972823981169</stp>
        <tr r="AB116" s="2"/>
      </tp>
      <tp t="s">
        <v>#N/A N/A</v>
        <stp/>
        <stp>BDP|14077211439300051473</stp>
        <tr r="V127" s="2"/>
      </tp>
      <tp t="s">
        <v>#N/A N/A</v>
        <stp/>
        <stp>BDP|14266092727732488579</stp>
        <tr r="L171" s="2"/>
      </tp>
      <tp t="s">
        <v>#N/A N/A</v>
        <stp/>
        <stp>BDP|12317432206657134087</stp>
        <tr r="AA82" s="2"/>
      </tp>
      <tp t="s">
        <v>#N/A N/A</v>
        <stp/>
        <stp>BDP|10444581383569563557</stp>
        <tr r="AB12" s="2"/>
      </tp>
      <tp t="s">
        <v>#N/A N/A</v>
        <stp/>
        <stp>BDP|10528870419240430803</stp>
        <tr r="E237" s="2"/>
      </tp>
      <tp t="s">
        <v>#N/A N/A</v>
        <stp/>
        <stp>BDP|10745576252499879851</stp>
        <tr r="B181" s="2"/>
      </tp>
      <tp t="s">
        <v>#N/A N/A</v>
        <stp/>
        <stp>BDP|10627452216376902233</stp>
        <tr r="I205" s="2"/>
      </tp>
      <tp t="s">
        <v>#N/A N/A</v>
        <stp/>
        <stp>BDP|16258800179038205060</stp>
        <tr r="X120" s="2"/>
      </tp>
      <tp t="s">
        <v>#N/A N/A</v>
        <stp/>
        <stp>BDP|13769633108457001335</stp>
        <tr r="F80" s="2"/>
      </tp>
      <tp t="s">
        <v>#N/A N/A</v>
        <stp/>
        <stp>BDP|12451083040680722759</stp>
        <tr r="D89" s="2"/>
      </tp>
      <tp t="s">
        <v>#N/A N/A</v>
        <stp/>
        <stp>BDP|12910272142121590470</stp>
        <tr r="X232" s="2"/>
      </tp>
      <tp t="s">
        <v>#N/A N/A</v>
        <stp/>
        <stp>BDP|14992428033444286640</stp>
        <tr r="AC130" s="2"/>
      </tp>
      <tp t="s">
        <v>#N/A N/A</v>
        <stp/>
        <stp>BDP|13637852002478983261</stp>
        <tr r="T198" s="2"/>
      </tp>
      <tp t="s">
        <v>#N/A N/A</v>
        <stp/>
        <stp>BDP|10216811028642520904</stp>
        <tr r="AE164" s="2"/>
      </tp>
      <tp t="s">
        <v>#N/A N/A</v>
        <stp/>
        <stp>BDP|16475086556187763531</stp>
        <tr r="AA128" s="2"/>
      </tp>
      <tp t="s">
        <v>#N/A N/A</v>
        <stp/>
        <stp>BDP|16664388817852598728</stp>
        <tr r="Q116" s="2"/>
      </tp>
      <tp t="s">
        <v>#N/A N/A</v>
        <stp/>
        <stp>BDP|17303395563694363743</stp>
        <tr r="AA204" s="2"/>
      </tp>
      <tp t="s">
        <v>#N/A N/A</v>
        <stp/>
        <stp>BDP|16116494432352339273</stp>
        <tr r="F105" s="2"/>
      </tp>
      <tp t="s">
        <v>#N/A N/A</v>
        <stp/>
        <stp>BDP|15155409736620998305</stp>
        <tr r="H36" s="2"/>
      </tp>
      <tp t="s">
        <v>#N/A N/A</v>
        <stp/>
        <stp>BDP|16511887586382081559</stp>
        <tr r="M81" s="2"/>
      </tp>
      <tp t="s">
        <v>#N/A N/A</v>
        <stp/>
        <stp>BDP|17079554569423371614</stp>
        <tr r="P224" s="2"/>
      </tp>
      <tp t="s">
        <v>#N/A N/A</v>
        <stp/>
        <stp>BDP|18257927272164618359</stp>
        <tr r="V56" s="2"/>
      </tp>
      <tp t="s">
        <v>#N/A N/A</v>
        <stp/>
        <stp>BDP|17721735250456006258</stp>
        <tr r="V46" s="2"/>
      </tp>
      <tp t="s">
        <v>#N/A N/A</v>
        <stp/>
        <stp>BDP|18090654395056466051</stp>
        <tr r="H89" s="2"/>
      </tp>
      <tp t="s">
        <v>#N/A N/A</v>
        <stp/>
        <stp>BDP|12776659070817372509</stp>
        <tr r="B140" s="2"/>
      </tp>
      <tp t="s">
        <v>#N/A N/A</v>
        <stp/>
        <stp>BDP|15859878298907176271</stp>
        <tr r="F167" s="2"/>
      </tp>
      <tp t="s">
        <v>#N/A N/A</v>
        <stp/>
        <stp>BDP|16283226917774093062</stp>
        <tr r="C163" s="2"/>
      </tp>
      <tp t="s">
        <v>#N/A N/A</v>
        <stp/>
        <stp>BDP|14382531742542194627</stp>
        <tr r="AD207" s="2"/>
      </tp>
      <tp t="s">
        <v>#N/A N/A</v>
        <stp/>
        <stp>BDP|16340930894983291476</stp>
        <tr r="D23" s="2"/>
      </tp>
      <tp t="s">
        <v>#N/A N/A</v>
        <stp/>
        <stp>BDP|12874422229004235104</stp>
        <tr r="Z60" s="2"/>
      </tp>
      <tp t="s">
        <v>#N/A N/A</v>
        <stp/>
        <stp>BDP|17956028953945963607</stp>
        <tr r="U136" s="2"/>
      </tp>
      <tp t="s">
        <v>#N/A N/A</v>
        <stp/>
        <stp>BDP|16417620505408655945</stp>
        <tr r="AA238" s="2"/>
      </tp>
      <tp t="s">
        <v>#N/A N/A</v>
        <stp/>
        <stp>BDP|10134202832255096531</stp>
        <tr r="U183" s="2"/>
      </tp>
      <tp t="s">
        <v>#N/A N/A</v>
        <stp/>
        <stp>BDP|14850434141505258088</stp>
        <tr r="AA201" s="2"/>
      </tp>
      <tp t="s">
        <v>#N/A N/A</v>
        <stp/>
        <stp>BDP|15143388949490585358</stp>
        <tr r="S22" s="2"/>
      </tp>
      <tp t="s">
        <v>#N/A N/A</v>
        <stp/>
        <stp>BDP|15879682900803520157</stp>
        <tr r="H39" s="2"/>
      </tp>
      <tp t="s">
        <v>#N/A N/A</v>
        <stp/>
        <stp>BDP|16549589149180111652</stp>
        <tr r="X155" s="2"/>
      </tp>
      <tp t="s">
        <v>#N/A N/A</v>
        <stp/>
        <stp>BDP|11868738634744614096</stp>
        <tr r="B178" s="2"/>
      </tp>
      <tp t="s">
        <v>#N/A N/A</v>
        <stp/>
        <stp>BDP|18399932067323574522</stp>
        <tr r="I67" s="2"/>
      </tp>
      <tp t="s">
        <v>#N/A N/A</v>
        <stp/>
        <stp>BDP|11256246305782213018</stp>
        <tr r="C139" s="2"/>
      </tp>
      <tp t="s">
        <v>#N/A N/A</v>
        <stp/>
        <stp>BDP|15948797895818565200</stp>
        <tr r="AA197" s="2"/>
      </tp>
      <tp t="s">
        <v>#N/A N/A</v>
        <stp/>
        <stp>BDP|17108832272271268827</stp>
        <tr r="Y227" s="2"/>
      </tp>
      <tp t="s">
        <v>#N/A N/A</v>
        <stp/>
        <stp>BDP|14275227003401563663</stp>
        <tr r="S123" s="2"/>
      </tp>
      <tp t="s">
        <v>#N/A N/A</v>
        <stp/>
        <stp>BDP|17427026867728200835</stp>
        <tr r="Y148" s="2"/>
      </tp>
      <tp t="s">
        <v>#N/A N/A</v>
        <stp/>
        <stp>BDP|11390393459222248427</stp>
        <tr r="AE112" s="2"/>
      </tp>
      <tp t="s">
        <v>#N/A N/A</v>
        <stp/>
        <stp>BDP|14885297444566753514</stp>
        <tr r="C71" s="2"/>
      </tp>
      <tp t="s">
        <v>#N/A N/A</v>
        <stp/>
        <stp>BDP|11407109193189332171</stp>
        <tr r="Q127" s="2"/>
      </tp>
      <tp t="s">
        <v>#N/A N/A</v>
        <stp/>
        <stp>BDP|12585661531303467555</stp>
        <tr r="AC34" s="2"/>
      </tp>
      <tp t="s">
        <v>#N/A N/A</v>
        <stp/>
        <stp>BDP|17616861576480783924</stp>
        <tr r="B50" s="2"/>
      </tp>
      <tp t="s">
        <v>#N/A N/A</v>
        <stp/>
        <stp>BDP|14270917541799096110</stp>
        <tr r="M165" s="2"/>
      </tp>
      <tp t="s">
        <v>#N/A N/A</v>
        <stp/>
        <stp>BDP|11251011055500147548</stp>
        <tr r="U60" s="2"/>
      </tp>
      <tp t="s">
        <v>#N/A N/A</v>
        <stp/>
        <stp>BDP|11881762533384873062</stp>
        <tr r="T226" s="2"/>
      </tp>
      <tp t="s">
        <v>#N/A N/A</v>
        <stp/>
        <stp>BDP|15824506803822078387</stp>
        <tr r="U68" s="2"/>
      </tp>
      <tp t="s">
        <v>#N/A N/A</v>
        <stp/>
        <stp>BDP|13222723467032167154</stp>
        <tr r="E66" s="2"/>
      </tp>
      <tp t="s">
        <v>#N/A N/A</v>
        <stp/>
        <stp>BDP|13614564624113406636</stp>
        <tr r="P39" s="2"/>
      </tp>
      <tp t="s">
        <v>#N/A N/A</v>
        <stp/>
        <stp>BDP|11587379936383717303</stp>
        <tr r="M179" s="2"/>
      </tp>
      <tp t="s">
        <v>#N/A N/A</v>
        <stp/>
        <stp>BDP|13098443873587626628</stp>
        <tr r="C184" s="2"/>
      </tp>
      <tp t="s">
        <v>#N/A N/A</v>
        <stp/>
        <stp>BDP|14638800142509360045</stp>
        <tr r="L23" s="2"/>
      </tp>
      <tp t="s">
        <v>#N/A N/A</v>
        <stp/>
        <stp>BDP|15292906624987146847</stp>
        <tr r="Y90" s="2"/>
      </tp>
      <tp t="s">
        <v>#N/A N/A</v>
        <stp/>
        <stp>BDP|15712067266717542510</stp>
        <tr r="AD210" s="2"/>
      </tp>
      <tp t="s">
        <v>#N/A N/A</v>
        <stp/>
        <stp>BDP|16460639733030138268</stp>
        <tr r="S225" s="2"/>
      </tp>
      <tp t="s">
        <v>#N/A N/A</v>
        <stp/>
        <stp>BDP|18006335537089224053</stp>
        <tr r="P194" s="2"/>
      </tp>
      <tp t="s">
        <v>#N/A N/A</v>
        <stp/>
        <stp>BDP|10310441513603571725</stp>
        <tr r="G60" s="2"/>
      </tp>
      <tp t="s">
        <v>#N/A N/A</v>
        <stp/>
        <stp>BDP|10718685916210284694</stp>
        <tr r="G229" s="2"/>
      </tp>
      <tp t="s">
        <v>#N/A N/A</v>
        <stp/>
        <stp>BDP|13383268717865364434</stp>
        <tr r="U186" s="2"/>
      </tp>
      <tp t="s">
        <v>#N/A N/A</v>
        <stp/>
        <stp>BDP|11105075234780541358</stp>
        <tr r="AC211" s="2"/>
      </tp>
      <tp t="s">
        <v>#N/A N/A</v>
        <stp/>
        <stp>BDP|13025431266135580524</stp>
        <tr r="L97" s="2"/>
      </tp>
      <tp t="s">
        <v>#N/A N/A</v>
        <stp/>
        <stp>BDP|11754390945831983608</stp>
        <tr r="V39" s="2"/>
      </tp>
      <tp t="s">
        <v>#N/A N/A</v>
        <stp/>
        <stp>BDP|11047211887778295267</stp>
        <tr r="V80" s="2"/>
      </tp>
      <tp t="s">
        <v>#N/A N/A</v>
        <stp/>
        <stp>BDP|14471443437714761624</stp>
        <tr r="Z66" s="2"/>
      </tp>
      <tp t="s">
        <v>#N/A N/A</v>
        <stp/>
        <stp>BDP|14004374994598260736</stp>
        <tr r="I127" s="2"/>
      </tp>
      <tp t="s">
        <v>#N/A N/A</v>
        <stp/>
        <stp>BDP|15031208676057496603</stp>
        <tr r="H49" s="2"/>
      </tp>
      <tp t="s">
        <v>#N/A N/A</v>
        <stp/>
        <stp>BDP|16132111200222067426</stp>
        <tr r="Y47" s="2"/>
      </tp>
      <tp t="s">
        <v>#N/A N/A</v>
        <stp/>
        <stp>BDP|12018018036874641432</stp>
        <tr r="N32" s="2"/>
      </tp>
      <tp t="s">
        <v>#N/A N/A</v>
        <stp/>
        <stp>BDP|16204775637282390138</stp>
        <tr r="T75" s="2"/>
      </tp>
      <tp t="s">
        <v>#N/A N/A</v>
        <stp/>
        <stp>BDP|13860743317281053597</stp>
        <tr r="AD142" s="2"/>
      </tp>
      <tp t="s">
        <v>#N/A N/A</v>
        <stp/>
        <stp>BDP|16742271023102562547</stp>
        <tr r="U180" s="2"/>
      </tp>
      <tp t="s">
        <v>#N/A N/A</v>
        <stp/>
        <stp>BDP|11208154661413511415</stp>
        <tr r="D60" s="2"/>
      </tp>
      <tp t="s">
        <v>#N/A N/A</v>
        <stp/>
        <stp>BDP|11561932833259846389</stp>
        <tr r="G107" s="2"/>
      </tp>
      <tp t="s">
        <v>#N/A N/A</v>
        <stp/>
        <stp>BDP|10311757453280285325</stp>
        <tr r="M205" s="2"/>
      </tp>
      <tp t="s">
        <v>#N/A N/A</v>
        <stp/>
        <stp>BDP|10297894189901643019</stp>
        <tr r="AD112" s="2"/>
      </tp>
      <tp t="s">
        <v>#N/A N/A</v>
        <stp/>
        <stp>BDP|16177764664913458520</stp>
        <tr r="D185" s="2"/>
      </tp>
      <tp t="s">
        <v>#N/A N/A</v>
        <stp/>
        <stp>BDP|16790888101458837739</stp>
        <tr r="Y225" s="2"/>
      </tp>
      <tp t="s">
        <v>#N/A N/A</v>
        <stp/>
        <stp>BDP|13061736123076756128</stp>
        <tr r="H31" s="2"/>
      </tp>
      <tp t="s">
        <v>#N/A N/A</v>
        <stp/>
        <stp>BDP|12114598450525494697</stp>
        <tr r="C134" s="2"/>
      </tp>
      <tp t="s">
        <v>#N/A N/A</v>
        <stp/>
        <stp>BDP|17057290059910270179</stp>
        <tr r="G12" s="2"/>
      </tp>
      <tp t="s">
        <v>#N/A N/A</v>
        <stp/>
        <stp>BDP|16159966430574707957</stp>
        <tr r="K110" s="2"/>
        <tr r="R110" s="2"/>
        <tr r="W110" s="2"/>
      </tp>
      <tp t="s">
        <v>#N/A N/A</v>
        <stp/>
        <stp>BDP|10738069822651684204</stp>
        <tr r="X82" s="2"/>
      </tp>
      <tp t="s">
        <v>#N/A N/A</v>
        <stp/>
        <stp>BDP|16121777322305737762</stp>
        <tr r="K132" s="2"/>
        <tr r="R132" s="2"/>
        <tr r="W132" s="2"/>
      </tp>
      <tp t="s">
        <v>#N/A N/A</v>
        <stp/>
        <stp>BDP|16099135475979691858</stp>
        <tr r="AA17" s="2"/>
      </tp>
      <tp t="s">
        <v>#N/A N/A</v>
        <stp/>
        <stp>BDP|12123944013098100322</stp>
        <tr r="N139" s="2"/>
      </tp>
      <tp t="s">
        <v>#N/A N/A</v>
        <stp/>
        <stp>BDP|17159833795634337317</stp>
        <tr r="O205" s="2"/>
      </tp>
      <tp t="s">
        <v>#N/A N/A</v>
        <stp/>
        <stp>BDP|16326089218404548222</stp>
        <tr r="S136" s="2"/>
      </tp>
      <tp t="s">
        <v>#N/A N/A</v>
        <stp/>
        <stp>BDP|17296604321164707604</stp>
        <tr r="Z191" s="2"/>
      </tp>
      <tp t="s">
        <v>#N/A N/A</v>
        <stp/>
        <stp>BDP|13444209775523470411</stp>
        <tr r="AB129" s="2"/>
      </tp>
      <tp t="s">
        <v>#N/A N/A</v>
        <stp/>
        <stp>BDP|13104140471525720179</stp>
        <tr r="N105" s="2"/>
      </tp>
      <tp t="s">
        <v>#N/A N/A</v>
        <stp/>
        <stp>BDP|14190957955888297173</stp>
        <tr r="D133" s="2"/>
      </tp>
      <tp t="s">
        <v>#N/A N/A</v>
        <stp/>
        <stp>BDP|15546934620797208805</stp>
        <tr r="F151" s="2"/>
      </tp>
      <tp t="s">
        <v>#N/A N/A</v>
        <stp/>
        <stp>BDP|10882436514585892133</stp>
        <tr r="Q214" s="2"/>
      </tp>
      <tp t="s">
        <v>#N/A N/A</v>
        <stp/>
        <stp>BDP|16589474161130798504</stp>
        <tr r="F44" s="2"/>
      </tp>
      <tp t="s">
        <v>#N/A N/A</v>
        <stp/>
        <stp>BDP|12500340627434137630</stp>
        <tr r="G42" s="2"/>
      </tp>
      <tp t="s">
        <v>#N/A N/A</v>
        <stp/>
        <stp>BDP|14656648886943846886</stp>
        <tr r="M222" s="2"/>
      </tp>
      <tp t="s">
        <v>#N/A N/A</v>
        <stp/>
        <stp>BDP|12349153086579356373</stp>
        <tr r="E67" s="2"/>
      </tp>
      <tp t="s">
        <v>#N/A N/A</v>
        <stp/>
        <stp>BDP|16673949325418069406</stp>
        <tr r="AD79" s="2"/>
      </tp>
      <tp t="s">
        <v>#N/A N/A</v>
        <stp/>
        <stp>BDP|13679609324303257576</stp>
        <tr r="AA4" s="2"/>
      </tp>
      <tp t="s">
        <v>#N/A N/A</v>
        <stp/>
        <stp>BDP|13320634476910166305</stp>
        <tr r="O30" s="2"/>
      </tp>
      <tp t="s">
        <v>#N/A N/A</v>
        <stp/>
        <stp>BDP|13818177455085921347</stp>
        <tr r="S4" s="2"/>
      </tp>
      <tp t="s">
        <v>#N/A N/A</v>
        <stp/>
        <stp>BDP|16228299698668641429</stp>
        <tr r="AE165" s="2"/>
      </tp>
      <tp t="s">
        <v>#N/A N/A</v>
        <stp/>
        <stp>BDP|17627651396840397912</stp>
        <tr r="Y142" s="2"/>
      </tp>
      <tp t="s">
        <v>#N/A N/A</v>
        <stp/>
        <stp>BDP|11631646436261519461</stp>
        <tr r="Z122" s="2"/>
      </tp>
      <tp t="s">
        <v>#N/A N/A</v>
        <stp/>
        <stp>BDP|18322176534939534229</stp>
        <tr r="T74" s="2"/>
      </tp>
      <tp t="s">
        <v>#N/A N/A</v>
        <stp/>
        <stp>BDP|15099762369876971312</stp>
        <tr r="Z151" s="2"/>
      </tp>
      <tp t="s">
        <v>#N/A N/A</v>
        <stp/>
        <stp>BDP|16043082047022044184</stp>
        <tr r="F28" s="2"/>
      </tp>
      <tp t="s">
        <v>#N/A N/A</v>
        <stp/>
        <stp>BDP|10577723702701626759</stp>
        <tr r="M160" s="2"/>
      </tp>
      <tp t="s">
        <v>#N/A N/A</v>
        <stp/>
        <stp>BDP|10095772575499559815</stp>
        <tr r="AD208" s="2"/>
      </tp>
      <tp t="s">
        <v>#N/A N/A</v>
        <stp/>
        <stp>BDP|17242954976158173068</stp>
        <tr r="T27" s="2"/>
      </tp>
      <tp t="s">
        <v>#N/A N/A</v>
        <stp/>
        <stp>BDP|10569532325026004059</stp>
        <tr r="F21" s="2"/>
      </tp>
      <tp t="s">
        <v>#N/A N/A</v>
        <stp/>
        <stp>BDP|12909663522685881231</stp>
        <tr r="F126" s="2"/>
      </tp>
      <tp t="s">
        <v>#N/A N/A</v>
        <stp/>
        <stp>BDP|15266628919126659599</stp>
        <tr r="O196" s="2"/>
      </tp>
      <tp t="s">
        <v>#N/A N/A</v>
        <stp/>
        <stp>BDP|11560195806637414686</stp>
        <tr r="Z20" s="2"/>
      </tp>
      <tp t="s">
        <v>#N/A N/A</v>
        <stp/>
        <stp>BDP|16454257596775143903</stp>
        <tr r="L130" s="2"/>
      </tp>
      <tp t="s">
        <v>#N/A N/A</v>
        <stp/>
        <stp>BDP|10157255517606155441</stp>
        <tr r="Y193" s="2"/>
      </tp>
      <tp t="s">
        <v>#N/A N/A</v>
        <stp/>
        <stp>BDP|11228355970590546447</stp>
        <tr r="V174" s="2"/>
      </tp>
      <tp t="s">
        <v>#N/A N/A</v>
        <stp/>
        <stp>BDP|15325773425355145466</stp>
        <tr r="U101" s="2"/>
      </tp>
      <tp t="s">
        <v>#N/A N/A</v>
        <stp/>
        <stp>BDP|15832164044536932756</stp>
        <tr r="AB96" s="2"/>
      </tp>
      <tp t="s">
        <v>#N/A N/A</v>
        <stp/>
        <stp>BDP|13851427267071340180</stp>
        <tr r="E231" s="2"/>
      </tp>
      <tp t="s">
        <v>#N/A N/A</v>
        <stp/>
        <stp>BDP|17098225953211497031</stp>
        <tr r="S25" s="2"/>
      </tp>
      <tp t="s">
        <v>#N/A N/A</v>
        <stp/>
        <stp>BDP|11952049767956934053</stp>
        <tr r="AE69" s="2"/>
      </tp>
      <tp t="s">
        <v>#N/A N/A</v>
        <stp/>
        <stp>BDP|14742832856580365871</stp>
        <tr r="S112" s="2"/>
      </tp>
      <tp t="s">
        <v>#N/A N/A</v>
        <stp/>
        <stp>BDP|12378605455787362737</stp>
        <tr r="S230" s="2"/>
      </tp>
      <tp t="s">
        <v>#N/A N/A</v>
        <stp/>
        <stp>BDP|11682685642986368369</stp>
        <tr r="AA98" s="2"/>
      </tp>
      <tp t="s">
        <v>#N/A N/A</v>
        <stp/>
        <stp>BDP|11857063947013594055</stp>
        <tr r="Y76" s="2"/>
      </tp>
      <tp t="s">
        <v>#N/A N/A</v>
        <stp/>
        <stp>BDP|17742514133365931259</stp>
        <tr r="I90" s="2"/>
      </tp>
      <tp t="s">
        <v>#N/A N/A</v>
        <stp/>
        <stp>BDP|12344025733181280697</stp>
        <tr r="F43" s="2"/>
      </tp>
      <tp t="s">
        <v>#N/A N/A</v>
        <stp/>
        <stp>BDP|13142118127145805362</stp>
        <tr r="E30" s="2"/>
      </tp>
      <tp t="s">
        <v>#N/A N/A</v>
        <stp/>
        <stp>BDP|16329227958347096000</stp>
        <tr r="AC15" s="2"/>
      </tp>
      <tp t="s">
        <v>#N/A N/A</v>
        <stp/>
        <stp>BDP|14002346171691443786</stp>
        <tr r="AE184" s="2"/>
      </tp>
      <tp t="s">
        <v>#N/A N/A</v>
        <stp/>
        <stp>BDP|10971170124402131721</stp>
        <tr r="X154" s="2"/>
      </tp>
      <tp t="s">
        <v>#N/A N/A</v>
        <stp/>
        <stp>BDP|16454354451045876316</stp>
        <tr r="N53" s="2"/>
      </tp>
      <tp t="s">
        <v>#N/A N/A</v>
        <stp/>
        <stp>BDP|11853042745234803782</stp>
        <tr r="G63" s="2"/>
      </tp>
      <tp t="s">
        <v>#N/A N/A</v>
        <stp/>
        <stp>BDP|14117037259391137632</stp>
        <tr r="T4" s="2"/>
      </tp>
      <tp t="s">
        <v>#N/A N/A</v>
        <stp/>
        <stp>BDP|14176077625336905637</stp>
        <tr r="V158" s="2"/>
      </tp>
      <tp t="s">
        <v>#N/A N/A</v>
        <stp/>
        <stp>BDP|17049967272437989854</stp>
        <tr r="AA209" s="2"/>
      </tp>
      <tp t="s">
        <v>#N/A N/A</v>
        <stp/>
        <stp>BDP|16994565645297256602</stp>
        <tr r="B118" s="2"/>
      </tp>
      <tp t="s">
        <v>#N/A N/A</v>
        <stp/>
        <stp>BDP|10470281603297588321</stp>
        <tr r="P45" s="2"/>
      </tp>
      <tp t="s">
        <v>#N/A N/A</v>
        <stp/>
        <stp>BDP|11935078513245356360</stp>
        <tr r="E202" s="2"/>
      </tp>
      <tp t="s">
        <v>#N/A N/A</v>
        <stp/>
        <stp>BDP|14413667606437903355</stp>
        <tr r="C12" s="2"/>
      </tp>
      <tp t="s">
        <v>#N/A N/A</v>
        <stp/>
        <stp>BDP|16439923190659902970</stp>
        <tr r="L165" s="2"/>
      </tp>
      <tp t="s">
        <v>#N/A N/A</v>
        <stp/>
        <stp>BDP|14062605629695830393</stp>
        <tr r="Y161" s="2"/>
      </tp>
      <tp t="s">
        <v>#N/A N/A</v>
        <stp/>
        <stp>BDP|10032885810619360633</stp>
        <tr r="S113" s="2"/>
      </tp>
      <tp t="s">
        <v>#N/A N/A</v>
        <stp/>
        <stp>BDP|13550562074166844177</stp>
        <tr r="E80" s="2"/>
      </tp>
      <tp t="s">
        <v>#N/A N/A</v>
        <stp/>
        <stp>BDP|15491437257665372784</stp>
        <tr r="I4" s="2"/>
      </tp>
      <tp t="s">
        <v>#N/A N/A</v>
        <stp/>
        <stp>BDP|13933598193459963011</stp>
        <tr r="Q190" s="2"/>
      </tp>
      <tp t="s">
        <v>#N/A N/A</v>
        <stp/>
        <stp>BDP|15028308369473201501</stp>
        <tr r="D212" s="2"/>
      </tp>
      <tp t="s">
        <v>#N/A N/A</v>
        <stp/>
        <stp>BDP|17310495020851345627</stp>
        <tr r="Z140" s="2"/>
      </tp>
      <tp t="s">
        <v>#N/A N/A</v>
        <stp/>
        <stp>BDP|16610201208920250272</stp>
        <tr r="M174" s="2"/>
      </tp>
      <tp t="s">
        <v>#N/A N/A</v>
        <stp/>
        <stp>BDP|14526529633140739488</stp>
        <tr r="C111" s="2"/>
      </tp>
      <tp t="s">
        <v>#N/A N/A</v>
        <stp/>
        <stp>BDP|13840678579467805358</stp>
        <tr r="AC120" s="2"/>
      </tp>
      <tp t="s">
        <v>#N/A N/A</v>
        <stp/>
        <stp>BDP|11559938017746989935</stp>
        <tr r="AD174" s="2"/>
      </tp>
      <tp t="s">
        <v>#N/A N/A</v>
        <stp/>
        <stp>BDP|16023707979513108337</stp>
        <tr r="AB171" s="2"/>
      </tp>
      <tp t="s">
        <v>#N/A N/A</v>
        <stp/>
        <stp>BDP|14253477936563853604</stp>
        <tr r="E81" s="2"/>
      </tp>
      <tp t="s">
        <v>#N/A N/A</v>
        <stp/>
        <stp>BDP|14365215033171269282</stp>
        <tr r="X18" s="2"/>
      </tp>
      <tp t="s">
        <v>#N/A N/A</v>
        <stp/>
        <stp>BDP|11860967614656565944</stp>
        <tr r="B29" s="2"/>
      </tp>
      <tp t="s">
        <v>#N/A N/A</v>
        <stp/>
        <stp>BDP|14492755102472846716</stp>
        <tr r="AA132" s="2"/>
      </tp>
      <tp t="s">
        <v>#N/A N/A</v>
        <stp/>
        <stp>BDP|14213560508066694101</stp>
        <tr r="AA220" s="2"/>
      </tp>
      <tp t="s">
        <v>#N/A N/A</v>
        <stp/>
        <stp>BDP|12453629689208578201</stp>
        <tr r="P225" s="2"/>
      </tp>
      <tp t="s">
        <v>#N/A N/A</v>
        <stp/>
        <stp>BDP|13281716767547807365</stp>
        <tr r="F122" s="2"/>
      </tp>
      <tp t="s">
        <v>#N/A N/A</v>
        <stp/>
        <stp>BDP|16367289150003871496</stp>
        <tr r="N48" s="2"/>
      </tp>
      <tp t="s">
        <v>#N/A N/A</v>
        <stp/>
        <stp>BDP|14816941840496163971</stp>
        <tr r="P71" s="2"/>
      </tp>
      <tp t="s">
        <v>#N/A N/A</v>
        <stp/>
        <stp>BDP|10738964068149354005</stp>
        <tr r="AA57" s="2"/>
      </tp>
      <tp t="s">
        <v>#N/A N/A</v>
        <stp/>
        <stp>BDP|13358531288119234102</stp>
        <tr r="S195" s="2"/>
      </tp>
      <tp t="s">
        <v>#N/A N/A</v>
        <stp/>
        <stp>BDP|10836523065444288105</stp>
        <tr r="C103" s="2"/>
      </tp>
      <tp t="s">
        <v>#N/A N/A</v>
        <stp/>
        <stp>BDP|13989625821323007277</stp>
        <tr r="X223" s="2"/>
      </tp>
      <tp t="s">
        <v>#N/A N/A</v>
        <stp/>
        <stp>BDP|11879616693541155969</stp>
        <tr r="T92" s="2"/>
      </tp>
      <tp t="s">
        <v>#N/A N/A</v>
        <stp/>
        <stp>BDP|10529225830994821324</stp>
        <tr r="N227" s="2"/>
      </tp>
      <tp t="s">
        <v>#N/A N/A</v>
        <stp/>
        <stp>BDP|12515465069335790301</stp>
        <tr r="Q204" s="2"/>
      </tp>
      <tp t="s">
        <v>#N/A N/A</v>
        <stp/>
        <stp>BDP|10748049509865366344</stp>
        <tr r="L109" s="2"/>
      </tp>
      <tp t="s">
        <v>#N/A N/A</v>
        <stp/>
        <stp>BDP|12564215177846895779</stp>
        <tr r="B213" s="2"/>
      </tp>
      <tp t="s">
        <v>#N/A N/A</v>
        <stp/>
        <stp>BDP|10519352469284097752</stp>
        <tr r="I83" s="2"/>
      </tp>
      <tp t="s">
        <v>#N/A N/A</v>
        <stp/>
        <stp>BDP|11735475658887056147</stp>
        <tr r="H32" s="2"/>
      </tp>
      <tp t="s">
        <v>#N/A N/A</v>
        <stp/>
        <stp>BDP|10669939698167053118</stp>
        <tr r="O232" s="2"/>
      </tp>
      <tp t="s">
        <v>#N/A N/A</v>
        <stp/>
        <stp>BDP|16398299227795866592</stp>
        <tr r="X83" s="2"/>
      </tp>
      <tp t="s">
        <v>#N/A N/A</v>
        <stp/>
        <stp>BDP|17725106569035075320</stp>
        <tr r="V214" s="2"/>
      </tp>
      <tp t="s">
        <v>#N/A N/A</v>
        <stp/>
        <stp>BDP|10097885200929575710</stp>
        <tr r="D109" s="2"/>
      </tp>
      <tp t="s">
        <v>#N/A N/A</v>
        <stp/>
        <stp>BDP|11495225379111056338</stp>
        <tr r="G178" s="2"/>
      </tp>
      <tp t="s">
        <v>#N/A N/A</v>
        <stp/>
        <stp>BDP|15268494102471547605</stp>
        <tr r="I212" s="2"/>
      </tp>
      <tp t="s">
        <v>#N/A N/A</v>
        <stp/>
        <stp>BDP|15943110079100877555</stp>
        <tr r="X67" s="2"/>
      </tp>
      <tp t="s">
        <v>#N/A N/A</v>
        <stp/>
        <stp>BDP|16257622345384020690</stp>
        <tr r="Y213" s="2"/>
      </tp>
      <tp t="s">
        <v>#N/A N/A</v>
        <stp/>
        <stp>BDP|15060052977507937377</stp>
        <tr r="I120" s="2"/>
      </tp>
      <tp t="s">
        <v>#N/A N/A</v>
        <stp/>
        <stp>BDP|17015053629361760272</stp>
        <tr r="Z53" s="2"/>
      </tp>
      <tp t="s">
        <v>#N/A N/A</v>
        <stp/>
        <stp>BDP|16436636437046912350</stp>
        <tr r="AD47" s="2"/>
      </tp>
      <tp t="s">
        <v>#N/A N/A</v>
        <stp/>
        <stp>BDP|17887344792328665372</stp>
        <tr r="Q112" s="2"/>
      </tp>
      <tp t="s">
        <v>#N/A N/A</v>
        <stp/>
        <stp>BDP|17823874979056076899</stp>
        <tr r="T41" s="2"/>
      </tp>
      <tp t="s">
        <v>#N/A N/A</v>
        <stp/>
        <stp>BDP|16705143809577512608</stp>
        <tr r="F237" s="2"/>
      </tp>
      <tp t="s">
        <v>#N/A N/A</v>
        <stp/>
        <stp>BDP|17501608602751862604</stp>
        <tr r="T38" s="2"/>
      </tp>
      <tp t="s">
        <v>#N/A N/A</v>
        <stp/>
        <stp>BDP|13493449043336918351</stp>
        <tr r="T15" s="2"/>
      </tp>
      <tp t="s">
        <v>#N/A N/A</v>
        <stp/>
        <stp>BDP|17373346534659936856</stp>
        <tr r="AE159" s="2"/>
      </tp>
      <tp t="s">
        <v>#N/A N/A</v>
        <stp/>
        <stp>BDP|14734191243576505175</stp>
        <tr r="U45" s="2"/>
      </tp>
      <tp t="s">
        <v>#N/A N/A</v>
        <stp/>
        <stp>BDP|15896328013437434624</stp>
        <tr r="C110" s="2"/>
      </tp>
      <tp t="s">
        <v>#N/A N/A</v>
        <stp/>
        <stp>BDP|12266380840293057050</stp>
        <tr r="G157" s="2"/>
      </tp>
      <tp t="s">
        <v>#N/A N/A</v>
        <stp/>
        <stp>BDP|12147574935725837741</stp>
        <tr r="V179" s="2"/>
      </tp>
      <tp t="s">
        <v>#N/A N/A</v>
        <stp/>
        <stp>BDP|14745441838755596000</stp>
        <tr r="P186" s="2"/>
      </tp>
      <tp t="s">
        <v>#N/A N/A</v>
        <stp/>
        <stp>BDP|16294105986179328094</stp>
        <tr r="K140" s="2"/>
        <tr r="R140" s="2"/>
        <tr r="W140" s="2"/>
      </tp>
      <tp t="s">
        <v>#N/A N/A</v>
        <stp/>
        <stp>BDP|13504639539194743466</stp>
        <tr r="AA10" s="2"/>
      </tp>
      <tp t="s">
        <v>#N/A N/A</v>
        <stp/>
        <stp>BDP|11255238325023945433</stp>
        <tr r="N121" s="2"/>
      </tp>
      <tp t="s">
        <v>#N/A N/A</v>
        <stp/>
        <stp>BDP|18337972633382989603</stp>
        <tr r="O51" s="2"/>
      </tp>
      <tp t="s">
        <v>#N/A N/A</v>
        <stp/>
        <stp>BDP|12074463238951608265</stp>
        <tr r="D230" s="2"/>
      </tp>
      <tp t="s">
        <v>#N/A N/A</v>
        <stp/>
        <stp>BDP|10561016430426812328</stp>
        <tr r="F42" s="2"/>
      </tp>
      <tp t="s">
        <v>#N/A N/A</v>
        <stp/>
        <stp>BDP|15489133411533050088</stp>
        <tr r="Y73" s="2"/>
      </tp>
      <tp t="s">
        <v>#N/A N/A</v>
        <stp/>
        <stp>BDP|12028983964212046924</stp>
        <tr r="AA176" s="2"/>
      </tp>
      <tp t="s">
        <v>#N/A N/A</v>
        <stp/>
        <stp>BDP|16522798731606763249</stp>
        <tr r="U46" s="2"/>
      </tp>
      <tp t="s">
        <v>#N/A N/A</v>
        <stp/>
        <stp>BDP|17426813403279813001</stp>
        <tr r="U70" s="2"/>
      </tp>
      <tp t="s">
        <v>#N/A N/A</v>
        <stp/>
        <stp>BDP|14286698972777541421</stp>
        <tr r="H176" s="2"/>
      </tp>
      <tp t="s">
        <v>#N/A N/A</v>
        <stp/>
        <stp>BDP|12935150752672471245</stp>
        <tr r="I216" s="2"/>
      </tp>
      <tp t="s">
        <v>#N/A N/A</v>
        <stp/>
        <stp>BDP|15673477675829892927</stp>
        <tr r="B231" s="2"/>
      </tp>
      <tp t="s">
        <v>#N/A N/A</v>
        <stp/>
        <stp>BDP|15423436964159808853</stp>
        <tr r="L93" s="2"/>
      </tp>
      <tp t="s">
        <v>#N/A N/A</v>
        <stp/>
        <stp>BDP|15885609099778919462</stp>
        <tr r="E65" s="2"/>
      </tp>
      <tp t="s">
        <v>#N/A N/A</v>
        <stp/>
        <stp>BDP|16576411404394077018</stp>
        <tr r="V7" s="2"/>
      </tp>
      <tp t="s">
        <v>#N/A N/A</v>
        <stp/>
        <stp>BDP|13264600914571195360</stp>
        <tr r="L17" s="2"/>
      </tp>
      <tp t="s">
        <v>#N/A N/A</v>
        <stp/>
        <stp>BDP|13303149868411725396</stp>
        <tr r="P44" s="2"/>
      </tp>
      <tp t="s">
        <v>#N/A N/A</v>
        <stp/>
        <stp>BDP|18121789636828793293</stp>
        <tr r="Q89" s="2"/>
      </tp>
      <tp t="s">
        <v>#N/A N/A</v>
        <stp/>
        <stp>BDP|11448438679437942364</stp>
        <tr r="V230" s="2"/>
      </tp>
      <tp t="s">
        <v>#N/A N/A</v>
        <stp/>
        <stp>BDP|12469424011663630208</stp>
        <tr r="M137" s="2"/>
      </tp>
      <tp t="s">
        <v>#N/A N/A</v>
        <stp/>
        <stp>BDP|11969754412860763183</stp>
        <tr r="Z238" s="2"/>
      </tp>
      <tp t="s">
        <v>#N/A N/A</v>
        <stp/>
        <stp>BDP|11285490914766980479</stp>
        <tr r="P232" s="2"/>
      </tp>
      <tp t="s">
        <v>#N/A N/A</v>
        <stp/>
        <stp>BDP|11375755099071988874</stp>
        <tr r="G140" s="2"/>
      </tp>
      <tp t="s">
        <v>#N/A N/A</v>
        <stp/>
        <stp>BDP|17046407927217272045</stp>
        <tr r="M48" s="2"/>
      </tp>
      <tp t="s">
        <v>#N/A N/A</v>
        <stp/>
        <stp>BDP|12496835697847226237</stp>
        <tr r="O204" s="2"/>
      </tp>
      <tp t="s">
        <v>#N/A N/A</v>
        <stp/>
        <stp>BDP|15084728751313100232</stp>
        <tr r="O26" s="2"/>
      </tp>
      <tp t="s">
        <v>#N/A N/A</v>
        <stp/>
        <stp>BDP|11067817892756716050</stp>
        <tr r="B36" s="2"/>
      </tp>
      <tp t="s">
        <v>#N/A N/A</v>
        <stp/>
        <stp>BDP|13047544291688083148</stp>
        <tr r="Q67" s="2"/>
      </tp>
      <tp t="s">
        <v>#N/A N/A</v>
        <stp/>
        <stp>BDP|13527419385889349032</stp>
        <tr r="V157" s="2"/>
      </tp>
      <tp t="s">
        <v>#N/A N/A</v>
        <stp/>
        <stp>BDP|14547049302501092324</stp>
        <tr r="K40" s="2"/>
        <tr r="R40" s="2"/>
        <tr r="W40" s="2"/>
      </tp>
      <tp t="s">
        <v>#N/A N/A</v>
        <stp/>
        <stp>BDP|12088684969432100601</stp>
        <tr r="AC74" s="2"/>
      </tp>
      <tp t="s">
        <v>#N/A N/A</v>
        <stp/>
        <stp>BDP|11052745859555990043</stp>
        <tr r="F188" s="2"/>
      </tp>
      <tp t="s">
        <v>#N/A N/A</v>
        <stp/>
        <stp>BDP|10696660845771030552</stp>
        <tr r="C69" s="2"/>
      </tp>
      <tp t="s">
        <v>#N/A N/A</v>
        <stp/>
        <stp>BDP|10416214081495090944</stp>
        <tr r="X227" s="2"/>
      </tp>
      <tp t="s">
        <v>#N/A N/A</v>
        <stp/>
        <stp>BDP|16881383420639318830</stp>
        <tr r="V160" s="2"/>
      </tp>
      <tp t="s">
        <v>#N/A N/A</v>
        <stp/>
        <stp>BDP|10383465857825660241</stp>
        <tr r="U175" s="2"/>
      </tp>
      <tp t="s">
        <v>#N/A N/A</v>
        <stp/>
        <stp>BDP|13911197245813597305</stp>
        <tr r="D102" s="2"/>
      </tp>
      <tp t="s">
        <v>#N/A N/A</v>
        <stp/>
        <stp>BDP|12407170502417255233</stp>
        <tr r="I64" s="2"/>
      </tp>
      <tp t="s">
        <v>#N/A N/A</v>
        <stp/>
        <stp>BDP|10515240571305658667</stp>
        <tr r="Z76" s="2"/>
      </tp>
      <tp t="s">
        <v>#N/A N/A</v>
        <stp/>
        <stp>BDP|18137401409882133899</stp>
        <tr r="AE117" s="2"/>
      </tp>
      <tp t="s">
        <v>#N/A N/A</v>
        <stp/>
        <stp>BDP|16167247765245175114</stp>
        <tr r="H230" s="2"/>
      </tp>
      <tp t="s">
        <v>#N/A N/A</v>
        <stp/>
        <stp>BDP|12326697385633721986</stp>
        <tr r="I105" s="2"/>
      </tp>
      <tp t="s">
        <v>#N/A N/A</v>
        <stp/>
        <stp>BDP|16136393323939342888</stp>
        <tr r="AE150" s="2"/>
      </tp>
      <tp t="s">
        <v>#N/A N/A</v>
        <stp/>
        <stp>BDP|11093793406704810447</stp>
        <tr r="G109" s="2"/>
      </tp>
      <tp t="s">
        <v>#N/A N/A</v>
        <stp/>
        <stp>BDP|16403000000533495336</stp>
        <tr r="K223" s="2"/>
        <tr r="R223" s="2"/>
        <tr r="W223" s="2"/>
      </tp>
      <tp t="s">
        <v>#N/A N/A</v>
        <stp/>
        <stp>BDP|11546705784819574174</stp>
        <tr r="F155" s="2"/>
      </tp>
      <tp t="s">
        <v>#N/A N/A</v>
        <stp/>
        <stp>BDP|16668396518844748636</stp>
        <tr r="AD138" s="2"/>
      </tp>
      <tp t="s">
        <v>#N/A N/A</v>
        <stp/>
        <stp>BDP|12500506874216780055</stp>
        <tr r="AC107" s="2"/>
      </tp>
      <tp t="s">
        <v>#N/A N/A</v>
        <stp/>
        <stp>BDP|12891328008815925283</stp>
        <tr r="Q194" s="2"/>
      </tp>
      <tp t="s">
        <v>#N/A N/A</v>
        <stp/>
        <stp>BDP|10178319417096736235</stp>
        <tr r="M120" s="2"/>
      </tp>
      <tp t="s">
        <v>#N/A N/A</v>
        <stp/>
        <stp>BDP|17991139860516192083</stp>
        <tr r="I49" s="2"/>
      </tp>
      <tp t="s">
        <v>#N/A N/A</v>
        <stp/>
        <stp>BDP|10372595588238361328</stp>
        <tr r="X166" s="2"/>
      </tp>
      <tp t="s">
        <v>#N/A N/A</v>
        <stp/>
        <stp>BDP|11388270364503084038</stp>
        <tr r="D61" s="2"/>
      </tp>
      <tp t="s">
        <v>#N/A N/A</v>
        <stp/>
        <stp>BDP|17779586554515901417</stp>
        <tr r="T47" s="2"/>
      </tp>
      <tp t="s">
        <v>#N/A N/A</v>
        <stp/>
        <stp>BDP|10153922242472455964</stp>
        <tr r="B66" s="2"/>
      </tp>
      <tp t="s">
        <v>#N/A N/A</v>
        <stp/>
        <stp>BDP|16285589623315916232</stp>
        <tr r="L79" s="2"/>
      </tp>
      <tp t="s">
        <v>#N/A N/A</v>
        <stp/>
        <stp>BDP|17148240261026373344</stp>
        <tr r="B10" s="2"/>
      </tp>
      <tp t="s">
        <v>#N/A N/A</v>
        <stp/>
        <stp>BDP|13938431157884987075</stp>
        <tr r="S86" s="2"/>
      </tp>
      <tp t="s">
        <v>#N/A N/A</v>
        <stp/>
        <stp>BDP|14818219908191056129</stp>
        <tr r="F204" s="2"/>
      </tp>
      <tp t="s">
        <v>#N/A N/A</v>
        <stp/>
        <stp>BDP|17714216304892136116</stp>
        <tr r="AE163" s="2"/>
      </tp>
      <tp t="s">
        <v>#N/A N/A</v>
        <stp/>
        <stp>BDP|16550988129158607306</stp>
        <tr r="P182" s="2"/>
      </tp>
      <tp t="s">
        <v>#N/A N/A</v>
        <stp/>
        <stp>BDP|12744918696525374111</stp>
        <tr r="U81" s="2"/>
      </tp>
      <tp t="s">
        <v>#N/A N/A</v>
        <stp/>
        <stp>BDP|13791070945260709104</stp>
        <tr r="X54" s="2"/>
      </tp>
      <tp t="s">
        <v>#N/A N/A</v>
        <stp/>
        <stp>BDP|12184624650237930082</stp>
        <tr r="P109" s="2"/>
      </tp>
      <tp t="s">
        <v>#N/A N/A</v>
        <stp/>
        <stp>BDP|10524550833590991082</stp>
        <tr r="P219" s="2"/>
      </tp>
      <tp t="s">
        <v>#N/A N/A</v>
        <stp/>
        <stp>BDP|12226141592319309552</stp>
        <tr r="Z227" s="2"/>
      </tp>
      <tp t="s">
        <v>#N/A N/A</v>
        <stp/>
        <stp>BDP|11853068709976369163</stp>
        <tr r="H139" s="2"/>
      </tp>
      <tp t="s">
        <v>#N/A N/A</v>
        <stp/>
        <stp>BDP|15943104755491956671</stp>
        <tr r="H180" s="2"/>
      </tp>
      <tp t="s">
        <v>#N/A N/A</v>
        <stp/>
        <stp>BDP|13520068771177445549</stp>
        <tr r="S147" s="2"/>
      </tp>
      <tp t="s">
        <v>#N/A N/A</v>
        <stp/>
        <stp>BDP|15484447076897152728</stp>
        <tr r="B134" s="2"/>
      </tp>
      <tp t="s">
        <v>#N/A N/A</v>
        <stp/>
        <stp>BDP|14456236169204995220</stp>
        <tr r="T8" s="2"/>
      </tp>
      <tp t="s">
        <v>#N/A N/A</v>
        <stp/>
        <stp>BDP|17461674225836135326</stp>
        <tr r="AA151" s="2"/>
      </tp>
      <tp t="s">
        <v>#N/A N/A</v>
        <stp/>
        <stp>BDP|16805052188259886187</stp>
        <tr r="Y220" s="2"/>
      </tp>
      <tp t="s">
        <v>#N/A N/A</v>
        <stp/>
        <stp>BDP|10472121952844229632</stp>
        <tr r="M95" s="2"/>
      </tp>
      <tp t="s">
        <v>#N/A N/A</v>
        <stp/>
        <stp>BDP|17664882699696699646</stp>
        <tr r="I239" s="2"/>
      </tp>
      <tp t="s">
        <v>#N/A N/A</v>
        <stp/>
        <stp>BDP|17050669063250247129</stp>
        <tr r="V52" s="2"/>
      </tp>
      <tp t="s">
        <v>#N/A N/A</v>
        <stp/>
        <stp>BDP|16321412165180707250</stp>
        <tr r="E149" s="2"/>
      </tp>
      <tp t="s">
        <v>#N/A N/A</v>
        <stp/>
        <stp>BDP|16758848577229674678</stp>
        <tr r="D15" s="2"/>
      </tp>
      <tp t="s">
        <v>#N/A N/A</v>
        <stp/>
        <stp>BDP|16687951870278775619</stp>
        <tr r="G85" s="2"/>
      </tp>
      <tp t="s">
        <v>#N/A N/A</v>
        <stp/>
        <stp>BDP|15287096524897347697</stp>
        <tr r="D94" s="2"/>
      </tp>
      <tp t="s">
        <v>#N/A N/A</v>
        <stp/>
        <stp>BDP|10893825882270884653</stp>
        <tr r="AE218" s="2"/>
      </tp>
      <tp t="s">
        <v>#N/A N/A</v>
        <stp/>
        <stp>BDP|11274482229148139972</stp>
        <tr r="U202" s="2"/>
      </tp>
      <tp t="s">
        <v>#N/A N/A</v>
        <stp/>
        <stp>BDP|18198929451226104466</stp>
        <tr r="S210" s="2"/>
      </tp>
      <tp t="s">
        <v>#N/A N/A</v>
        <stp/>
        <stp>BDP|17398163442027113321</stp>
        <tr r="Z205" s="2"/>
      </tp>
      <tp t="s">
        <v>#N/A N/A</v>
        <stp/>
        <stp>BDP|17917709747186255486</stp>
        <tr r="C80" s="2"/>
      </tp>
      <tp t="s">
        <v>#N/A N/A</v>
        <stp/>
        <stp>BDP|10716078384708373633</stp>
        <tr r="Y217" s="2"/>
      </tp>
      <tp t="s">
        <v>#N/A N/A</v>
        <stp/>
        <stp>BDP|13075052771582786070</stp>
        <tr r="N171" s="2"/>
      </tp>
      <tp t="s">
        <v>#N/A N/A</v>
        <stp/>
        <stp>BDP|14503942687306693547</stp>
        <tr r="Z103" s="2"/>
      </tp>
      <tp t="s">
        <v>#N/A N/A</v>
        <stp/>
        <stp>BDP|16227058205569044965</stp>
        <tr r="Z71" s="2"/>
      </tp>
      <tp t="s">
        <v>#N/A N/A</v>
        <stp/>
        <stp>BDP|15167068425919794810</stp>
        <tr r="T83" s="2"/>
      </tp>
      <tp t="s">
        <v>#N/A N/A</v>
        <stp/>
        <stp>BDP|11021266842689762879</stp>
        <tr r="S158" s="2"/>
      </tp>
      <tp t="s">
        <v>#N/A N/A</v>
        <stp/>
        <stp>BDP|16772705944602591121</stp>
        <tr r="K213" s="2"/>
        <tr r="R213" s="2"/>
        <tr r="W213" s="2"/>
      </tp>
      <tp t="s">
        <v>#N/A N/A</v>
        <stp/>
        <stp>BDP|11233916591193135475</stp>
        <tr r="D74" s="2"/>
      </tp>
      <tp t="s">
        <v>#N/A N/A</v>
        <stp/>
        <stp>BDP|14498408436714529136</stp>
        <tr r="N42" s="2"/>
      </tp>
      <tp t="s">
        <v>#N/A N/A</v>
        <stp/>
        <stp>BDP|16770415384125243946</stp>
        <tr r="Q163" s="2"/>
      </tp>
      <tp t="s">
        <v>#N/A N/A</v>
        <stp/>
        <stp>BDP|11216403413591540303</stp>
        <tr r="D218" s="2"/>
      </tp>
      <tp t="s">
        <v>#N/A N/A</v>
        <stp/>
        <stp>BDP|13628442950347109375</stp>
        <tr r="H5" s="2"/>
      </tp>
      <tp t="s">
        <v>#N/A N/A</v>
        <stp/>
        <stp>BDP|11407703625435593708</stp>
        <tr r="U195" s="2"/>
      </tp>
      <tp t="s">
        <v>#N/A N/A</v>
        <stp/>
        <stp>BDP|15541213888840195992</stp>
        <tr r="AD70" s="2"/>
      </tp>
      <tp t="s">
        <v>#N/A N/A</v>
        <stp/>
        <stp>BDP|15185579727071437529</stp>
        <tr r="K122" s="2"/>
        <tr r="R122" s="2"/>
        <tr r="W122" s="2"/>
      </tp>
      <tp t="s">
        <v>#N/A N/A</v>
        <stp/>
        <stp>BDP|17587812905059766014</stp>
        <tr r="D35" s="2"/>
      </tp>
      <tp t="s">
        <v>#N/A N/A</v>
        <stp/>
        <stp>BDP|17067024867635521279</stp>
        <tr r="L36" s="2"/>
      </tp>
      <tp t="s">
        <v>#N/A N/A</v>
        <stp/>
        <stp>BDP|15056048844491321644</stp>
        <tr r="N2" s="2"/>
      </tp>
      <tp t="s">
        <v>#N/A N/A</v>
        <stp/>
        <stp>BDP|13286382967376332694</stp>
        <tr r="O144" s="2"/>
      </tp>
      <tp t="s">
        <v>#N/A N/A</v>
        <stp/>
        <stp>BDP|13593731453235106234</stp>
        <tr r="X162" s="2"/>
      </tp>
      <tp t="s">
        <v>#N/A N/A</v>
        <stp/>
        <stp>BDP|14568729451477768760</stp>
        <tr r="X74" s="2"/>
      </tp>
      <tp t="s">
        <v>#N/A N/A</v>
        <stp/>
        <stp>BDP|14510971983717790412</stp>
        <tr r="F195" s="2"/>
      </tp>
      <tp t="s">
        <v>#N/A N/A</v>
        <stp/>
        <stp>BDP|10360956050199210333</stp>
        <tr r="AD123" s="2"/>
      </tp>
      <tp t="s">
        <v>#N/A N/A</v>
        <stp/>
        <stp>BDP|10797849893256487138</stp>
        <tr r="T111" s="2"/>
      </tp>
      <tp t="s">
        <v>#N/A N/A</v>
        <stp/>
        <stp>BDP|15126247193721328922</stp>
        <tr r="C159" s="2"/>
      </tp>
      <tp t="s">
        <v>#N/A N/A</v>
        <stp/>
        <stp>BDP|16836771226171897468</stp>
        <tr r="N192" s="2"/>
      </tp>
      <tp t="s">
        <v>#N/A N/A</v>
        <stp/>
        <stp>BDP|10181323044917403643</stp>
        <tr r="M228" s="2"/>
      </tp>
      <tp t="s">
        <v>#N/A N/A</v>
        <stp/>
        <stp>BDP|12582261147347431579</stp>
        <tr r="D82" s="2"/>
      </tp>
      <tp t="s">
        <v>#N/A N/A</v>
        <stp/>
        <stp>BDP|15318230422487409412</stp>
        <tr r="AB120" s="2"/>
      </tp>
      <tp t="s">
        <v>#N/A N/A</v>
        <stp/>
        <stp>BDP|17789788948000323235</stp>
        <tr r="V89" s="2"/>
      </tp>
      <tp t="s">
        <v>#N/A N/A</v>
        <stp/>
        <stp>BDP|15880671254907416784</stp>
        <tr r="I68" s="2"/>
      </tp>
      <tp t="s">
        <v>#N/A N/A</v>
        <stp/>
        <stp>BDP|11119395347329844907</stp>
        <tr r="H173" s="2"/>
      </tp>
      <tp t="s">
        <v>#N/A N/A</v>
        <stp/>
        <stp>BDP|14902613966757197589</stp>
        <tr r="N235" s="2"/>
      </tp>
      <tp t="s">
        <v>#N/A N/A</v>
        <stp/>
        <stp>BDP|18012872980339395722</stp>
        <tr r="D145" s="2"/>
      </tp>
      <tp t="s">
        <v>#N/A N/A</v>
        <stp/>
        <stp>BDP|10331567760943454672</stp>
        <tr r="Z166" s="2"/>
      </tp>
      <tp t="s">
        <v>#N/A N/A</v>
        <stp/>
        <stp>BDP|12766342870392279279</stp>
        <tr r="AE126" s="2"/>
      </tp>
      <tp t="s">
        <v>#N/A N/A</v>
        <stp/>
        <stp>BDP|13233448476851590733</stp>
        <tr r="N25" s="2"/>
      </tp>
      <tp t="s">
        <v>#N/A N/A</v>
        <stp/>
        <stp>BDP|11122100840417593527</stp>
        <tr r="Y100" s="2"/>
      </tp>
      <tp t="s">
        <v>#N/A N/A</v>
        <stp/>
        <stp>BDP|10864868638455752877</stp>
        <tr r="D77" s="2"/>
      </tp>
      <tp t="s">
        <v>#N/A N/A</v>
        <stp/>
        <stp>BDP|18235710965999362634</stp>
        <tr r="C175" s="2"/>
      </tp>
      <tp t="s">
        <v>#N/A N/A</v>
        <stp/>
        <stp>BDP|15341375073262568549</stp>
        <tr r="E10" s="2"/>
      </tp>
      <tp t="s">
        <v>#N/A N/A</v>
        <stp/>
        <stp>BDP|17071478420294919380</stp>
        <tr r="AA235" s="2"/>
      </tp>
      <tp t="s">
        <v>#N/A N/A</v>
        <stp/>
        <stp>BDP|12393500503627759619</stp>
        <tr r="AD236" s="2"/>
      </tp>
      <tp t="s">
        <v>#N/A N/A</v>
        <stp/>
        <stp>BDP|15431134733784679546</stp>
        <tr r="C33" s="2"/>
      </tp>
      <tp t="s">
        <v>#N/A N/A</v>
        <stp/>
        <stp>BDP|14159563750411122300</stp>
        <tr r="G27" s="2"/>
      </tp>
      <tp t="s">
        <v>#N/A N/A</v>
        <stp/>
        <stp>BDP|11587483613601999314</stp>
        <tr r="B46" s="2"/>
      </tp>
      <tp t="s">
        <v>#N/A N/A</v>
        <stp/>
        <stp>BDP|17408042867181574643</stp>
        <tr r="AE161" s="2"/>
      </tp>
      <tp t="s">
        <v>#N/A N/A</v>
        <stp/>
        <stp>BDP|15497893998030343208</stp>
        <tr r="AC238" s="2"/>
      </tp>
      <tp t="s">
        <v>#N/A N/A</v>
        <stp/>
        <stp>BDP|14153551568771302095</stp>
        <tr r="Y133" s="2"/>
      </tp>
      <tp t="s">
        <v>#N/A N/A</v>
        <stp/>
        <stp>BDP|18386208559789394106</stp>
        <tr r="C18" s="2"/>
      </tp>
      <tp t="s">
        <v>#N/A N/A</v>
        <stp/>
        <stp>BDP|13826425923982586058</stp>
        <tr r="F20" s="2"/>
      </tp>
      <tp t="s">
        <v>#N/A N/A</v>
        <stp/>
        <stp>BDP|12220183600040583464</stp>
        <tr r="M67" s="2"/>
      </tp>
      <tp t="s">
        <v>#N/A N/A</v>
        <stp/>
        <stp>BDP|15497045279733914697</stp>
        <tr r="B15" s="2"/>
      </tp>
      <tp t="s">
        <v>#N/A N/A</v>
        <stp/>
        <stp>BDP|10529412986593331885</stp>
        <tr r="U240" s="2"/>
      </tp>
      <tp t="s">
        <v>#N/A N/A</v>
        <stp/>
        <stp>BDP|12236926138579766667</stp>
        <tr r="S165" s="2"/>
      </tp>
      <tp t="s">
        <v>#N/A N/A</v>
        <stp/>
        <stp>BDP|13208304770615207592</stp>
        <tr r="H147" s="2"/>
      </tp>
      <tp t="s">
        <v>#N/A N/A</v>
        <stp/>
        <stp>BDP|13320905299643630752</stp>
        <tr r="V228" s="2"/>
      </tp>
      <tp t="s">
        <v>#N/A N/A</v>
        <stp/>
        <stp>BDP|14669530319545522206</stp>
        <tr r="M181" s="2"/>
      </tp>
      <tp t="s">
        <v>#N/A N/A</v>
        <stp/>
        <stp>BDP|17925285672355351094</stp>
        <tr r="AA32" s="2"/>
      </tp>
      <tp t="s">
        <v>#N/A N/A</v>
        <stp/>
        <stp>BDP|11700721418835447509</stp>
        <tr r="B127" s="2"/>
      </tp>
      <tp t="s">
        <v>#N/A N/A</v>
        <stp/>
        <stp>BDP|17893255838574571585</stp>
        <tr r="AE183" s="2"/>
      </tp>
      <tp t="s">
        <v>#N/A N/A</v>
        <stp/>
        <stp>BDP|12942215927390482531</stp>
        <tr r="C189" s="2"/>
      </tp>
      <tp t="s">
        <v>#N/A N/A</v>
        <stp/>
        <stp>BDP|14980232812344040402</stp>
        <tr r="AE177" s="2"/>
      </tp>
      <tp t="s">
        <v>#N/A N/A</v>
        <stp/>
        <stp>BDP|15207037457275628288</stp>
        <tr r="S78" s="2"/>
      </tp>
      <tp t="s">
        <v>#N/A N/A</v>
        <stp/>
        <stp>BDP|10622300838917675003</stp>
        <tr r="L196" s="2"/>
      </tp>
      <tp t="s">
        <v>#N/A N/A</v>
        <stp/>
        <stp>BDP|17634291953970421704</stp>
        <tr r="AA184" s="2"/>
      </tp>
      <tp t="s">
        <v>#N/A N/A</v>
        <stp/>
        <stp>BDP|10054467061335851079</stp>
        <tr r="Q157" s="2"/>
      </tp>
      <tp t="s">
        <v>#N/A N/A</v>
        <stp/>
        <stp>BDP|11080383872272710054</stp>
        <tr r="O4" s="2"/>
      </tp>
      <tp t="s">
        <v>#N/A N/A</v>
        <stp/>
        <stp>BDP|10327207152964195486</stp>
        <tr r="Q28" s="2"/>
      </tp>
      <tp t="s">
        <v>#N/A N/A</v>
        <stp/>
        <stp>BDP|15051506294128881648</stp>
        <tr r="T222" s="2"/>
      </tp>
      <tp t="s">
        <v>#N/A N/A</v>
        <stp/>
        <stp>BDP|12436107445972151289</stp>
        <tr r="P64" s="2"/>
      </tp>
      <tp t="s">
        <v>#N/A N/A</v>
        <stp/>
        <stp>BDP|11976597752771924730</stp>
        <tr r="B149" s="2"/>
      </tp>
      <tp t="s">
        <v>#N/A N/A</v>
        <stp/>
        <stp>BDP|12455686725627200631</stp>
        <tr r="B150" s="2"/>
      </tp>
      <tp t="s">
        <v>#N/A N/A</v>
        <stp/>
        <stp>BDP|14679063405970674381</stp>
        <tr r="Y10" s="2"/>
      </tp>
      <tp t="s">
        <v>#N/A N/A</v>
        <stp/>
        <stp>BDP|15312231633037188492</stp>
        <tr r="AB24" s="2"/>
      </tp>
      <tp t="s">
        <v>#N/A N/A</v>
        <stp/>
        <stp>BDP|17742651369996326636</stp>
        <tr r="S183" s="2"/>
      </tp>
      <tp t="s">
        <v>#N/A N/A</v>
        <stp/>
        <stp>BDP|13261547960112918549</stp>
        <tr r="AD44" s="2"/>
      </tp>
      <tp t="s">
        <v>#N/A N/A</v>
        <stp/>
        <stp>BDP|14595100528415773514</stp>
        <tr r="Y173" s="2"/>
      </tp>
      <tp t="s">
        <v>#N/A N/A</v>
        <stp/>
        <stp>BDP|16026303757507411086</stp>
        <tr r="X24" s="2"/>
      </tp>
      <tp t="s">
        <v>#N/A N/A</v>
        <stp/>
        <stp>BDP|13874028695448033549</stp>
        <tr r="C77" s="2"/>
      </tp>
      <tp t="s">
        <v>#N/A N/A</v>
        <stp/>
        <stp>BDP|16604626333443925750</stp>
        <tr r="S39" s="2"/>
      </tp>
      <tp t="s">
        <v>#N/A N/A</v>
        <stp/>
        <stp>BDP|16350698511882488456</stp>
        <tr r="H185" s="2"/>
      </tp>
      <tp t="s">
        <v>#N/A N/A</v>
        <stp/>
        <stp>BDP|12544632603140874379</stp>
        <tr r="B147" s="2"/>
      </tp>
      <tp t="s">
        <v>#N/A N/A</v>
        <stp/>
        <stp>BDP|10592586732309343860</stp>
        <tr r="P148" s="2"/>
      </tp>
      <tp t="s">
        <v>#N/A N/A</v>
        <stp/>
        <stp>BDP|18335150693063997462</stp>
        <tr r="L224" s="2"/>
      </tp>
      <tp t="s">
        <v>#N/A N/A</v>
        <stp/>
        <stp>BDP|12381917349978018018</stp>
        <tr r="I240" s="2"/>
      </tp>
      <tp t="s">
        <v>#N/A N/A</v>
        <stp/>
        <stp>BDP|14095156319746634504</stp>
        <tr r="D37" s="2"/>
      </tp>
      <tp t="s">
        <v>#N/A N/A</v>
        <stp/>
        <stp>BDP|16754721151295807668</stp>
        <tr r="H207" s="2"/>
      </tp>
      <tp t="s">
        <v>#N/A N/A</v>
        <stp/>
        <stp>BDP|10287282121565563248</stp>
        <tr r="D72" s="2"/>
      </tp>
      <tp t="s">
        <v>#N/A N/A</v>
        <stp/>
        <stp>BDP|15930644154713321205</stp>
        <tr r="K22" s="2"/>
        <tr r="R22" s="2"/>
        <tr r="W22" s="2"/>
      </tp>
      <tp t="s">
        <v>#N/A N/A</v>
        <stp/>
        <stp>BDP|16424594165277521570</stp>
        <tr r="Z113" s="2"/>
      </tp>
      <tp t="s">
        <v>#N/A N/A</v>
        <stp/>
        <stp>BDP|13638388811873333565</stp>
        <tr r="M213" s="2"/>
      </tp>
      <tp t="s">
        <v>#N/A N/A</v>
        <stp/>
        <stp>BDP|13852976483841553440</stp>
        <tr r="U203" s="2"/>
      </tp>
      <tp t="s">
        <v>#N/A N/A</v>
        <stp/>
        <stp>BDP|11178719448137534201</stp>
        <tr r="AB185" s="2"/>
      </tp>
      <tp t="s">
        <v>#N/A N/A</v>
        <stp/>
        <stp>BDP|12162335529584799012</stp>
        <tr r="N238" s="2"/>
      </tp>
      <tp t="s">
        <v>#N/A N/A</v>
        <stp/>
        <stp>BDP|11291726597409935135</stp>
        <tr r="AC153" s="2"/>
      </tp>
      <tp t="s">
        <v>#N/A N/A</v>
        <stp/>
        <stp>BDP|13900515911888183858</stp>
        <tr r="L213" s="2"/>
      </tp>
      <tp t="s">
        <v>#N/A N/A</v>
        <stp/>
        <stp>BDP|14325610089524249940</stp>
        <tr r="P216" s="2"/>
      </tp>
      <tp t="s">
        <v>#N/A N/A</v>
        <stp/>
        <stp>BDP|14613492910891389710</stp>
        <tr r="O240" s="2"/>
      </tp>
      <tp t="s">
        <v>#N/A N/A</v>
        <stp/>
        <stp>BDP|10643475778612431607</stp>
        <tr r="E56" s="2"/>
      </tp>
      <tp t="s">
        <v>#N/A N/A</v>
        <stp/>
        <stp>BDP|15742945633110456896</stp>
        <tr r="K227" s="2"/>
        <tr r="R227" s="2"/>
        <tr r="W227" s="2"/>
      </tp>
      <tp t="s">
        <v>#N/A N/A</v>
        <stp/>
        <stp>BDP|15162031158560138763</stp>
        <tr r="N159" s="2"/>
      </tp>
      <tp t="s">
        <v>#N/A N/A</v>
        <stp/>
        <stp>BDP|12437420361195943234</stp>
        <tr r="N162" s="2"/>
      </tp>
      <tp t="s">
        <v>#N/A N/A</v>
        <stp/>
        <stp>BDP|14361384970981787611</stp>
        <tr r="AC189" s="2"/>
      </tp>
      <tp t="s">
        <v>#N/A N/A</v>
        <stp/>
        <stp>BDP|12825540712343575264</stp>
        <tr r="M193" s="2"/>
      </tp>
      <tp t="s">
        <v>#N/A N/A</v>
        <stp/>
        <stp>BDP|10392605177580803618</stp>
        <tr r="B206" s="2"/>
      </tp>
      <tp t="s">
        <v>#N/A N/A</v>
        <stp/>
        <stp>BDP|15402750831225502385</stp>
        <tr r="V74" s="2"/>
      </tp>
      <tp t="s">
        <v>#N/A N/A</v>
        <stp/>
        <stp>BDP|15606399654835634105</stp>
        <tr r="Z158" s="2"/>
      </tp>
      <tp t="s">
        <v>#N/A N/A</v>
        <stp/>
        <stp>BDP|17422664504901986720</stp>
        <tr r="AE93" s="2"/>
      </tp>
      <tp t="s">
        <v>#N/A N/A</v>
        <stp/>
        <stp>BDP|12519178443904430485</stp>
        <tr r="AB123" s="2"/>
      </tp>
      <tp t="s">
        <v>#N/A N/A</v>
        <stp/>
        <stp>BDP|13292495661225317349</stp>
        <tr r="AD130" s="2"/>
      </tp>
      <tp t="s">
        <v>#N/A N/A</v>
        <stp/>
        <stp>BDP|16974725280549630702</stp>
        <tr r="S116" s="2"/>
      </tp>
      <tp t="s">
        <v>#N/A N/A</v>
        <stp/>
        <stp>BDP|11309608914159902821</stp>
        <tr r="I39" s="2"/>
      </tp>
      <tp t="s">
        <v>#N/A N/A</v>
        <stp/>
        <stp>BDP|12234899980304378141</stp>
        <tr r="S201" s="2"/>
      </tp>
      <tp t="s">
        <v>#N/A N/A</v>
        <stp/>
        <stp>BDP|18172549584511513385</stp>
        <tr r="O154" s="2"/>
      </tp>
      <tp t="s">
        <v>#N/A N/A</v>
        <stp/>
        <stp>BDP|18001113496995858233</stp>
        <tr r="AD197" s="2"/>
      </tp>
      <tp t="s">
        <v>#N/A N/A</v>
        <stp/>
        <stp>BDP|17335226169275481103</stp>
        <tr r="N61" s="2"/>
      </tp>
      <tp t="s">
        <v>#N/A N/A</v>
        <stp/>
        <stp>BDP|11945481363976997277</stp>
        <tr r="V224" s="2"/>
      </tp>
      <tp t="s">
        <v>#N/A N/A</v>
        <stp/>
        <stp>BDP|12909547022107538567</stp>
        <tr r="I107" s="2"/>
      </tp>
      <tp t="s">
        <v>#N/A N/A</v>
        <stp/>
        <stp>BDP|10825360262504607665</stp>
        <tr r="C227" s="2"/>
      </tp>
      <tp t="s">
        <v>#N/A N/A</v>
        <stp/>
        <stp>BDP|16961561399809898427</stp>
        <tr r="G92" s="2"/>
      </tp>
      <tp t="s">
        <v>#N/A N/A</v>
        <stp/>
        <stp>BDP|17959473896778324576</stp>
        <tr r="B135" s="2"/>
      </tp>
      <tp t="s">
        <v>#N/A N/A</v>
        <stp/>
        <stp>BDP|12355089940220113156</stp>
        <tr r="X37" s="2"/>
      </tp>
      <tp t="s">
        <v>#N/A N/A</v>
        <stp/>
        <stp>BDP|11956441108912230087</stp>
        <tr r="S127" s="2"/>
      </tp>
      <tp t="s">
        <v>#N/A N/A</v>
        <stp/>
        <stp>BDP|13737399342001706242</stp>
        <tr r="AC105" s="2"/>
      </tp>
      <tp t="s">
        <v>#N/A N/A</v>
        <stp/>
        <stp>BDP|14440598404613325557</stp>
        <tr r="U126" s="2"/>
      </tp>
      <tp t="s">
        <v>#N/A N/A</v>
        <stp/>
        <stp>BDP|10012056519461567769</stp>
        <tr r="O191" s="2"/>
      </tp>
      <tp t="s">
        <v>#N/A N/A</v>
        <stp/>
        <stp>BDP|16114695977273652361</stp>
        <tr r="AC118" s="2"/>
      </tp>
      <tp t="s">
        <v>#N/A N/A</v>
        <stp/>
        <stp>BDP|15622524309851594675</stp>
        <tr r="M18" s="2"/>
      </tp>
      <tp t="s">
        <v>#N/A N/A</v>
        <stp/>
        <stp>BDP|12880178356380304152</stp>
        <tr r="L102" s="2"/>
      </tp>
      <tp t="s">
        <v>#N/A N/A</v>
        <stp/>
        <stp>BDP|16864332607272244012</stp>
        <tr r="T101" s="2"/>
      </tp>
      <tp t="s">
        <v>#N/A N/A</v>
        <stp/>
        <stp>BDP|14818631906607677247</stp>
        <tr r="E48" s="2"/>
      </tp>
      <tp t="s">
        <v>#N/A N/A</v>
        <stp/>
        <stp>BDP|13453694262353056702</stp>
        <tr r="N184" s="2"/>
      </tp>
      <tp t="s">
        <v>#N/A N/A</v>
        <stp/>
        <stp>BDP|14028749744167674786</stp>
        <tr r="Z132" s="2"/>
      </tp>
      <tp t="s">
        <v>#N/A N/A</v>
        <stp/>
        <stp>BDP|10721768280331952965</stp>
        <tr r="E107" s="2"/>
      </tp>
      <tp t="s">
        <v>#N/A N/A</v>
        <stp/>
        <stp>BDP|12422121620220169698</stp>
        <tr r="P105" s="2"/>
      </tp>
      <tp t="s">
        <v>#N/A N/A</v>
        <stp/>
        <stp>BDP|13587626620052921203</stp>
        <tr r="U133" s="2"/>
      </tp>
      <tp t="s">
        <v>#N/A N/A</v>
        <stp/>
        <stp>BDP|11681003775478972947</stp>
        <tr r="B235" s="2"/>
      </tp>
      <tp t="s">
        <v>#N/A N/A</v>
        <stp/>
        <stp>BDP|15553550307434040396</stp>
        <tr r="P195" s="2"/>
      </tp>
      <tp t="s">
        <v>#N/A N/A</v>
        <stp/>
        <stp>BDP|13021783255274508264</stp>
        <tr r="T166" s="2"/>
      </tp>
      <tp t="s">
        <v>#N/A N/A</v>
        <stp/>
        <stp>BDP|15633081351434927382</stp>
        <tr r="N44" s="2"/>
      </tp>
      <tp t="s">
        <v>#N/A N/A</v>
        <stp/>
        <stp>BDP|11799103818895783390</stp>
        <tr r="H156" s="2"/>
      </tp>
      <tp t="s">
        <v>#N/A N/A</v>
        <stp/>
        <stp>BDP|11652910946943776873</stp>
        <tr r="AA88" s="2"/>
      </tp>
      <tp t="s">
        <v>#N/A N/A</v>
        <stp/>
        <stp>BDP|10180014318540069690</stp>
        <tr r="T214" s="2"/>
      </tp>
      <tp t="s">
        <v>#N/A N/A</v>
        <stp/>
        <stp>BDP|17531641157907424436</stp>
        <tr r="F16" s="2"/>
      </tp>
      <tp t="s">
        <v>#N/A N/A</v>
        <stp/>
        <stp>BDP|12379809714438452421</stp>
        <tr r="K206" s="2"/>
        <tr r="R206" s="2"/>
        <tr r="W206" s="2"/>
      </tp>
      <tp t="s">
        <v>#N/A N/A</v>
        <stp/>
        <stp>BDP|12510018410785067156</stp>
        <tr r="AB30" s="2"/>
      </tp>
      <tp t="s">
        <v>#N/A N/A</v>
        <stp/>
        <stp>BDP|14363716405845759110</stp>
        <tr r="X26" s="2"/>
      </tp>
      <tp t="s">
        <v>#N/A N/A</v>
        <stp/>
        <stp>BDP|17129172969593895460</stp>
        <tr r="O38" s="2"/>
      </tp>
      <tp t="s">
        <v>#N/A N/A</v>
        <stp/>
        <stp>BDP|15215531091378684677</stp>
        <tr r="G98" s="2"/>
      </tp>
      <tp t="s">
        <v>#N/A N/A</v>
        <stp/>
        <stp>BDP|17893078773614868350</stp>
        <tr r="T73" s="2"/>
      </tp>
      <tp t="s">
        <v>#N/A N/A</v>
        <stp/>
        <stp>BDP|11450511633624720401</stp>
        <tr r="X89" s="2"/>
      </tp>
      <tp t="s">
        <v>#N/A N/A</v>
        <stp/>
        <stp>BDP|13174741965311673472</stp>
        <tr r="AD220" s="2"/>
      </tp>
      <tp t="s">
        <v>#N/A N/A</v>
        <stp/>
        <stp>BDP|11544861242203358932</stp>
        <tr r="V188" s="2"/>
      </tp>
      <tp t="s">
        <v>#N/A N/A</v>
        <stp/>
        <stp>BDP|16369761105783572547</stp>
        <tr r="G232" s="2"/>
      </tp>
      <tp t="s">
        <v>#N/A N/A</v>
        <stp/>
        <stp>BDP|16159855487864260508</stp>
        <tr r="T199" s="2"/>
      </tp>
      <tp t="s">
        <v>#N/A N/A</v>
        <stp/>
        <stp>BDP|15468311952140533430</stp>
        <tr r="M168" s="2"/>
      </tp>
      <tp t="s">
        <v>#N/A N/A</v>
        <stp/>
        <stp>BDP|17972580725070561705</stp>
        <tr r="X189" s="2"/>
      </tp>
      <tp t="s">
        <v>#N/A N/A</v>
        <stp/>
        <stp>BDP|11327252777774043719</stp>
        <tr r="F48" s="2"/>
      </tp>
      <tp t="s">
        <v>#N/A N/A</v>
        <stp/>
        <stp>BDP|10902750643014797081</stp>
        <tr r="AD211" s="2"/>
      </tp>
      <tp t="s">
        <v>#N/A N/A</v>
        <stp/>
        <stp>BDP|16143399128056390639</stp>
        <tr r="Z74" s="2"/>
      </tp>
      <tp t="s">
        <v>#N/A N/A</v>
        <stp/>
        <stp>BDP|17825456279971186258</stp>
        <tr r="O89" s="2"/>
      </tp>
      <tp t="s">
        <v>#N/A N/A</v>
        <stp/>
        <stp>BDP|15646408524142430662</stp>
        <tr r="K76" s="2"/>
        <tr r="R76" s="2"/>
        <tr r="W76" s="2"/>
      </tp>
      <tp t="s">
        <v>#N/A N/A</v>
        <stp/>
        <stp>BDP|10271088425707643290</stp>
        <tr r="U140" s="2"/>
      </tp>
      <tp t="s">
        <v>#N/A N/A</v>
        <stp/>
        <stp>BDP|15765730935443701561</stp>
        <tr r="AA6" s="2"/>
      </tp>
      <tp t="s">
        <v>#N/A N/A</v>
        <stp/>
        <stp>BDP|13045020739380805735</stp>
        <tr r="L7" s="2"/>
      </tp>
      <tp t="s">
        <v>#N/A N/A</v>
        <stp/>
        <stp>BDP|14222374537444673747</stp>
        <tr r="Q192" s="2"/>
      </tp>
      <tp t="s">
        <v>#N/A N/A</v>
        <stp/>
        <stp>BDP|10480248721055645275</stp>
        <tr r="AC62" s="2"/>
      </tp>
      <tp t="s">
        <v>#N/A N/A</v>
        <stp/>
        <stp>BDP|17153076502321408100</stp>
        <tr r="M143" s="2"/>
      </tp>
      <tp t="s">
        <v>#N/A N/A</v>
        <stp/>
        <stp>BDP|15147752251180202077</stp>
        <tr r="AE4" s="2"/>
      </tp>
      <tp t="s">
        <v>#N/A N/A</v>
        <stp/>
        <stp>BDP|14173157444835716379</stp>
        <tr r="H189" s="2"/>
      </tp>
      <tp t="s">
        <v>#N/A N/A</v>
        <stp/>
        <stp>BDP|11931474819072543124</stp>
        <tr r="E169" s="2"/>
      </tp>
      <tp t="s">
        <v>#N/A N/A</v>
        <stp/>
        <stp>BDP|15393292099188194124</stp>
        <tr r="C20" s="2"/>
      </tp>
      <tp t="s">
        <v>#N/A N/A</v>
        <stp/>
        <stp>BDP|14597349865190043642</stp>
        <tr r="Q11" s="2"/>
      </tp>
      <tp t="s">
        <v>#N/A N/A</v>
        <stp/>
        <stp>BDP|10052475985689182238</stp>
        <tr r="P9" s="2"/>
      </tp>
      <tp t="s">
        <v>#N/A N/A</v>
        <stp/>
        <stp>BDP|16716708130120694517</stp>
        <tr r="F230" s="2"/>
      </tp>
      <tp t="s">
        <v>#N/A N/A</v>
        <stp/>
        <stp>BDP|17488115837130723265</stp>
        <tr r="Q124" s="2"/>
      </tp>
      <tp t="s">
        <v>#N/A N/A</v>
        <stp/>
        <stp>BDP|13726009276320410363</stp>
        <tr r="AC191" s="2"/>
      </tp>
      <tp t="s">
        <v>#N/A N/A</v>
        <stp/>
        <stp>BDP|16660085042870818573</stp>
        <tr r="N240" s="2"/>
      </tp>
      <tp t="s">
        <v>#N/A N/A</v>
        <stp/>
        <stp>BDP|10184071004100255734</stp>
        <tr r="E61" s="2"/>
      </tp>
      <tp t="s">
        <v>#N/A N/A</v>
        <stp/>
        <stp>BDP|11790629616449456849</stp>
        <tr r="AD194" s="2"/>
      </tp>
      <tp t="s">
        <v>#N/A N/A</v>
        <stp/>
        <stp>BDP|13496354076435009546</stp>
        <tr r="G201" s="2"/>
      </tp>
      <tp t="s">
        <v>#N/A N/A</v>
        <stp/>
        <stp>BDP|17042802387526450608</stp>
        <tr r="D34" s="2"/>
      </tp>
      <tp t="s">
        <v>#N/A N/A</v>
        <stp/>
        <stp>BDP|11779751716947350746</stp>
        <tr r="F108" s="2"/>
      </tp>
      <tp t="s">
        <v>#N/A N/A</v>
        <stp/>
        <stp>BDP|12608445486229449030</stp>
        <tr r="N62" s="2"/>
      </tp>
      <tp t="s">
        <v>#N/A N/A</v>
        <stp/>
        <stp>BDP|13590523183288594123</stp>
        <tr r="X158" s="2"/>
      </tp>
      <tp t="s">
        <v>#N/A N/A</v>
        <stp/>
        <stp>BDP|13760072480538152426</stp>
        <tr r="Y226" s="2"/>
      </tp>
      <tp t="s">
        <v>#N/A N/A</v>
        <stp/>
        <stp>BDP|10827788742926602271</stp>
        <tr r="K30" s="2"/>
        <tr r="R30" s="2"/>
        <tr r="W30" s="2"/>
      </tp>
      <tp t="s">
        <v>#N/A N/A</v>
        <stp/>
        <stp>BDP|13851394722142760777</stp>
        <tr r="M180" s="2"/>
      </tp>
      <tp t="s">
        <v>#N/A N/A</v>
        <stp/>
        <stp>BDP|15666171977701580508</stp>
        <tr r="M34" s="2"/>
      </tp>
      <tp t="s">
        <v>#N/A N/A</v>
        <stp/>
        <stp>BDP|16093234824006084745</stp>
        <tr r="Y95" s="2"/>
      </tp>
      <tp t="s">
        <v>#N/A N/A</v>
        <stp/>
        <stp>BDP|13271051158140901157</stp>
        <tr r="AB7" s="2"/>
      </tp>
      <tp t="s">
        <v>#N/A N/A</v>
        <stp/>
        <stp>BDP|17990047408874395458</stp>
        <tr r="C169" s="2"/>
      </tp>
      <tp t="s">
        <v>#N/A N/A</v>
        <stp/>
        <stp>BDP|15841293661187437173</stp>
        <tr r="AD29" s="2"/>
      </tp>
      <tp t="s">
        <v>#N/A N/A</v>
        <stp/>
        <stp>BDP|11817357618180447438</stp>
        <tr r="U237" s="2"/>
      </tp>
      <tp t="s">
        <v>#N/A N/A</v>
        <stp/>
        <stp>BDP|10182600034940138268</stp>
        <tr r="O145" s="2"/>
      </tp>
      <tp t="s">
        <v>#N/A N/A</v>
        <stp/>
        <stp>BDP|17440799878329606917</stp>
        <tr r="X19" s="2"/>
      </tp>
      <tp t="s">
        <v>#N/A N/A</v>
        <stp/>
        <stp>BDP|18081428132011170939</stp>
        <tr r="I189" s="2"/>
      </tp>
      <tp t="s">
        <v>#N/A N/A</v>
        <stp/>
        <stp>BDP|12109752249872753482</stp>
        <tr r="G23" s="2"/>
      </tp>
      <tp t="s">
        <v>#N/A N/A</v>
        <stp/>
        <stp>BDP|16814228834056822647</stp>
        <tr r="H48" s="2"/>
      </tp>
      <tp t="s">
        <v>#N/A N/A</v>
        <stp/>
        <stp>BDP|14069035007412765110</stp>
        <tr r="I15" s="2"/>
      </tp>
      <tp t="s">
        <v>#N/A N/A</v>
        <stp/>
        <stp>BDP|17937561038301441714</stp>
        <tr r="B96" s="2"/>
      </tp>
      <tp t="s">
        <v>#N/A N/A</v>
        <stp/>
        <stp>BDP|12708305246487119520</stp>
        <tr r="AD155" s="2"/>
      </tp>
      <tp t="s">
        <v>#N/A N/A</v>
        <stp/>
        <stp>BDP|14804287935671619310</stp>
        <tr r="D139" s="2"/>
      </tp>
      <tp t="s">
        <v>#N/A N/A</v>
        <stp/>
        <stp>BDP|18092479407379224206</stp>
        <tr r="AD167" s="2"/>
      </tp>
      <tp t="s">
        <v>#N/A N/A</v>
        <stp/>
        <stp>BDP|17695658978988979909</stp>
        <tr r="Z70" s="2"/>
      </tp>
      <tp t="s">
        <v>#N/A N/A</v>
        <stp/>
        <stp>BDP|13476817873308425307</stp>
        <tr r="AC228" s="2"/>
      </tp>
      <tp t="s">
        <v>#N/A N/A</v>
        <stp/>
        <stp>BDP|16161967919948467188</stp>
        <tr r="L39" s="2"/>
      </tp>
      <tp t="s">
        <v>#N/A N/A</v>
        <stp/>
        <stp>BDP|11200406977480222555</stp>
        <tr r="Q14" s="2"/>
      </tp>
      <tp t="s">
        <v>#N/A N/A</v>
        <stp/>
        <stp>BDP|12431115307161506553</stp>
        <tr r="C231" s="2"/>
      </tp>
      <tp t="s">
        <v>#N/A N/A</v>
        <stp/>
        <stp>BDP|11178214283909411520</stp>
        <tr r="T213" s="2"/>
      </tp>
      <tp t="s">
        <v>#N/A N/A</v>
        <stp/>
        <stp>BDP|10645491218200587274</stp>
        <tr r="L70" s="2"/>
      </tp>
      <tp t="s">
        <v>#N/A N/A</v>
        <stp/>
        <stp>BDP|12787471444793232634</stp>
        <tr r="B232" s="2"/>
      </tp>
      <tp t="s">
        <v>#N/A N/A</v>
        <stp/>
        <stp>BDP|10557474371865353155</stp>
        <tr r="G67" s="2"/>
      </tp>
      <tp t="s">
        <v>#N/A N/A</v>
        <stp/>
        <stp>BDP|15325093812382836159</stp>
        <tr r="M229" s="2"/>
      </tp>
      <tp t="s">
        <v>#N/A N/A</v>
        <stp/>
        <stp>BDP|16174411750490359068</stp>
        <tr r="T123" s="2"/>
      </tp>
      <tp t="s">
        <v>#N/A N/A</v>
        <stp/>
        <stp>BDP|10294381425987343198</stp>
        <tr r="V100" s="2"/>
      </tp>
      <tp t="s">
        <v>#N/A N/A</v>
        <stp/>
        <stp>BDP|10050686234856043492</stp>
        <tr r="X130" s="2"/>
      </tp>
      <tp t="s">
        <v>#N/A N/A</v>
        <stp/>
        <stp>BDP|11517331624315286256</stp>
        <tr r="AB52" s="2"/>
      </tp>
      <tp t="s">
        <v>#N/A N/A</v>
        <stp/>
        <stp>BDP|15452843428139984142</stp>
        <tr r="U198" s="2"/>
      </tp>
      <tp t="s">
        <v>#N/A N/A</v>
        <stp/>
        <stp>BDP|17499241457802641548</stp>
        <tr r="H231" s="2"/>
      </tp>
      <tp t="s">
        <v>#N/A N/A</v>
        <stp/>
        <stp>BDP|18073625636852506846</stp>
        <tr r="B186" s="2"/>
      </tp>
      <tp t="s">
        <v>#N/A N/A</v>
        <stp/>
        <stp>BDP|17314528765376765560</stp>
        <tr r="M101" s="2"/>
      </tp>
      <tp t="s">
        <v>#N/A N/A</v>
        <stp/>
        <stp>BDP|17517749907622387505</stp>
        <tr r="AA48" s="2"/>
      </tp>
      <tp t="s">
        <v>#N/A N/A</v>
        <stp/>
        <stp>BDP|13591011363746545478</stp>
        <tr r="C87" s="2"/>
      </tp>
      <tp t="s">
        <v>#N/A N/A</v>
        <stp/>
        <stp>BDP|10072347252046727740</stp>
        <tr r="AE101" s="2"/>
      </tp>
      <tp t="s">
        <v>#N/A N/A</v>
        <stp/>
        <stp>BDP|12215035350535755533</stp>
        <tr r="L143" s="2"/>
      </tp>
      <tp t="s">
        <v>#N/A N/A</v>
        <stp/>
        <stp>BDP|11893563355355985377</stp>
        <tr r="V96" s="2"/>
      </tp>
      <tp t="s">
        <v>#N/A N/A</v>
        <stp/>
        <stp>BDP|17506106940547935295</stp>
        <tr r="P95" s="2"/>
      </tp>
      <tp t="s">
        <v>#N/A N/A</v>
        <stp/>
        <stp>BDP|18215391581206840273</stp>
        <tr r="Z146" s="2"/>
      </tp>
      <tp t="s">
        <v>#N/A N/A</v>
        <stp/>
        <stp>BDP|14262557400411387707</stp>
        <tr r="AA87" s="2"/>
      </tp>
      <tp t="s">
        <v>#N/A N/A</v>
        <stp/>
        <stp>BDP|14464224068086224189</stp>
        <tr r="N16" s="2"/>
      </tp>
      <tp t="s">
        <v>#N/A N/A</v>
        <stp/>
        <stp>BDP|18105983258806307563</stp>
        <tr r="N155" s="2"/>
      </tp>
      <tp t="s">
        <v>#N/A N/A</v>
        <stp/>
        <stp>BDP|15044507736443275708</stp>
        <tr r="S207" s="2"/>
      </tp>
      <tp t="s">
        <v>#N/A N/A</v>
        <stp/>
        <stp>BDP|14025040250245778378</stp>
        <tr r="AD166" s="2"/>
      </tp>
      <tp t="s">
        <v>#N/A N/A</v>
        <stp/>
        <stp>BDP|14853322178423688405</stp>
        <tr r="O235" s="2"/>
      </tp>
      <tp t="s">
        <v>#N/A N/A</v>
        <stp/>
        <stp>BDP|18436314006848270456</stp>
        <tr r="H216" s="2"/>
      </tp>
      <tp t="s">
        <v>#N/A N/A</v>
        <stp/>
        <stp>BDP|15093740776732714012</stp>
        <tr r="H129" s="2"/>
      </tp>
      <tp t="s">
        <v>#N/A N/A</v>
        <stp/>
        <stp>BDP|11758132011871738760</stp>
        <tr r="AC186" s="2"/>
      </tp>
      <tp t="s">
        <v>#N/A N/A</v>
        <stp/>
        <stp>BDP|13198736776567210329</stp>
        <tr r="Q119" s="2"/>
      </tp>
      <tp t="s">
        <v>#N/A N/A</v>
        <stp/>
        <stp>BDP|14657758476824510744</stp>
        <tr r="AB115" s="2"/>
      </tp>
      <tp t="s">
        <v>#N/A N/A</v>
        <stp/>
        <stp>BDP|13740110428014231380</stp>
        <tr r="K222" s="2"/>
        <tr r="R222" s="2"/>
        <tr r="W222" s="2"/>
      </tp>
      <tp t="s">
        <v>#N/A N/A</v>
        <stp/>
        <stp>BDP|12437915207868091462</stp>
        <tr r="AC133" s="2"/>
      </tp>
      <tp t="s">
        <v>#N/A N/A</v>
        <stp/>
        <stp>BDP|13783425702925584568</stp>
        <tr r="AD175" s="2"/>
      </tp>
      <tp t="s">
        <v>#N/A N/A</v>
        <stp/>
        <stp>BDP|13944670049625415348</stp>
        <tr r="Z81" s="2"/>
      </tp>
      <tp t="s">
        <v>#N/A N/A</v>
        <stp/>
        <stp>BDP|13473341662253350268</stp>
        <tr r="K187" s="2"/>
        <tr r="R187" s="2"/>
        <tr r="W187" s="2"/>
      </tp>
      <tp t="s">
        <v>#N/A N/A</v>
        <stp/>
        <stp>BDP|14602309375770419707</stp>
        <tr r="F103" s="2"/>
      </tp>
      <tp t="s">
        <v>#N/A N/A</v>
        <stp/>
        <stp>BDP|14002716430942135573</stp>
        <tr r="M177" s="2"/>
      </tp>
      <tp t="s">
        <v>#N/A N/A</v>
        <stp/>
        <stp>BDP|16468209231216150635</stp>
        <tr r="L208" s="2"/>
      </tp>
      <tp t="s">
        <v>#N/A N/A</v>
        <stp/>
        <stp>BDP|14255271824676767517</stp>
        <tr r="P137" s="2"/>
      </tp>
      <tp t="s">
        <v>#N/A N/A</v>
        <stp/>
        <stp>BDP|13378424715747577662</stp>
        <tr r="H21" s="2"/>
      </tp>
      <tp t="s">
        <v>#N/A N/A</v>
        <stp/>
        <stp>BDP|16474515668025971734</stp>
        <tr r="G77" s="2"/>
      </tp>
      <tp t="s">
        <v>#N/A N/A</v>
        <stp/>
        <stp>BDP|10925037638376389269</stp>
        <tr r="V8" s="2"/>
      </tp>
      <tp t="s">
        <v>#N/A N/A</v>
        <stp/>
        <stp>BDP|15913759601530219589</stp>
        <tr r="E207" s="2"/>
      </tp>
      <tp t="s">
        <v>#N/A N/A</v>
        <stp/>
        <stp>BDP|13885138734374052283</stp>
        <tr r="B189" s="2"/>
      </tp>
      <tp t="s">
        <v>#N/A N/A</v>
        <stp/>
        <stp>BDP|12012964669719033384</stp>
        <tr r="S178" s="2"/>
      </tp>
      <tp t="s">
        <v>#N/A N/A</v>
        <stp/>
        <stp>BDP|16041320121294421400</stp>
        <tr r="D42" s="2"/>
      </tp>
      <tp t="s">
        <v>#N/A N/A</v>
        <stp/>
        <stp>BDP|15660405038457007293</stp>
        <tr r="G204" s="2"/>
      </tp>
      <tp t="s">
        <v>#N/A N/A</v>
        <stp/>
        <stp>BDP|12989559308530476068</stp>
        <tr r="AE181" s="2"/>
      </tp>
      <tp t="s">
        <v>#N/A N/A</v>
        <stp/>
        <stp>BDP|12675727136927769637</stp>
        <tr r="AD57" s="2"/>
      </tp>
      <tp t="s">
        <v>#N/A N/A</v>
        <stp/>
        <stp>BDP|15756756579302587087</stp>
        <tr r="AD204" s="2"/>
      </tp>
      <tp t="s">
        <v>#N/A N/A</v>
        <stp/>
        <stp>BDP|15227706494909777574</stp>
        <tr r="O142" s="2"/>
      </tp>
      <tp t="s">
        <v>#N/A N/A</v>
        <stp/>
        <stp>BDP|11223666348915825122</stp>
        <tr r="G30" s="2"/>
      </tp>
      <tp t="s">
        <v>#N/A N/A</v>
        <stp/>
        <stp>BDP|11790043490766163946</stp>
        <tr r="Q185" s="2"/>
      </tp>
      <tp t="s">
        <v>#N/A N/A</v>
        <stp/>
        <stp>BDP|15334108540722460516</stp>
        <tr r="T180" s="2"/>
      </tp>
      <tp t="s">
        <v>#N/A N/A</v>
        <stp/>
        <stp>BDP|13409722457576173060</stp>
        <tr r="E153" s="2"/>
      </tp>
      <tp t="s">
        <v>#N/A N/A</v>
        <stp/>
        <stp>BDP|11559687435504679780</stp>
        <tr r="O208" s="2"/>
      </tp>
      <tp t="s">
        <v>#N/A N/A</v>
        <stp/>
        <stp>BDP|15367910152387249941</stp>
        <tr r="E163" s="2"/>
      </tp>
      <tp t="s">
        <v>#N/A N/A</v>
        <stp/>
        <stp>BDP|11387515467943413672</stp>
        <tr r="Q162" s="2"/>
      </tp>
      <tp t="s">
        <v>#N/A N/A</v>
        <stp/>
        <stp>BDP|13348054253196109724</stp>
        <tr r="E29" s="2"/>
      </tp>
      <tp t="s">
        <v>#N/A N/A</v>
        <stp/>
        <stp>BDP|16481698268450267117</stp>
        <tr r="N70" s="2"/>
      </tp>
      <tp t="s">
        <v>#N/A N/A</v>
        <stp/>
        <stp>BDP|15819438514436053263</stp>
        <tr r="K113" s="2"/>
        <tr r="R113" s="2"/>
        <tr r="W113" s="2"/>
      </tp>
      <tp t="s">
        <v>#N/A N/A</v>
        <stp/>
        <stp>BDP|13816439779834993027</stp>
        <tr r="H84" s="2"/>
      </tp>
      <tp t="s">
        <v>#N/A N/A</v>
        <stp/>
        <stp>BDP|18004544594950015092</stp>
        <tr r="L172" s="2"/>
      </tp>
      <tp t="s">
        <v>#N/A N/A</v>
        <stp/>
        <stp>BDP|14309484947291045150</stp>
        <tr r="O147" s="2"/>
      </tp>
      <tp t="s">
        <v>#N/A N/A</v>
        <stp/>
        <stp>BDP|14057226050770321784</stp>
        <tr r="Q61" s="2"/>
      </tp>
      <tp t="s">
        <v>#N/A N/A</v>
        <stp/>
        <stp>BDP|15909697487737883868</stp>
        <tr r="H224" s="2"/>
      </tp>
      <tp t="s">
        <v>#N/A N/A</v>
        <stp/>
        <stp>BDP|14767361583799237295</stp>
        <tr r="D213" s="2"/>
      </tp>
      <tp t="s">
        <v>#N/A N/A</v>
        <stp/>
        <stp>BDP|16901836446816608838</stp>
        <tr r="Z30" s="2"/>
      </tp>
      <tp t="s">
        <v>#N/A N/A</v>
        <stp/>
        <stp>BDP|17183952742467715989</stp>
        <tr r="AE129" s="2"/>
      </tp>
      <tp t="s">
        <v>#N/A N/A</v>
        <stp/>
        <stp>BDP|17598749681499142584</stp>
        <tr r="B221" s="2"/>
      </tp>
      <tp t="s">
        <v>#N/A N/A</v>
        <stp/>
        <stp>BDP|12302299007904474003</stp>
        <tr r="AD128" s="2"/>
      </tp>
      <tp t="s">
        <v>#N/A N/A</v>
        <stp/>
        <stp>BDP|10793748936882440289</stp>
        <tr r="C48" s="2"/>
      </tp>
      <tp t="s">
        <v>#N/A N/A</v>
        <stp/>
        <stp>BDP|14449637066888105880</stp>
        <tr r="O72" s="2"/>
      </tp>
      <tp t="s">
        <v>#N/A N/A</v>
        <stp/>
        <stp>BDP|13974573702823222167</stp>
        <tr r="AA170" s="2"/>
      </tp>
      <tp t="s">
        <v>#N/A N/A</v>
        <stp/>
        <stp>BDP|14371288616491072254</stp>
        <tr r="E57" s="2"/>
      </tp>
      <tp t="s">
        <v>#N/A N/A</v>
        <stp/>
        <stp>BDP|12610336113911971577</stp>
        <tr r="B115" s="2"/>
      </tp>
      <tp t="s">
        <v>#N/A N/A</v>
        <stp/>
        <stp>BDP|14026354236100329088</stp>
        <tr r="N83" s="2"/>
      </tp>
      <tp t="s">
        <v>#N/A N/A</v>
        <stp/>
        <stp>BDP|13782621495081135996</stp>
        <tr r="E223" s="2"/>
      </tp>
      <tp t="s">
        <v>#N/A N/A</v>
        <stp/>
        <stp>BDP|14425562819492001638</stp>
        <tr r="F166" s="2"/>
      </tp>
      <tp t="s">
        <v>#N/A N/A</v>
        <stp/>
        <stp>BDP|10151804279039743279</stp>
        <tr r="U143" s="2"/>
      </tp>
      <tp t="s">
        <v>#N/A N/A</v>
        <stp/>
        <stp>BDP|17007703742050319092</stp>
        <tr r="O41" s="2"/>
      </tp>
      <tp t="s">
        <v>#N/A N/A</v>
        <stp/>
        <stp>BDP|15525295540774640323</stp>
        <tr r="S38" s="2"/>
      </tp>
      <tp t="s">
        <v>#N/A N/A</v>
        <stp/>
        <stp>BDP|14873106303686008730</stp>
        <tr r="AA40" s="2"/>
      </tp>
      <tp t="s">
        <v>#N/A N/A</v>
        <stp/>
        <stp>BDP|13109760738421158267</stp>
        <tr r="AA152" s="2"/>
      </tp>
      <tp t="s">
        <v>#N/A N/A</v>
        <stp/>
        <stp>BDP|10027760432476442684</stp>
        <tr r="X81" s="2"/>
      </tp>
      <tp t="s">
        <v>#N/A N/A</v>
        <stp/>
        <stp>BDP|14505386246540330705</stp>
        <tr r="B89" s="2"/>
      </tp>
      <tp t="s">
        <v>#N/A N/A</v>
        <stp/>
        <stp>BDP|10632722873491813570</stp>
        <tr r="S143" s="2"/>
      </tp>
      <tp t="s">
        <v>#N/A N/A</v>
        <stp/>
        <stp>BDP|16396190230792707265</stp>
        <tr r="Q212" s="2"/>
      </tp>
      <tp t="s">
        <v>#N/A N/A</v>
        <stp/>
        <stp>BDP|18106551497975054586</stp>
        <tr r="Z128" s="2"/>
      </tp>
      <tp t="s">
        <v>#N/A N/A</v>
        <stp/>
        <stp>BDP|11707891084591560448</stp>
        <tr r="P21" s="2"/>
      </tp>
      <tp t="s">
        <v>#N/A N/A</v>
        <stp/>
        <stp>BDP|10153068529340437617</stp>
        <tr r="Q238" s="2"/>
      </tp>
      <tp t="s">
        <v>#N/A N/A</v>
        <stp/>
        <stp>BDP|10376611815726582590</stp>
        <tr r="U147" s="2"/>
      </tp>
      <tp t="s">
        <v>#N/A N/A</v>
        <stp/>
        <stp>BDP|13916766265060983687</stp>
        <tr r="G150" s="2"/>
      </tp>
      <tp t="s">
        <v>#N/A N/A</v>
        <stp/>
        <stp>BDP|13007362151616438789</stp>
        <tr r="AE54" s="2"/>
      </tp>
      <tp t="s">
        <v>#N/A N/A</v>
        <stp/>
        <stp>BDP|11346108630242056585</stp>
        <tr r="M150" s="2"/>
      </tp>
      <tp t="s">
        <v>#N/A N/A</v>
        <stp/>
        <stp>BDP|10045873791690585585</stp>
        <tr r="V13" s="2"/>
      </tp>
      <tp t="s">
        <v>#N/A N/A</v>
        <stp/>
        <stp>BDP|17797414739312254669</stp>
        <tr r="AC61" s="2"/>
      </tp>
      <tp t="s">
        <v>#N/A N/A</v>
        <stp/>
        <stp>BDP|10673497840490326474</stp>
        <tr r="N236" s="2"/>
      </tp>
      <tp t="s">
        <v>#N/A N/A</v>
        <stp/>
        <stp>BDP|11944925980527424347</stp>
        <tr r="T240" s="2"/>
      </tp>
      <tp t="s">
        <v>#N/A N/A</v>
        <stp/>
        <stp>BDP|10469470448446001202</stp>
        <tr r="AC222" s="2"/>
      </tp>
      <tp t="s">
        <v>#N/A N/A</v>
        <stp/>
        <stp>BDP|16027874716048942335</stp>
        <tr r="K106" s="2"/>
        <tr r="R106" s="2"/>
        <tr r="W106" s="2"/>
      </tp>
      <tp t="s">
        <v>#N/A N/A</v>
        <stp/>
        <stp>BDP|16418085231639221846</stp>
        <tr r="F63" s="2"/>
      </tp>
      <tp t="s">
        <v>#N/A N/A</v>
        <stp/>
        <stp>BDP|18209975228912791513</stp>
        <tr r="AE170" s="2"/>
      </tp>
      <tp t="s">
        <v>#N/A N/A</v>
        <stp/>
        <stp>BDP|14420113369676347145</stp>
        <tr r="L182" s="2"/>
      </tp>
      <tp t="s">
        <v>#N/A N/A</v>
        <stp/>
        <stp>BDP|10894139666282064161</stp>
        <tr r="M11" s="2"/>
      </tp>
      <tp t="s">
        <v>#N/A N/A</v>
        <stp/>
        <stp>BDP|12737714169107013042</stp>
        <tr r="G51" s="2"/>
      </tp>
      <tp t="s">
        <v>#N/A N/A</v>
        <stp/>
        <stp>BDP|14581198125903701042</stp>
        <tr r="AB201" s="2"/>
      </tp>
      <tp t="s">
        <v>#N/A N/A</v>
        <stp/>
        <stp>BDP|15010013253952083689</stp>
        <tr r="N218" s="2"/>
      </tp>
      <tp t="s">
        <v>#N/A N/A</v>
        <stp/>
        <stp>BDP|17138442060179880877</stp>
        <tr r="B145" s="2"/>
      </tp>
      <tp t="s">
        <v>#N/A N/A</v>
        <stp/>
        <stp>BDP|17241205461255076299</stp>
        <tr r="S60" s="2"/>
      </tp>
      <tp t="s">
        <v>#N/A N/A</v>
        <stp/>
        <stp>BDP|15009576045824893404</stp>
        <tr r="Q65" s="2"/>
      </tp>
      <tp t="s">
        <v>#N/A N/A</v>
        <stp/>
        <stp>BDP|11041881912534628861</stp>
        <tr r="F196" s="2"/>
      </tp>
      <tp t="s">
        <v>#N/A N/A</v>
        <stp/>
        <stp>BDP|14153092352682414742</stp>
        <tr r="H121" s="2"/>
      </tp>
      <tp t="s">
        <v>#N/A N/A</v>
        <stp/>
        <stp>BDP|12428553501520940332</stp>
        <tr r="E170" s="2"/>
      </tp>
      <tp t="s">
        <v>#N/A N/A</v>
        <stp/>
        <stp>BDP|16377186436239770905</stp>
        <tr r="D231" s="2"/>
      </tp>
      <tp t="s">
        <v>#N/A N/A</v>
        <stp/>
        <stp>BDP|15571789535853244602</stp>
        <tr r="N69" s="2"/>
      </tp>
      <tp t="s">
        <v>#N/A N/A</v>
        <stp/>
        <stp>BDP|14433259907842441080</stp>
        <tr r="V170" s="2"/>
      </tp>
      <tp t="s">
        <v>#N/A N/A</v>
        <stp/>
        <stp>BDP|11880633815142572018</stp>
        <tr r="M99" s="2"/>
      </tp>
      <tp t="s">
        <v>#N/A N/A</v>
        <stp/>
        <stp>BDP|12561390235950036647</stp>
        <tr r="G114" s="2"/>
      </tp>
      <tp t="s">
        <v>#N/A N/A</v>
        <stp/>
        <stp>BDP|13336896195736239009</stp>
        <tr r="C38" s="2"/>
      </tp>
      <tp t="s">
        <v>#N/A N/A</v>
        <stp/>
        <stp>BDP|15187372049990526679</stp>
        <tr r="Y130" s="2"/>
      </tp>
      <tp t="s">
        <v>#N/A N/A</v>
        <stp/>
        <stp>BDP|17470890580245883685</stp>
        <tr r="AE87" s="2"/>
      </tp>
      <tp t="s">
        <v>#N/A N/A</v>
        <stp/>
        <stp>BDP|13974776910202167329</stp>
        <tr r="AB3" s="2"/>
      </tp>
      <tp t="s">
        <v>#N/A N/A</v>
        <stp/>
        <stp>BDP|12880421763987531311</stp>
        <tr r="AB109" s="2"/>
      </tp>
      <tp t="s">
        <v>#N/A N/A</v>
        <stp/>
        <stp>BDP|17248709720920938666</stp>
        <tr r="D216" s="2"/>
      </tp>
      <tp t="s">
        <v>#N/A N/A</v>
        <stp/>
        <stp>BDP|10857435048571775592</stp>
        <tr r="Q21" s="2"/>
      </tp>
      <tp t="s">
        <v>#N/A N/A</v>
        <stp/>
        <stp>BDP|14404063189220635805</stp>
        <tr r="AD75" s="2"/>
      </tp>
      <tp t="s">
        <v>#N/A N/A</v>
        <stp/>
        <stp>BDP|14124321666761045485</stp>
        <tr r="Y195" s="2"/>
      </tp>
      <tp t="s">
        <v>#N/A N/A</v>
        <stp/>
        <stp>BDP|15093592923211754714</stp>
        <tr r="AE94" s="2"/>
      </tp>
      <tp t="s">
        <v>#N/A N/A</v>
        <stp/>
        <stp>BDP|14924634771125187467</stp>
        <tr r="Q41" s="2"/>
      </tp>
      <tp t="s">
        <v>#N/A N/A</v>
        <stp/>
        <stp>BDP|10519489537902273148</stp>
        <tr r="G132" s="2"/>
      </tp>
      <tp t="s">
        <v>#N/A N/A</v>
        <stp/>
        <stp>BDP|11888925112525701836</stp>
        <tr r="AE88" s="2"/>
      </tp>
      <tp t="s">
        <v>#N/A N/A</v>
        <stp/>
        <stp>BDP|11081415617217223780</stp>
        <tr r="AB173" s="2"/>
      </tp>
      <tp t="s">
        <v>#N/A N/A</v>
        <stp/>
        <stp>BDP|17178096453311417730</stp>
        <tr r="D200" s="2"/>
      </tp>
      <tp t="s">
        <v>#N/A N/A</v>
        <stp/>
        <stp>BDP|14762417978776278502</stp>
        <tr r="X33" s="2"/>
      </tp>
      <tp t="s">
        <v>#N/A N/A</v>
        <stp/>
        <stp>BDP|12916285433326841160</stp>
        <tr r="C173" s="2"/>
      </tp>
      <tp t="s">
        <v>#N/A N/A</v>
        <stp/>
        <stp>BDP|10412046437645934220</stp>
        <tr r="D17" s="2"/>
      </tp>
      <tp t="s">
        <v>#N/A N/A</v>
        <stp/>
        <stp>BDP|12189496140694570218</stp>
        <tr r="K55" s="2"/>
        <tr r="R55" s="2"/>
        <tr r="W55" s="2"/>
      </tp>
      <tp t="s">
        <v>#N/A N/A</v>
        <stp/>
        <stp>BDP|13014804187375940225</stp>
        <tr r="Q63" s="2"/>
      </tp>
      <tp t="s">
        <v>#N/A N/A</v>
        <stp/>
        <stp>BDP|11834118171685423609</stp>
        <tr r="K189" s="2"/>
        <tr r="R189" s="2"/>
        <tr r="W189" s="2"/>
      </tp>
      <tp t="s">
        <v>#N/A N/A</v>
        <stp/>
        <stp>BDP|14562504208226237336</stp>
        <tr r="I103" s="2"/>
      </tp>
      <tp t="s">
        <v>#N/A N/A</v>
        <stp/>
        <stp>BDP|17330141427395971552</stp>
        <tr r="X239" s="2"/>
      </tp>
      <tp t="s">
        <v>#N/A N/A</v>
        <stp/>
        <stp>BDP|15530475996459889531</stp>
        <tr r="H214" s="2"/>
      </tp>
      <tp t="s">
        <v>#N/A N/A</v>
        <stp/>
        <stp>BDP|16400881152009080612</stp>
        <tr r="P169" s="2"/>
      </tp>
      <tp t="s">
        <v>#N/A N/A</v>
        <stp/>
        <stp>BDP|15927461992889414561</stp>
        <tr r="C26" s="2"/>
      </tp>
      <tp t="s">
        <v>#N/A N/A</v>
        <stp/>
        <stp>BDP|14179103391068871079</stp>
        <tr r="AA47" s="2"/>
      </tp>
      <tp t="s">
        <v>#N/A N/A</v>
        <stp/>
        <stp>BDP|14906048085651254951</stp>
        <tr r="F220" s="2"/>
      </tp>
      <tp t="s">
        <v>#N/A N/A</v>
        <stp/>
        <stp>BDP|14346487445574347428</stp>
        <tr r="V48" s="2"/>
      </tp>
      <tp t="s">
        <v>#N/A N/A</v>
        <stp/>
        <stp>BDP|18323587597586700649</stp>
        <tr r="L56" s="2"/>
      </tp>
      <tp t="s">
        <v>#N/A N/A</v>
        <stp/>
        <stp>BDP|14481158046133189690</stp>
        <tr r="H160" s="2"/>
      </tp>
      <tp t="s">
        <v>#N/A N/A</v>
        <stp/>
        <stp>BDP|18221194239468994642</stp>
        <tr r="B195" s="2"/>
      </tp>
      <tp t="s">
        <v>#N/A N/A</v>
        <stp/>
        <stp>BDP|14430347467765090083</stp>
        <tr r="G233" s="2"/>
      </tp>
      <tp t="s">
        <v>#N/A N/A</v>
        <stp/>
        <stp>BDP|13239288448457977640</stp>
        <tr r="AA130" s="2"/>
      </tp>
      <tp t="s">
        <v>#N/A N/A</v>
        <stp/>
        <stp>BDP|17138268907246801774</stp>
        <tr r="X121" s="2"/>
      </tp>
      <tp t="s">
        <v>#N/A N/A</v>
        <stp/>
        <stp>BDP|13079685252054730022</stp>
        <tr r="G101" s="2"/>
      </tp>
      <tp t="s">
        <v>#N/A N/A</v>
        <stp/>
        <stp>BDP|10286036033256470198</stp>
        <tr r="Z224" s="2"/>
      </tp>
      <tp t="s">
        <v>#N/A N/A</v>
        <stp/>
        <stp>BDP|11294215008195098244</stp>
        <tr r="O109" s="2"/>
      </tp>
      <tp t="s">
        <v>#N/A N/A</v>
        <stp/>
        <stp>BDP|10466365768306367760</stp>
        <tr r="E20" s="2"/>
      </tp>
      <tp t="s">
        <v>#N/A N/A</v>
        <stp/>
        <stp>BDP|15139703347764004692</stp>
        <tr r="M3" s="2"/>
      </tp>
      <tp t="s">
        <v>#N/A N/A</v>
        <stp/>
        <stp>BDP|12074097225723350707</stp>
        <tr r="F189" s="2"/>
      </tp>
      <tp t="s">
        <v>#N/A N/A</v>
        <stp/>
        <stp>BDP|15245497836295773352</stp>
        <tr r="P88" s="2"/>
      </tp>
      <tp t="s">
        <v>#N/A N/A</v>
        <stp/>
        <stp>BDP|15895452675584142675</stp>
        <tr r="F86" s="2"/>
      </tp>
      <tp t="s">
        <v>#N/A N/A</v>
        <stp/>
        <stp>BDP|15844749134055268044</stp>
        <tr r="F11" s="2"/>
      </tp>
      <tp t="s">
        <v>#N/A N/A</v>
        <stp/>
        <stp>BDP|16744225207816850643</stp>
        <tr r="T193" s="2"/>
      </tp>
      <tp t="s">
        <v>#N/A N/A</v>
        <stp/>
        <stp>BDP|14636314458396085010</stp>
        <tr r="Y77" s="2"/>
      </tp>
      <tp t="s">
        <v>#N/A N/A</v>
        <stp/>
        <stp>BDP|18278889373413049072</stp>
        <tr r="N182" s="2"/>
      </tp>
      <tp t="s">
        <v>#N/A N/A</v>
        <stp/>
        <stp>BDP|10632718839210492040</stp>
        <tr r="U219" s="2"/>
      </tp>
      <tp t="s">
        <v>#N/A N/A</v>
        <stp/>
        <stp>BDP|15673564968316028462</stp>
        <tr r="AE98" s="2"/>
      </tp>
      <tp t="s">
        <v>#N/A N/A</v>
        <stp/>
        <stp>BDP|17828282759111212557</stp>
        <tr r="Q2" s="2"/>
      </tp>
      <tp t="s">
        <v>#N/A N/A</v>
        <stp/>
        <stp>BDP|17393939439288149161</stp>
        <tr r="D53" s="2"/>
      </tp>
      <tp t="s">
        <v>#N/A N/A</v>
        <stp/>
        <stp>BDP|12717503757877894164</stp>
        <tr r="H198" s="2"/>
      </tp>
      <tp t="s">
        <v>#N/A N/A</v>
        <stp/>
        <stp>BDP|15903728373211389054</stp>
        <tr r="S27" s="2"/>
      </tp>
      <tp t="s">
        <v>#N/A N/A</v>
        <stp/>
        <stp>BDP|14585646179972009361</stp>
        <tr r="AB228" s="2"/>
      </tp>
      <tp t="s">
        <v>#N/A N/A</v>
        <stp/>
        <stp>BDP|13932606574774409277</stp>
        <tr r="U230" s="2"/>
      </tp>
      <tp t="s">
        <v>#N/A N/A</v>
        <stp/>
        <stp>BDP|17856467399038316659</stp>
        <tr r="L204" s="2"/>
      </tp>
      <tp t="s">
        <v>#N/A N/A</v>
        <stp/>
        <stp>BDP|15566506210955633020</stp>
        <tr r="AC12" s="2"/>
      </tp>
      <tp t="s">
        <v>#N/A N/A</v>
        <stp/>
        <stp>BDP|16991499600556889092</stp>
        <tr r="C190" s="2"/>
      </tp>
      <tp t="s">
        <v>#N/A N/A</v>
        <stp/>
        <stp>BDP|12455900655803905992</stp>
        <tr r="E22" s="2"/>
      </tp>
      <tp t="s">
        <v>#N/A N/A</v>
        <stp/>
        <stp>BDP|13136559431225253460</stp>
        <tr r="K18" s="2"/>
        <tr r="R18" s="2"/>
        <tr r="W18" s="2"/>
      </tp>
      <tp t="s">
        <v>#N/A N/A</v>
        <stp/>
        <stp>BDP|15403438125763197424</stp>
        <tr r="N54" s="2"/>
      </tp>
      <tp t="s">
        <v>#N/A N/A</v>
        <stp/>
        <stp>BDP|11227102976886609539</stp>
        <tr r="F181" s="2"/>
      </tp>
      <tp t="s">
        <v>#N/A N/A</v>
        <stp/>
        <stp>BDP|10707016813523713633</stp>
        <tr r="AD214" s="2"/>
      </tp>
      <tp t="s">
        <v>#N/A N/A</v>
        <stp/>
        <stp>BDP|11422343995158468706</stp>
        <tr r="AD202" s="2"/>
      </tp>
      <tp t="s">
        <v>#N/A N/A</v>
        <stp/>
        <stp>BDP|13123255422264506322</stp>
        <tr r="Z34" s="2"/>
      </tp>
      <tp t="s">
        <v>#N/A N/A</v>
        <stp/>
        <stp>BDP|17475147151753977497</stp>
        <tr r="AB126" s="2"/>
      </tp>
      <tp t="s">
        <v>#N/A N/A</v>
        <stp/>
        <stp>BDP|17696132281192172848</stp>
        <tr r="N178" s="2"/>
      </tp>
      <tp t="s">
        <v>#N/A N/A</v>
        <stp/>
        <stp>BDP|12686427871884394165</stp>
        <tr r="U153" s="2"/>
      </tp>
      <tp t="s">
        <v>#N/A N/A</v>
        <stp/>
        <stp>BDP|18362547905219391013</stp>
        <tr r="X160" s="2"/>
      </tp>
      <tp t="s">
        <v>#N/A N/A</v>
        <stp/>
        <stp>BDP|15304055940474272148</stp>
        <tr r="D153" s="2"/>
      </tp>
      <tp t="s">
        <v>#N/A N/A</v>
        <stp/>
        <stp>BDP|11099465064857305018</stp>
        <tr r="T187" s="2"/>
      </tp>
      <tp t="s">
        <v>#N/A N/A</v>
        <stp/>
        <stp>BDP|13556430743043207477</stp>
        <tr r="B158" s="2"/>
      </tp>
      <tp t="s">
        <v>#N/A N/A</v>
        <stp/>
        <stp>BDP|15306562854686869795</stp>
        <tr r="Z188" s="2"/>
      </tp>
      <tp t="s">
        <v>#N/A N/A</v>
        <stp/>
        <stp>BDP|15229775774002986389</stp>
        <tr r="M72" s="2"/>
      </tp>
      <tp t="s">
        <v>#N/A N/A</v>
        <stp/>
        <stp>BDP|15711280629756316753</stp>
        <tr r="S120" s="2"/>
      </tp>
      <tp t="s">
        <v>#N/A N/A</v>
        <stp/>
        <stp>BDP|17125869550009669726</stp>
        <tr r="K230" s="2"/>
        <tr r="R230" s="2"/>
        <tr r="W230" s="2"/>
      </tp>
      <tp t="s">
        <v>#N/A N/A</v>
        <stp/>
        <stp>BDP|13408631865271581640</stp>
        <tr r="Y239" s="2"/>
      </tp>
      <tp t="s">
        <v>#N/A N/A</v>
        <stp/>
        <stp>BDP|15421973338719957219</stp>
        <tr r="S200" s="2"/>
      </tp>
      <tp t="s">
        <v>#N/A N/A</v>
        <stp/>
        <stp>BDP|13060599919693599069</stp>
        <tr r="E13" s="2"/>
      </tp>
      <tp t="s">
        <v>#N/A N/A</v>
        <stp/>
        <stp>BDP|14198157327661345235</stp>
        <tr r="C58" s="2"/>
      </tp>
      <tp t="s">
        <v>#N/A N/A</v>
        <stp/>
        <stp>BDP|17616461322533757669</stp>
        <tr r="P81" s="2"/>
      </tp>
      <tp t="s">
        <v>#N/A N/A</v>
        <stp/>
        <stp>BDP|14573180051481883573</stp>
        <tr r="Z108" s="2"/>
      </tp>
      <tp t="s">
        <v>#N/A N/A</v>
        <stp/>
        <stp>BDP|14639461413275219029</stp>
        <tr r="AD52" s="2"/>
      </tp>
      <tp t="s">
        <v>#N/A N/A</v>
        <stp/>
        <stp>BDP|10347829691290057535</stp>
        <tr r="I78" s="2"/>
      </tp>
      <tp t="s">
        <v>#N/A N/A</v>
        <stp/>
        <stp>BDP|17689017474072394639</stp>
        <tr r="S238" s="2"/>
      </tp>
      <tp t="s">
        <v>#N/A N/A</v>
        <stp/>
        <stp>BDP|17413163749467190191</stp>
        <tr r="N143" s="2"/>
      </tp>
      <tp t="s">
        <v>#N/A N/A</v>
        <stp/>
        <stp>BDP|14847187172793891590</stp>
        <tr r="B172" s="2"/>
      </tp>
      <tp t="s">
        <v>#N/A N/A</v>
        <stp/>
        <stp>BDP|15876763064024000499</stp>
        <tr r="U157" s="2"/>
      </tp>
      <tp t="s">
        <v>#N/A N/A</v>
        <stp/>
        <stp>BDP|13214087216837637191</stp>
        <tr r="U56" s="2"/>
      </tp>
      <tp t="s">
        <v>#N/A N/A</v>
        <stp/>
        <stp>BDP|11854666572504884078</stp>
        <tr r="D229" s="2"/>
      </tp>
      <tp t="s">
        <v>#N/A N/A</v>
        <stp/>
        <stp>BDP|10122140113226149241</stp>
        <tr r="D90" s="2"/>
      </tp>
      <tp t="s">
        <v>#N/A N/A</v>
        <stp/>
        <stp>BDP|11573621216103110132</stp>
        <tr r="L112" s="2"/>
      </tp>
      <tp t="s">
        <v>#N/A N/A</v>
        <stp/>
        <stp>BDP|16524919911182566838</stp>
        <tr r="AC21" s="2"/>
      </tp>
      <tp t="s">
        <v>#N/A N/A</v>
        <stp/>
        <stp>BDP|16787716643384344543</stp>
        <tr r="I17" s="2"/>
      </tp>
      <tp t="s">
        <v>#N/A N/A</v>
        <stp/>
        <stp>BDP|16992460177440920135</stp>
        <tr r="Q36" s="2"/>
      </tp>
      <tp t="s">
        <v>#N/A N/A</v>
        <stp/>
        <stp>BDP|10206978847518830186</stp>
        <tr r="X93" s="2"/>
      </tp>
      <tp t="s">
        <v>#N/A N/A</v>
        <stp/>
        <stp>BDP|10117218304086384059</stp>
        <tr r="O238" s="2"/>
      </tp>
      <tp t="s">
        <v>#N/A N/A</v>
        <stp/>
        <stp>BDP|15802109513847807619</stp>
        <tr r="S122" s="2"/>
      </tp>
      <tp t="s">
        <v>#N/A N/A</v>
        <stp/>
        <stp>BDP|14648768204362725513</stp>
        <tr r="C40" s="2"/>
      </tp>
      <tp t="s">
        <v>#N/A N/A</v>
        <stp/>
        <stp>BDP|15833113453783825608</stp>
        <tr r="AD37" s="2"/>
      </tp>
      <tp t="s">
        <v>#N/A N/A</v>
        <stp/>
        <stp>BDP|10478750504897471435</stp>
        <tr r="P180" s="2"/>
      </tp>
      <tp t="s">
        <v>#N/A N/A</v>
        <stp/>
        <stp>BDP|16643071125311682102</stp>
        <tr r="N113" s="2"/>
      </tp>
      <tp t="s">
        <v>#N/A N/A</v>
        <stp/>
        <stp>BDP|12681945292765790350</stp>
        <tr r="H60" s="2"/>
      </tp>
      <tp t="s">
        <v>#N/A N/A</v>
        <stp/>
        <stp>BDP|16313907920600831993</stp>
        <tr r="U80" s="2"/>
      </tp>
      <tp t="s">
        <v>#N/A N/A</v>
        <stp/>
        <stp>BDP|16450645656811740038</stp>
        <tr r="AE40" s="2"/>
      </tp>
      <tp t="s">
        <v>#N/A N/A</v>
        <stp/>
        <stp>BDP|16291056330570415162</stp>
        <tr r="AE50" s="2"/>
      </tp>
      <tp t="s">
        <v>#N/A N/A</v>
        <stp/>
        <stp>BDP|14887513115722010693</stp>
        <tr r="AA72" s="2"/>
      </tp>
      <tp t="s">
        <v>#N/A N/A</v>
        <stp/>
        <stp>BDP|14778598359575728555</stp>
        <tr r="S9" s="2"/>
      </tp>
      <tp t="s">
        <v>#N/A N/A</v>
        <stp/>
        <stp>BDP|13862375066320457288</stp>
        <tr r="N211" s="2"/>
      </tp>
      <tp t="s">
        <v>#N/A N/A</v>
        <stp/>
        <stp>BDP|12408495888443807982</stp>
        <tr r="Z94" s="2"/>
      </tp>
      <tp t="s">
        <v>#N/A N/A</v>
        <stp/>
        <stp>BDP|17604398849200295411</stp>
        <tr r="U48" s="2"/>
      </tp>
      <tp t="s">
        <v>#N/A N/A</v>
        <stp/>
        <stp>BDP|18276674560528206424</stp>
        <tr r="AB103" s="2"/>
      </tp>
      <tp t="s">
        <v>#N/A N/A</v>
        <stp/>
        <stp>BDP|14110015218561819051</stp>
        <tr r="O48" s="2"/>
      </tp>
      <tp t="s">
        <v>#N/A N/A</v>
        <stp/>
        <stp>BDP|11459916980757657360</stp>
        <tr r="AA153" s="2"/>
      </tp>
      <tp t="s">
        <v>#N/A N/A</v>
        <stp/>
        <stp>BDP|16553975963148329573</stp>
        <tr r="AA38" s="2"/>
      </tp>
      <tp t="s">
        <v>#N/A N/A</v>
        <stp/>
        <stp>BDP|15315513667067726577</stp>
        <tr r="Z120" s="2"/>
      </tp>
      <tp t="s">
        <v>#N/A N/A</v>
        <stp/>
        <stp>BDP|15469600581909990690</stp>
        <tr r="D188" s="2"/>
      </tp>
      <tp t="s">
        <v>#N/A N/A</v>
        <stp/>
        <stp>BDP|11365527200803455309</stp>
        <tr r="X137" s="2"/>
      </tp>
      <tp t="s">
        <v>#N/A N/A</v>
        <stp/>
        <stp>BDP|12434073246097977593</stp>
        <tr r="AA127" s="2"/>
      </tp>
      <tp t="s">
        <v>#N/A N/A</v>
        <stp/>
        <stp>BDP|11433564819115901472</stp>
        <tr r="AB72" s="2"/>
      </tp>
      <tp t="s">
        <v>#N/A N/A</v>
        <stp/>
        <stp>BDP|13620653600095783402</stp>
        <tr r="S121" s="2"/>
      </tp>
      <tp t="s">
        <v>#N/A N/A</v>
        <stp/>
        <stp>BDP|10452002256776526739</stp>
        <tr r="E62" s="2"/>
      </tp>
      <tp t="s">
        <v>#N/A N/A</v>
        <stp/>
        <stp>BDP|15406078246854121109</stp>
        <tr r="Y9" s="2"/>
      </tp>
      <tp t="s">
        <v>#N/A N/A</v>
        <stp/>
        <stp>BDP|16853003863885665192</stp>
        <tr r="Y116" s="2"/>
      </tp>
      <tp t="s">
        <v>#N/A N/A</v>
        <stp/>
        <stp>BDP|10166045876843116062</stp>
        <tr r="Y137" s="2"/>
      </tp>
      <tp t="s">
        <v>#N/A N/A</v>
        <stp/>
        <stp>BDP|18281981860207965473</stp>
        <tr r="E174" s="2"/>
      </tp>
      <tp t="s">
        <v>#N/A N/A</v>
        <stp/>
        <stp>BDP|10354927183397689204</stp>
        <tr r="Q168" s="2"/>
      </tp>
      <tp t="s">
        <v>#N/A N/A</v>
        <stp/>
        <stp>BDP|17693216351726354210</stp>
        <tr r="F106" s="2"/>
      </tp>
      <tp t="s">
        <v>#N/A N/A</v>
        <stp/>
        <stp>BDP|17675178776385133023</stp>
        <tr r="AC208" s="2"/>
      </tp>
      <tp t="s">
        <v>#N/A N/A</v>
        <stp/>
        <stp>BDP|14314272217283569025</stp>
        <tr r="P63" s="2"/>
      </tp>
      <tp t="s">
        <v>#N/A N/A</v>
        <stp/>
        <stp>BDP|18257035190717218277</stp>
        <tr r="G158" s="2"/>
      </tp>
      <tp t="s">
        <v>#N/A N/A</v>
        <stp/>
        <stp>BDP|17652734657348577935</stp>
        <tr r="Q129" s="2"/>
      </tp>
      <tp t="s">
        <v>#N/A N/A</v>
        <stp/>
        <stp>BDP|12410856385856113019</stp>
        <tr r="M43" s="2"/>
      </tp>
      <tp t="s">
        <v>#N/A N/A</v>
        <stp/>
        <stp>BDP|10862731865463958630</stp>
        <tr r="AD224" s="2"/>
      </tp>
      <tp t="s">
        <v>#N/A N/A</v>
        <stp/>
        <stp>BDP|13354114921184561020</stp>
        <tr r="X101" s="2"/>
      </tp>
      <tp t="s">
        <v>#N/A N/A</v>
        <stp/>
        <stp>BDP|14558049213059388851</stp>
        <tr r="AB163" s="2"/>
      </tp>
      <tp t="s">
        <v>#N/A N/A</v>
        <stp/>
        <stp>BDP|12002603300971668117</stp>
        <tr r="AA51" s="2"/>
      </tp>
      <tp t="s">
        <v>#N/A N/A</v>
        <stp/>
        <stp>BDP|15685119937421696217</stp>
        <tr r="X8" s="2"/>
      </tp>
      <tp t="s">
        <v>#N/A N/A</v>
        <stp/>
        <stp>BDP|16104617857941442041</stp>
        <tr r="I55" s="2"/>
      </tp>
      <tp t="s">
        <v>#N/A N/A</v>
        <stp/>
        <stp>BDP|14596734978884955409</stp>
        <tr r="X192" s="2"/>
      </tp>
      <tp t="s">
        <v>#N/A N/A</v>
        <stp/>
        <stp>BDP|13360974945273509938</stp>
        <tr r="H134" s="2"/>
      </tp>
      <tp t="s">
        <v>#N/A N/A</v>
        <stp/>
        <stp>BDP|11327611555956976095</stp>
        <tr r="M52" s="2"/>
      </tp>
      <tp t="s">
        <v>#N/A N/A</v>
        <stp/>
        <stp>BDP|16446314096979420103</stp>
        <tr r="AB117" s="2"/>
      </tp>
      <tp t="s">
        <v>#N/A N/A</v>
        <stp/>
        <stp>BDP|18196067278192078987</stp>
        <tr r="P90" s="2"/>
      </tp>
      <tp t="s">
        <v>#N/A N/A</v>
        <stp/>
        <stp>BDP|15484587227887501199</stp>
        <tr r="U149" s="2"/>
      </tp>
      <tp t="s">
        <v>#N/A N/A</v>
        <stp/>
        <stp>BDP|11397569153617821297</stp>
        <tr r="O8" s="2"/>
      </tp>
      <tp t="s">
        <v>#N/A N/A</v>
        <stp/>
        <stp>BDP|12239264159221845023</stp>
        <tr r="Z39" s="2"/>
      </tp>
      <tp t="s">
        <v>#N/A N/A</v>
        <stp/>
        <stp>BDP|14777183178025860382</stp>
        <tr r="K200" s="2"/>
        <tr r="R200" s="2"/>
        <tr r="W200" s="2"/>
      </tp>
      <tp t="s">
        <v>#N/A N/A</v>
        <stp/>
        <stp>BDP|13487926347902709810</stp>
        <tr r="AB58" s="2"/>
      </tp>
      <tp t="s">
        <v>#N/A N/A</v>
        <stp/>
        <stp>BDP|15004051904200623107</stp>
        <tr r="Z3" s="2"/>
      </tp>
      <tp t="s">
        <v>#N/A N/A</v>
        <stp/>
        <stp>BDP|17716464273571128144</stp>
        <tr r="P212" s="2"/>
      </tp>
      <tp t="s">
        <v>#N/A N/A</v>
        <stp/>
        <stp>BDP|10551356386266510946</stp>
        <tr r="AA111" s="2"/>
      </tp>
      <tp t="s">
        <v>#N/A N/A</v>
        <stp/>
        <stp>BDP|10290129177835981796</stp>
        <tr r="T35" s="2"/>
      </tp>
      <tp t="s">
        <v>#N/A N/A</v>
        <stp/>
        <stp>BDP|17883766445766850648</stp>
        <tr r="AD80" s="2"/>
      </tp>
      <tp t="s">
        <v>#N/A N/A</v>
        <stp/>
        <stp>BDP|14441289485323733986</stp>
        <tr r="H40" s="2"/>
      </tp>
      <tp t="s">
        <v>#N/A N/A</v>
        <stp/>
        <stp>BDP|16250712999158554499</stp>
        <tr r="F73" s="2"/>
      </tp>
      <tp t="s">
        <v>#N/A N/A</v>
        <stp/>
        <stp>BDP|13202930795493359418</stp>
        <tr r="K158" s="2"/>
        <tr r="R158" s="2"/>
        <tr r="W158" s="2"/>
      </tp>
      <tp t="s">
        <v>#N/A N/A</v>
        <stp/>
        <stp>BDP|16296493567263814320</stp>
        <tr r="C160" s="2"/>
      </tp>
      <tp t="s">
        <v>#N/A N/A</v>
        <stp/>
        <stp>BDP|14974749882528021796</stp>
        <tr r="M140" s="2"/>
      </tp>
      <tp t="s">
        <v>#N/A N/A</v>
        <stp/>
        <stp>BDP|15344984588094762429</stp>
        <tr r="C209" s="2"/>
      </tp>
      <tp t="s">
        <v>#N/A N/A</v>
        <stp/>
        <stp>BDP|16047738930256179047</stp>
        <tr r="AE100" s="2"/>
      </tp>
      <tp t="s">
        <v>#N/A N/A</v>
        <stp/>
        <stp>BDP|11838241945116864573</stp>
        <tr r="L33" s="2"/>
      </tp>
      <tp t="s">
        <v>#N/A N/A</v>
        <stp/>
        <stp>BDP|14231672486819268684</stp>
        <tr r="T150" s="2"/>
      </tp>
      <tp t="s">
        <v>#N/A N/A</v>
        <stp/>
        <stp>BDP|16622329734466156580</stp>
        <tr r="Y65" s="2"/>
      </tp>
      <tp t="s">
        <v>#N/A N/A</v>
        <stp/>
        <stp>BDP|16187127344467921177</stp>
        <tr r="P23" s="2"/>
      </tp>
      <tp t="s">
        <v>#N/A N/A</v>
        <stp/>
        <stp>BDP|10111000709197232230</stp>
        <tr r="Y223" s="2"/>
      </tp>
      <tp t="s">
        <v>#N/A N/A</v>
        <stp/>
        <stp>BDP|10927750000627322565</stp>
        <tr r="Z47" s="2"/>
      </tp>
      <tp t="s">
        <v>#N/A N/A</v>
        <stp/>
        <stp>BDP|11946403661254062210</stp>
        <tr r="E159" s="2"/>
      </tp>
      <tp t="s">
        <v>#N/A N/A</v>
        <stp/>
        <stp>BDP|18427282892147009172</stp>
        <tr r="T227" s="2"/>
      </tp>
      <tp t="s">
        <v>#N/A N/A</v>
        <stp/>
        <stp>BDP|18319005098360581479</stp>
        <tr r="X87" s="2"/>
      </tp>
      <tp t="s">
        <v>#N/A N/A</v>
        <stp/>
        <stp>BDP|11663893580926508238</stp>
        <tr r="AC183" s="2"/>
      </tp>
      <tp t="s">
        <v>#N/A N/A</v>
        <stp/>
        <stp>BDP|10707407969726349140</stp>
        <tr r="L173" s="2"/>
      </tp>
      <tp t="s">
        <v>#N/A N/A</v>
        <stp/>
        <stp>BDP|14708752512294107384</stp>
        <tr r="T165" s="2"/>
      </tp>
      <tp t="s">
        <v>#N/A N/A</v>
        <stp/>
        <stp>BDP|11122272855717329491</stp>
        <tr r="AC24" s="2"/>
      </tp>
      <tp t="s">
        <v>#N/A N/A</v>
        <stp/>
        <stp>BDP|12820255187975470862</stp>
        <tr r="AB11" s="2"/>
      </tp>
      <tp t="s">
        <v>#N/A N/A</v>
        <stp/>
        <stp>BDP|16055416059434469648</stp>
        <tr r="O95" s="2"/>
      </tp>
      <tp t="s">
        <v>#N/A N/A</v>
        <stp/>
        <stp>BDP|11382154060230966377</stp>
        <tr r="D205" s="2"/>
      </tp>
      <tp t="s">
        <v>#N/A N/A</v>
        <stp/>
        <stp>BDP|13841140404094524358</stp>
        <tr r="M119" s="2"/>
      </tp>
      <tp t="s">
        <v>#N/A N/A</v>
        <stp/>
        <stp>BDP|18011893632843637557</stp>
        <tr r="F144" s="2"/>
      </tp>
      <tp t="s">
        <v>#N/A N/A</v>
        <stp/>
        <stp>BDP|15174215209125068719</stp>
        <tr r="N99" s="2"/>
      </tp>
      <tp t="s">
        <v>#N/A N/A</v>
        <stp/>
        <stp>BDP|17499218927356879424</stp>
        <tr r="D30" s="2"/>
      </tp>
      <tp t="s">
        <v>#N/A N/A</v>
        <stp/>
        <stp>BDP|14816957087971578179</stp>
        <tr r="O131" s="2"/>
      </tp>
      <tp t="s">
        <v>#N/A N/A</v>
        <stp/>
        <stp>BDP|13488863091550898736</stp>
        <tr r="M30" s="2"/>
      </tp>
      <tp t="s">
        <v>#N/A N/A</v>
        <stp/>
        <stp>BDP|14706743247865585792</stp>
        <tr r="Y33" s="2"/>
      </tp>
      <tp t="s">
        <v>#N/A N/A</v>
        <stp/>
        <stp>BDP|11424751475230935453</stp>
        <tr r="P11" s="2"/>
      </tp>
      <tp t="s">
        <v>#N/A N/A</v>
        <stp/>
        <stp>BDP|16968211516917575739</stp>
        <tr r="G46" s="2"/>
      </tp>
      <tp t="s">
        <v>#N/A N/A</v>
        <stp/>
        <stp>BDP|14851144337004150723</stp>
        <tr r="AE43" s="2"/>
      </tp>
      <tp t="s">
        <v>#N/A N/A</v>
        <stp/>
        <stp>BDP|16815022314284763612</stp>
        <tr r="AB131" s="2"/>
      </tp>
      <tp t="s">
        <v>#N/A N/A</v>
        <stp/>
        <stp>BDP|11744891695646359303</stp>
        <tr r="I2" s="2"/>
      </tp>
      <tp t="s">
        <v>#N/A N/A</v>
        <stp/>
        <stp>BDP|14716184036776455553</stp>
        <tr r="X116" s="2"/>
      </tp>
      <tp t="s">
        <v>#N/A N/A</v>
        <stp/>
        <stp>BDP|11559855878062665962</stp>
        <tr r="T197" s="2"/>
      </tp>
      <tp t="s">
        <v>#N/A N/A</v>
        <stp/>
        <stp>BDP|10676248028402714761</stp>
        <tr r="P50" s="2"/>
      </tp>
      <tp t="s">
        <v>#N/A N/A</v>
        <stp/>
        <stp>BDP|18314973234462847538</stp>
        <tr r="L134" s="2"/>
      </tp>
      <tp t="s">
        <v>#N/A N/A</v>
        <stp/>
        <stp>BDP|16579609362771481288</stp>
        <tr r="AB47" s="2"/>
      </tp>
      <tp t="s">
        <v>#N/A N/A</v>
        <stp/>
        <stp>BDP|12729799506625721546</stp>
        <tr r="V26" s="2"/>
      </tp>
      <tp t="s">
        <v>#N/A N/A</v>
        <stp/>
        <stp>BDP|16462276654632574699</stp>
        <tr r="Z57" s="2"/>
      </tp>
      <tp t="s">
        <v>#N/A N/A</v>
        <stp/>
        <stp>BDP|17721728375312852033</stp>
        <tr r="P103" s="2"/>
      </tp>
      <tp t="s">
        <v>#N/A N/A</v>
        <stp/>
        <stp>BDP|17998798608362167729</stp>
        <tr r="E138" s="2"/>
      </tp>
      <tp t="s">
        <v>#N/A N/A</v>
        <stp/>
        <stp>BDP|10697459249992702769</stp>
        <tr r="P61" s="2"/>
      </tp>
      <tp t="s">
        <v>#N/A N/A</v>
        <stp/>
        <stp>BDP|13940200056798610922</stp>
        <tr r="Y236" s="2"/>
      </tp>
      <tp t="s">
        <v>#N/A N/A</v>
        <stp/>
        <stp>BDP|16396989694345733630</stp>
        <tr r="P154" s="2"/>
      </tp>
      <tp t="s">
        <v>#N/A N/A</v>
        <stp/>
        <stp>BDP|18080699855746081879</stp>
        <tr r="N134" s="2"/>
      </tp>
      <tp t="s">
        <v>#N/A N/A</v>
        <stp/>
        <stp>BDP|12966177404772959486</stp>
        <tr r="K61" s="2"/>
        <tr r="R61" s="2"/>
        <tr r="W61" s="2"/>
      </tp>
      <tp t="s">
        <v>#N/A N/A</v>
        <stp/>
        <stp>BDP|13406066771896837708</stp>
        <tr r="AC190" s="2"/>
      </tp>
      <tp t="s">
        <v>#N/A N/A</v>
        <stp/>
        <stp>BDP|11156472856354857135</stp>
        <tr r="T118" s="2"/>
      </tp>
      <tp t="s">
        <v>#N/A N/A</v>
        <stp/>
        <stp>BDP|12152581559450831737</stp>
        <tr r="O81" s="2"/>
      </tp>
      <tp t="s">
        <v>#N/A N/A</v>
        <stp/>
        <stp>BDP|17196909028219296010</stp>
        <tr r="P22" s="2"/>
      </tp>
      <tp t="s">
        <v>#N/A N/A</v>
        <stp/>
        <stp>BDP|11206520346873540697</stp>
        <tr r="X17" s="2"/>
      </tp>
      <tp t="s">
        <v>#N/A N/A</v>
        <stp/>
        <stp>BDP|14924658300332736510</stp>
        <tr r="M46" s="2"/>
      </tp>
      <tp t="s">
        <v>#N/A N/A</v>
        <stp/>
        <stp>BDP|14685845685755849457</stp>
        <tr r="Q126" s="2"/>
      </tp>
      <tp t="s">
        <v>#N/A N/A</v>
        <stp/>
        <stp>BDP|12791549848533532549</stp>
        <tr r="Q51" s="2"/>
      </tp>
      <tp t="s">
        <v>#N/A N/A</v>
        <stp/>
        <stp>BDP|12858040573479763929</stp>
        <tr r="Y6" s="2"/>
      </tp>
      <tp t="s">
        <v>#N/A N/A</v>
        <stp/>
        <stp>BDP|13344980528964122982</stp>
        <tr r="C233" s="2"/>
      </tp>
      <tp t="s">
        <v>#N/A N/A</v>
        <stp/>
        <stp>BDP|11599377714615478382</stp>
        <tr r="E175" s="2"/>
      </tp>
      <tp t="s">
        <v>#N/A N/A</v>
        <stp/>
        <stp>BDP|10836376367290128037</stp>
        <tr r="C126" s="2"/>
      </tp>
      <tp t="s">
        <v>#N/A N/A</v>
        <stp/>
        <stp>BDP|13223561039776422634</stp>
        <tr r="Q193" s="2"/>
      </tp>
      <tp t="s">
        <v>#N/A N/A</v>
        <stp/>
        <stp>BDP|14214742265626128687</stp>
        <tr r="AB51" s="2"/>
      </tp>
      <tp t="s">
        <v>#N/A N/A</v>
        <stp/>
        <stp>BDP|10528424959923761739</stp>
        <tr r="Y3" s="2"/>
      </tp>
      <tp t="s">
        <v>#N/A N/A</v>
        <stp/>
        <stp>BDP|13355910181986192182</stp>
        <tr r="X35" s="2"/>
      </tp>
      <tp t="s">
        <v>#N/A N/A</v>
        <stp/>
        <stp>BDP|15533567088664506945</stp>
        <tr r="T116" s="2"/>
      </tp>
      <tp t="s">
        <v>#N/A N/A</v>
        <stp/>
        <stp>BDP|12519789427836125469</stp>
        <tr r="Y84" s="2"/>
      </tp>
      <tp t="s">
        <v>#N/A N/A</v>
        <stp/>
        <stp>BDP|17257249712783170286</stp>
        <tr r="P133" s="2"/>
      </tp>
      <tp t="s">
        <v>#N/A N/A</v>
        <stp/>
        <stp>BDP|17702359797368069084</stp>
        <tr r="AE160" s="2"/>
      </tp>
      <tp t="s">
        <v>#N/A N/A</v>
        <stp/>
        <stp>BDP|15330168297360737886</stp>
        <tr r="M29" s="2"/>
      </tp>
      <tp t="s">
        <v>#N/A N/A</v>
        <stp/>
        <stp>BDP|16853140334193393261</stp>
        <tr r="M28" s="2"/>
      </tp>
      <tp t="s">
        <v>#N/A N/A</v>
        <stp/>
        <stp>BDP|18357904495568881530</stp>
        <tr r="I185" s="2"/>
      </tp>
      <tp t="s">
        <v>#N/A N/A</v>
        <stp/>
        <stp>BDP|11307961178633227929</stp>
        <tr r="L237" s="2"/>
      </tp>
      <tp t="s">
        <v>#N/A N/A</v>
        <stp/>
        <stp>BDP|17180737669095342658</stp>
        <tr r="P69" s="2"/>
      </tp>
      <tp t="s">
        <v>#N/A N/A</v>
        <stp/>
        <stp>BDP|16807355716727247645</stp>
        <tr r="AB75" s="2"/>
      </tp>
      <tp t="s">
        <v>#N/A N/A</v>
        <stp/>
        <stp>BDP|14260092353126703225</stp>
        <tr r="S162" s="2"/>
      </tp>
      <tp t="s">
        <v>#N/A N/A</v>
        <stp/>
        <stp>BDP|17758738728025727269</stp>
        <tr r="K82" s="2"/>
        <tr r="R82" s="2"/>
        <tr r="W82" s="2"/>
      </tp>
      <tp t="s">
        <v>#N/A N/A</v>
        <stp/>
        <stp>BDP|15364594613617067344</stp>
        <tr r="L24" s="2"/>
      </tp>
      <tp t="s">
        <v>#N/A N/A</v>
        <stp/>
        <stp>BDP|12819749053860618547</stp>
        <tr r="K16" s="2"/>
        <tr r="R16" s="2"/>
        <tr r="W16" s="2"/>
      </tp>
      <tp t="s">
        <v>#N/A N/A</v>
        <stp/>
        <stp>BDP|17376460455035840655</stp>
        <tr r="AE3" s="2"/>
      </tp>
      <tp t="s">
        <v>#N/A N/A</v>
        <stp/>
        <stp>BDP|14906245143663171422</stp>
        <tr r="Q83" s="2"/>
      </tp>
      <tp t="s">
        <v>#N/A N/A</v>
        <stp/>
        <stp>BDP|12953797518957264678</stp>
        <tr r="M10" s="2"/>
      </tp>
      <tp t="s">
        <v>#N/A N/A</v>
        <stp/>
        <stp>BDP|13180724366427925000</stp>
        <tr r="AD59" s="2"/>
      </tp>
      <tp t="s">
        <v>#N/A N/A</v>
        <stp/>
        <stp>BDP|15581730629225122022</stp>
        <tr r="M100" s="2"/>
      </tp>
      <tp t="s">
        <v>#N/A N/A</v>
        <stp/>
        <stp>BDP|12961554004170298263</stp>
        <tr r="G10" s="2"/>
      </tp>
      <tp t="s">
        <v>#N/A N/A</v>
        <stp/>
        <stp>BDP|11504680340782862499</stp>
        <tr r="AE71" s="2"/>
      </tp>
      <tp t="s">
        <v>#N/A N/A</v>
        <stp/>
        <stp>BDP|10654823891705192180</stp>
        <tr r="F147" s="2"/>
      </tp>
      <tp t="s">
        <v>#N/A N/A</v>
        <stp/>
        <stp>BDP|15840458531126445141</stp>
        <tr r="L129" s="2"/>
      </tp>
      <tp t="s">
        <v>#N/A N/A</v>
        <stp/>
        <stp>BDP|18081484418671924957</stp>
        <tr r="M38" s="2"/>
      </tp>
      <tp t="s">
        <v>#N/A N/A</v>
        <stp/>
        <stp>BDP|16984993765824043898</stp>
        <tr r="AE12" s="2"/>
      </tp>
      <tp t="s">
        <v>#N/A N/A</v>
        <stp/>
        <stp>BDP|10798173137070250792</stp>
        <tr r="S71" s="2"/>
      </tp>
      <tp t="s">
        <v>#N/A N/A</v>
        <stp/>
        <stp>BDP|12923633885360712940</stp>
        <tr r="B32" s="2"/>
      </tp>
      <tp t="s">
        <v>#N/A N/A</v>
        <stp/>
        <stp>BDP|16661252677704166296</stp>
        <tr r="T94" s="2"/>
      </tp>
      <tp t="s">
        <v>#N/A N/A</v>
        <stp/>
        <stp>BDP|11759716718807587571</stp>
        <tr r="E129" s="2"/>
      </tp>
      <tp t="s">
        <v>#N/A N/A</v>
        <stp/>
        <stp>BDP|12033284242355011463</stp>
        <tr r="AB175" s="2"/>
      </tp>
      <tp t="s">
        <v>#N/A N/A</v>
        <stp/>
        <stp>BDP|14105102876483391489</stp>
        <tr r="U171" s="2"/>
      </tp>
      <tp t="s">
        <v>#N/A N/A</v>
        <stp/>
        <stp>BDP|10053020358443311355</stp>
        <tr r="D45" s="2"/>
      </tp>
      <tp t="s">
        <v>#N/A N/A</v>
        <stp/>
        <stp>BDP|17749389655106630237</stp>
        <tr r="F132" s="2"/>
      </tp>
      <tp t="s">
        <v>#N/A N/A</v>
        <stp/>
        <stp>BDP|17091400401774859264</stp>
        <tr r="AC66" s="2"/>
      </tp>
      <tp t="s">
        <v>#N/A N/A</v>
        <stp/>
        <stp>BDP|14106172817631938079</stp>
        <tr r="F97" s="2"/>
      </tp>
      <tp t="s">
        <v>#N/A N/A</v>
        <stp/>
        <stp>BDP|15386726245330897339</stp>
        <tr r="B219" s="2"/>
      </tp>
      <tp t="s">
        <v>#N/A N/A</v>
        <stp/>
        <stp>BDP|16387123281173831974</stp>
        <tr r="C237" s="2"/>
      </tp>
      <tp t="s">
        <v>#N/A N/A</v>
        <stp/>
        <stp>BDP|12849670843960584562</stp>
        <tr r="Q159" s="2"/>
      </tp>
      <tp t="s">
        <v>#N/A N/A</v>
        <stp/>
        <stp>BDP|16844359522420660268</stp>
        <tr r="I114" s="2"/>
      </tp>
      <tp t="s">
        <v>#N/A N/A</v>
        <stp/>
        <stp>BDP|17217399651635680133</stp>
        <tr r="D211" s="2"/>
      </tp>
      <tp t="s">
        <v>#N/A N/A</v>
        <stp/>
        <stp>BDP|16596632142969345882</stp>
        <tr r="AE11" s="2"/>
      </tp>
      <tp t="s">
        <v>#N/A N/A</v>
        <stp/>
        <stp>BDP|10707582081150086802</stp>
        <tr r="E77" s="2"/>
      </tp>
      <tp t="s">
        <v>#N/A N/A</v>
        <stp/>
        <stp>BDP|14401355433030937159</stp>
        <tr r="O222" s="2"/>
      </tp>
      <tp t="s">
        <v>#N/A N/A</v>
        <stp/>
        <stp>BDP|17303655410664941118</stp>
        <tr r="I137" s="2"/>
      </tp>
      <tp t="s">
        <v>#N/A N/A</v>
        <stp/>
        <stp>BDP|10390491036353257101</stp>
        <tr r="D176" s="2"/>
      </tp>
      <tp t="s">
        <v>#N/A N/A</v>
        <stp/>
        <stp>BDP|12685097228716917308</stp>
        <tr r="K209" s="2"/>
        <tr r="R209" s="2"/>
        <tr r="W209" s="2"/>
      </tp>
      <tp t="s">
        <v>#N/A N/A</v>
        <stp/>
        <stp>BDP|16461363211472421393</stp>
        <tr r="C61" s="2"/>
      </tp>
      <tp t="s">
        <v>#N/A N/A</v>
        <stp/>
        <stp>BDP|17755446928842629639</stp>
        <tr r="K151" s="2"/>
        <tr r="R151" s="2"/>
        <tr r="W151" s="2"/>
      </tp>
      <tp t="s">
        <v>#N/A N/A</v>
        <stp/>
        <stp>BDP|14905242476417610330</stp>
        <tr r="C107" s="2"/>
      </tp>
      <tp t="s">
        <v>#N/A N/A</v>
        <stp/>
        <stp>BDP|13058755748757487279</stp>
        <tr r="N187" s="2"/>
      </tp>
      <tp t="s">
        <v>#N/A N/A</v>
        <stp/>
        <stp>BDP|14645145904092033284</stp>
        <tr r="B132" s="2"/>
      </tp>
      <tp t="s">
        <v>#N/A N/A</v>
        <stp/>
        <stp>BDP|16137426799026056844</stp>
        <tr r="C118" s="2"/>
      </tp>
      <tp t="s">
        <v>#N/A N/A</v>
        <stp/>
        <stp>BDP|16715179944204968238</stp>
        <tr r="M117" s="2"/>
      </tp>
      <tp t="s">
        <v>#N/A N/A</v>
        <stp/>
        <stp>BDP|11859088141013761370</stp>
        <tr r="H235" s="2"/>
      </tp>
      <tp t="s">
        <v>#N/A N/A</v>
        <stp/>
        <stp>BDP|17666250960870100635</stp>
        <tr r="Z182" s="2"/>
      </tp>
      <tp t="s">
        <v>#N/A N/A</v>
        <stp/>
        <stp>BDP|14796996241599748595</stp>
        <tr r="T110" s="2"/>
      </tp>
      <tp t="s">
        <v>#N/A N/A</v>
        <stp/>
        <stp>BDP|12346127243790140229</stp>
        <tr r="K50" s="2"/>
        <tr r="R50" s="2"/>
        <tr r="W50" s="2"/>
      </tp>
      <tp t="s">
        <v>#N/A N/A</v>
        <stp/>
        <stp>BDP|17394806467979661539</stp>
        <tr r="H167" s="2"/>
      </tp>
      <tp t="s">
        <v>#N/A N/A</v>
        <stp/>
        <stp>BDP|15606577031733599541</stp>
        <tr r="Q135" s="2"/>
      </tp>
      <tp t="s">
        <v>#N/A N/A</v>
        <stp/>
        <stp>BDP|18199074896482525643</stp>
        <tr r="AE45" s="2"/>
      </tp>
      <tp t="s">
        <v>#N/A N/A</v>
        <stp/>
        <stp>BDP|14548713731677560218</stp>
        <tr r="Q50" s="2"/>
      </tp>
      <tp t="s">
        <v>#N/A N/A</v>
        <stp/>
        <stp>BDP|16229278457003411775</stp>
        <tr r="V27" s="2"/>
      </tp>
      <tp t="s">
        <v>#N/A N/A</v>
        <stp/>
        <stp>BDP|15567339847932012505</stp>
        <tr r="U93" s="2"/>
      </tp>
      <tp t="s">
        <v>#N/A N/A</v>
        <stp/>
        <stp>BDP|11284500738827245594</stp>
        <tr r="AC137" s="2"/>
      </tp>
      <tp t="s">
        <v>#N/A N/A</v>
        <stp/>
        <stp>BDP|15884634571063912228</stp>
        <tr r="G97" s="2"/>
      </tp>
      <tp t="s">
        <v>#N/A N/A</v>
        <stp/>
        <stp>BDP|14216431060535168617</stp>
        <tr r="F89" s="2"/>
      </tp>
      <tp t="s">
        <v>#N/A N/A</v>
        <stp/>
        <stp>BDP|11316405027936133454</stp>
        <tr r="H125" s="2"/>
      </tp>
      <tp t="s">
        <v>#N/A N/A</v>
        <stp/>
        <stp>BDP|17269851137110696967</stp>
        <tr r="AE96" s="2"/>
      </tp>
      <tp t="s">
        <v>#N/A N/A</v>
        <stp/>
        <stp>BDP|13233544142770663728</stp>
        <tr r="K90" s="2"/>
        <tr r="R90" s="2"/>
        <tr r="W90" s="2"/>
      </tp>
      <tp t="s">
        <v>#N/A N/A</v>
        <stp/>
        <stp>BDP|12739872176971043961</stp>
        <tr r="O237" s="2"/>
      </tp>
      <tp t="s">
        <v>#N/A N/A</v>
        <stp/>
        <stp>BDP|13137973427899337427</stp>
        <tr r="M155" s="2"/>
      </tp>
      <tp t="s">
        <v>#N/A N/A</v>
        <stp/>
        <stp>BDP|17752819127618609078</stp>
        <tr r="U41" s="2"/>
      </tp>
      <tp t="s">
        <v>#N/A N/A</v>
        <stp/>
        <stp>BDP|14478187409988789820</stp>
        <tr r="F57" s="2"/>
      </tp>
      <tp t="s">
        <v>#N/A N/A</v>
        <stp/>
        <stp>BDP|10411464953444699078</stp>
        <tr r="B175" s="2"/>
      </tp>
      <tp t="s">
        <v>#N/A N/A</v>
        <stp/>
        <stp>BDP|13107048428061593586</stp>
        <tr r="H109" s="2"/>
      </tp>
      <tp t="s">
        <v>#N/A N/A</v>
        <stp/>
        <stp>BDP|12911259277914801637</stp>
        <tr r="Z91" s="2"/>
      </tp>
      <tp t="s">
        <v>#N/A N/A</v>
        <stp/>
        <stp>BDP|11557042401505825184</stp>
        <tr r="L73" s="2"/>
      </tp>
      <tp t="s">
        <v>#N/A N/A</v>
        <stp/>
        <stp>BDP|11406854231988360701</stp>
        <tr r="X31" s="2"/>
      </tp>
      <tp t="s">
        <v>#N/A N/A</v>
        <stp/>
        <stp>BDP|14593833653025017961</stp>
        <tr r="V57" s="2"/>
      </tp>
      <tp t="s">
        <v>#N/A N/A</v>
        <stp/>
        <stp>BDP|15513359873285733170</stp>
        <tr r="U22" s="2"/>
      </tp>
      <tp t="s">
        <v>#N/A N/A</v>
        <stp/>
        <stp>BDP|17727809064798039407</stp>
        <tr r="AA143" s="2"/>
      </tp>
      <tp t="s">
        <v>#N/A N/A</v>
        <stp/>
        <stp>BDP|13493640510230552161</stp>
        <tr r="C130" s="2"/>
      </tp>
      <tp t="s">
        <v>#N/A N/A</v>
        <stp/>
        <stp>BDP|10391410671275116314</stp>
        <tr r="Y93" s="2"/>
      </tp>
      <tp t="s">
        <v>#N/A N/A</v>
        <stp/>
        <stp>BDP|16783679827090010741</stp>
        <tr r="Y203" s="2"/>
      </tp>
      <tp t="s">
        <v>#N/A N/A</v>
        <stp/>
        <stp>BDP|11650988053330998870</stp>
        <tr r="I166" s="2"/>
      </tp>
      <tp t="s">
        <v>#N/A N/A</v>
        <stp/>
        <stp>BDP|10276791289669427355</stp>
        <tr r="C52" s="2"/>
      </tp>
      <tp t="s">
        <v>#N/A N/A</v>
        <stp/>
        <stp>BDP|15414742583359527655</stp>
        <tr r="G159" s="2"/>
      </tp>
      <tp t="s">
        <v>#N/A N/A</v>
        <stp/>
        <stp>BDP|10373198947505742598</stp>
        <tr r="Z194" s="2"/>
      </tp>
      <tp t="s">
        <v>#N/A N/A</v>
        <stp/>
        <stp>BDP|16310412824034236174</stp>
        <tr r="AD95" s="2"/>
      </tp>
      <tp t="s">
        <v>#N/A N/A</v>
        <stp/>
        <stp>BDP|14966893056188365479</stp>
        <tr r="K84" s="2"/>
        <tr r="R84" s="2"/>
        <tr r="W84" s="2"/>
      </tp>
      <tp t="s">
        <v>#N/A N/A</v>
        <stp/>
        <stp>BDP|14515464442770017138</stp>
        <tr r="Z170" s="2"/>
      </tp>
      <tp t="s">
        <v>#N/A N/A</v>
        <stp/>
        <stp>BDP|16052155311730272348</stp>
        <tr r="AD49" s="2"/>
      </tp>
      <tp t="s">
        <v>#N/A N/A</v>
        <stp/>
        <stp>BDP|14282385658735824287</stp>
        <tr r="B191" s="2"/>
      </tp>
      <tp t="s">
        <v>#N/A N/A</v>
        <stp/>
        <stp>BDP|11492796910335922760</stp>
        <tr r="G195" s="2"/>
      </tp>
      <tp t="s">
        <v>#N/A N/A</v>
        <stp/>
        <stp>BDP|11839490851647748252</stp>
        <tr r="C42" s="2"/>
      </tp>
      <tp t="s">
        <v>#N/A N/A</v>
        <stp/>
        <stp>BDP|14447194029724578633</stp>
        <tr r="K125" s="2"/>
        <tr r="R125" s="2"/>
        <tr r="W125" s="2"/>
      </tp>
      <tp t="s">
        <v>#N/A N/A</v>
        <stp/>
        <stp>BDP|14457220934410137013</stp>
        <tr r="H132" s="2"/>
      </tp>
      <tp t="s">
        <v>#N/A N/A</v>
        <stp/>
        <stp>BDP|10093768265065391129</stp>
        <tr r="K139" s="2"/>
        <tr r="R139" s="2"/>
        <tr r="W139" s="2"/>
      </tp>
      <tp t="s">
        <v>#N/A N/A</v>
        <stp/>
        <stp>BDP|11325069669500670288</stp>
        <tr r="K69" s="2"/>
        <tr r="R69" s="2"/>
        <tr r="W69" s="2"/>
      </tp>
      <tp t="s">
        <v>#N/A N/A</v>
        <stp/>
        <stp>BDP|11714152405795604033</stp>
        <tr r="AA139" s="2"/>
      </tp>
      <tp t="s">
        <v>#N/A N/A</v>
        <stp/>
        <stp>BDP|14310273506355154612</stp>
        <tr r="X16" s="2"/>
      </tp>
      <tp t="s">
        <v>#N/A N/A</v>
        <stp/>
        <stp>BDP|16560744774614043775</stp>
        <tr r="AA187" s="2"/>
      </tp>
      <tp t="s">
        <v>#N/A N/A</v>
        <stp/>
        <stp>BDP|14548864915578589019</stp>
        <tr r="K12" s="2"/>
        <tr r="R12" s="2"/>
        <tr r="W12" s="2"/>
      </tp>
      <tp t="s">
        <v>#N/A N/A</v>
        <stp/>
        <stp>BDP|18191440997484371440</stp>
        <tr r="AE104" s="2"/>
      </tp>
      <tp t="s">
        <v>#N/A N/A</v>
        <stp/>
        <stp>BDP|16642104011961030222</stp>
        <tr r="Q52" s="2"/>
      </tp>
      <tp t="s">
        <v>#N/A N/A</v>
        <stp/>
        <stp>BDP|15986779411991264781</stp>
        <tr r="G62" s="2"/>
      </tp>
      <tp t="s">
        <v>#N/A N/A</v>
        <stp/>
        <stp>BDP|15495384438082836290</stp>
        <tr r="D86" s="2"/>
      </tp>
      <tp t="s">
        <v>#N/A N/A</v>
        <stp/>
        <stp>BDP|11942039469547463522</stp>
        <tr r="U192" s="2"/>
      </tp>
      <tp t="s">
        <v>#N/A N/A</v>
        <stp/>
        <stp>BDP|13912446358221247621</stp>
        <tr r="I38" s="2"/>
      </tp>
      <tp t="s">
        <v>#N/A N/A</v>
        <stp/>
        <stp>BDP|16184136936838808996</stp>
        <tr r="AD226" s="2"/>
      </tp>
      <tp t="s">
        <v>#N/A N/A</v>
        <stp/>
        <stp>BDP|12637624707795446423</stp>
        <tr r="H169" s="2"/>
      </tp>
      <tp t="s">
        <v>#N/A N/A</v>
        <stp/>
        <stp>BDP|14275977484160208064</stp>
        <tr r="O33" s="2"/>
      </tp>
      <tp t="s">
        <v>#N/A N/A</v>
        <stp/>
        <stp>BDP|10511278746656037519</stp>
        <tr r="V200" s="2"/>
      </tp>
      <tp t="s">
        <v>#N/A N/A</v>
        <stp/>
        <stp>BDP|14531563741908738811</stp>
        <tr r="B215" s="2"/>
      </tp>
      <tp t="s">
        <v>#N/A N/A</v>
        <stp/>
        <stp>BDP|15315303016270291231</stp>
        <tr r="P53" s="2"/>
      </tp>
      <tp t="s">
        <v>#N/A N/A</v>
        <stp/>
        <stp>BDP|16829699730291457713</stp>
        <tr r="L230" s="2"/>
      </tp>
      <tp t="s">
        <v>#N/A N/A</v>
        <stp/>
        <stp>BDP|15635778534091721567</stp>
        <tr r="S48" s="2"/>
      </tp>
      <tp t="s">
        <v>#N/A N/A</v>
        <stp/>
        <stp>BDP|12596009165963626227</stp>
        <tr r="AA74" s="2"/>
      </tp>
      <tp t="s">
        <v>#N/A N/A</v>
        <stp/>
        <stp>BDP|10911579854206989371</stp>
        <tr r="B80" s="2"/>
      </tp>
      <tp t="s">
        <v>#N/A N/A</v>
        <stp/>
        <stp>BDP|15569602568260955002</stp>
        <tr r="L32" s="2"/>
      </tp>
      <tp t="s">
        <v>#N/A N/A</v>
        <stp/>
        <stp>BDP|16429781916633672683</stp>
        <tr r="I215" s="2"/>
      </tp>
      <tp t="s">
        <v>#N/A N/A</v>
        <stp/>
        <stp>BDP|15269735538011451596</stp>
        <tr r="I193" s="2"/>
      </tp>
      <tp t="s">
        <v>#N/A N/A</v>
        <stp/>
        <stp>BDP|17074926418219876363</stp>
        <tr r="P215" s="2"/>
      </tp>
      <tp t="s">
        <v>#N/A N/A</v>
        <stp/>
        <stp>BDP|12661001726300668527</stp>
        <tr r="L186" s="2"/>
      </tp>
      <tp t="s">
        <v>#N/A N/A</v>
        <stp/>
        <stp>BDP|10316128505264189017</stp>
        <tr r="Q43" s="2"/>
      </tp>
      <tp t="s">
        <v>#N/A N/A</v>
        <stp/>
        <stp>BDP|15879095613809267877</stp>
        <tr r="F87" s="2"/>
      </tp>
      <tp t="s">
        <v>#N/A N/A</v>
        <stp/>
        <stp>BDP|16703202216909152977</stp>
        <tr r="G191" s="2"/>
      </tp>
      <tp t="s">
        <v>#N/A N/A</v>
        <stp/>
        <stp>BDP|10351555346955026174</stp>
        <tr r="E12" s="2"/>
      </tp>
      <tp t="s">
        <v>#N/A N/A</v>
        <stp/>
        <stp>BDP|13297070915886384147</stp>
        <tr r="V105" s="2"/>
      </tp>
      <tp t="s">
        <v>#N/A N/A</v>
        <stp/>
        <stp>BDP|17877289976567727064</stp>
        <tr r="O16" s="2"/>
      </tp>
      <tp t="s">
        <v>#N/A N/A</v>
        <stp/>
        <stp>BDP|14079109753507226264</stp>
        <tr r="X186" s="2"/>
      </tp>
      <tp t="s">
        <v>#N/A N/A</v>
        <stp/>
        <stp>BDP|10606371020440712419</stp>
        <tr r="U43" s="2"/>
      </tp>
      <tp t="s">
        <v>#N/A N/A</v>
        <stp/>
        <stp>BDP|16010992065429288593</stp>
        <tr r="Y171" s="2"/>
      </tp>
      <tp t="s">
        <v>#N/A N/A</v>
        <stp/>
        <stp>BDP|12771473911447183579</stp>
        <tr r="F179" s="2"/>
      </tp>
      <tp t="s">
        <v>#N/A N/A</v>
        <stp/>
        <stp>BDP|16624478952822004043</stp>
        <tr r="O151" s="2"/>
      </tp>
      <tp t="s">
        <v>#N/A N/A</v>
        <stp/>
        <stp>BDP|10274152334627614022</stp>
        <tr r="S101" s="2"/>
      </tp>
      <tp t="s">
        <v>#N/A N/A</v>
        <stp/>
        <stp>BDP|11315777779557938337</stp>
        <tr r="Q220" s="2"/>
      </tp>
      <tp t="s">
        <v>#N/A N/A</v>
        <stp/>
        <stp>BDP|13762107282598071725</stp>
        <tr r="U182" s="2"/>
      </tp>
      <tp t="s">
        <v>#N/A N/A</v>
        <stp/>
        <stp>BDP|10509854294735424174</stp>
        <tr r="I116" s="2"/>
      </tp>
      <tp t="s">
        <v>#N/A N/A</v>
        <stp/>
        <stp>BDP|15267041619735974413</stp>
        <tr r="P239" s="2"/>
      </tp>
      <tp t="s">
        <v>#N/A N/A</v>
        <stp/>
        <stp>BDP|14754309465925756139</stp>
        <tr r="C187" s="2"/>
      </tp>
      <tp t="s">
        <v>#N/A N/A</v>
        <stp/>
        <stp>BDP|17955693844890434065</stp>
        <tr r="Y71" s="2"/>
      </tp>
      <tp t="s">
        <v>#N/A N/A</v>
        <stp/>
        <stp>BDP|11984241562817988706</stp>
        <tr r="K10" s="2"/>
        <tr r="R10" s="2"/>
        <tr r="W10" s="2"/>
      </tp>
      <tp t="s">
        <v>#N/A N/A</v>
        <stp/>
        <stp>BDP|12952849396677801155</stp>
        <tr r="Y189" s="2"/>
      </tp>
      <tp t="s">
        <v>#N/A N/A</v>
        <stp/>
        <stp>BDP|12287891158638594209</stp>
        <tr r="N202" s="2"/>
      </tp>
      <tp t="s">
        <v>#N/A N/A</v>
        <stp/>
        <stp>BDP|11796675001275571727</stp>
        <tr r="U187" s="2"/>
      </tp>
      <tp t="s">
        <v>#N/A N/A</v>
        <stp/>
        <stp>BDP|14452742072735690424</stp>
        <tr r="G75" s="2"/>
      </tp>
      <tp t="s">
        <v>#N/A N/A</v>
        <stp/>
        <stp>BDP|11207637528973859377</stp>
        <tr r="S151" s="2"/>
      </tp>
      <tp t="s">
        <v>#N/A N/A</v>
        <stp/>
        <stp>BDP|17550624896824742901</stp>
        <tr r="U90" s="2"/>
      </tp>
      <tp t="s">
        <v>#N/A N/A</v>
        <stp/>
        <stp>BDP|17041449666975504517</stp>
        <tr r="D186" s="2"/>
      </tp>
      <tp t="s">
        <v>#N/A N/A</v>
        <stp/>
        <stp>BDP|17040710832614548205</stp>
        <tr r="O76" s="2"/>
      </tp>
      <tp t="s">
        <v>#N/A N/A</v>
        <stp/>
        <stp>BDP|10257052690508489458</stp>
        <tr r="M71" s="2"/>
      </tp>
      <tp t="s">
        <v>#N/A N/A</v>
        <stp/>
        <stp>BDP|16415053231636512637</stp>
        <tr r="I213" s="2"/>
      </tp>
      <tp t="s">
        <v>#N/A N/A</v>
        <stp/>
        <stp>BDP|17102147570332213615</stp>
        <tr r="AA216" s="2"/>
      </tp>
      <tp t="s">
        <v>#N/A N/A</v>
        <stp/>
        <stp>BDP|11362858250451037809</stp>
        <tr r="L207" s="2"/>
      </tp>
      <tp t="s">
        <v>#N/A N/A</v>
        <stp/>
        <stp>BDP|13203683584399112197</stp>
        <tr r="G165" s="2"/>
      </tp>
      <tp t="s">
        <v>#N/A N/A</v>
        <stp/>
        <stp>BDP|10801897880236600313</stp>
        <tr r="O56" s="2"/>
      </tp>
      <tp t="s">
        <v>#N/A N/A</v>
        <stp/>
        <stp>BDP|12194326534157185000</stp>
        <tr r="I109" s="2"/>
      </tp>
      <tp t="s">
        <v>#N/A N/A</v>
        <stp/>
        <stp>BDP|17055784618766564236</stp>
        <tr r="G205" s="2"/>
      </tp>
      <tp t="s">
        <v>#N/A N/A</v>
        <stp/>
        <stp>BDP|11149549492111812998</stp>
        <tr r="E233" s="2"/>
      </tp>
    </main>
    <main first="bofaddin.rtdserver">
      <tp t="s">
        <v>#N/A N/A</v>
        <stp/>
        <stp>BDP|3102579816958932</stp>
        <tr r="O45" s="2"/>
      </tp>
      <tp t="s">
        <v>#N/A N/A</v>
        <stp/>
        <stp>BDP|8887848413732191</stp>
        <tr r="N141" s="2"/>
      </tp>
      <tp t="s">
        <v>#N/A N/A</v>
        <stp/>
        <stp>BDP|6089670018411934</stp>
        <tr r="AD141" s="2"/>
      </tp>
      <tp t="s">
        <v>#N/A N/A</v>
        <stp/>
        <stp>BDP|3698007796083203585</stp>
        <tr r="C121" s="2"/>
      </tp>
      <tp t="s">
        <v>#N/A N/A</v>
        <stp/>
        <stp>BDP|5626382711129039258</stp>
        <tr r="N234" s="2"/>
      </tp>
      <tp t="s">
        <v>#N/A N/A</v>
        <stp/>
        <stp>BDP|6929963848941926647</stp>
        <tr r="I130" s="2"/>
      </tp>
      <tp t="s">
        <v>#N/A N/A</v>
        <stp/>
        <stp>BDP|9996238701532256531</stp>
        <tr r="AD16" s="2"/>
      </tp>
      <tp t="s">
        <v>#N/A N/A</v>
        <stp/>
        <stp>BDP|2434789206998027101</stp>
        <tr r="C174" s="2"/>
      </tp>
      <tp t="s">
        <v>#N/A N/A</v>
        <stp/>
        <stp>BDP|8575960350378119085</stp>
        <tr r="M63" s="2"/>
      </tp>
      <tp t="s">
        <v>#N/A N/A</v>
        <stp/>
        <stp>BDP|4218923272002060487</stp>
        <tr r="AE23" s="2"/>
      </tp>
      <tp t="s">
        <v>#N/A N/A</v>
        <stp/>
        <stp>BDP|2157940078590631016</stp>
        <tr r="O28" s="2"/>
      </tp>
      <tp t="s">
        <v>#N/A N/A</v>
        <stp/>
        <stp>BDP|5928049781134448532</stp>
        <tr r="AD185" s="2"/>
      </tp>
      <tp t="s">
        <v>#N/A N/A</v>
        <stp/>
        <stp>BDP|5703858078141603776</stp>
        <tr r="G50" s="2"/>
      </tp>
      <tp t="s">
        <v>#N/A N/A</v>
        <stp/>
        <stp>BDP|8509278636854834172</stp>
        <tr r="Q18" s="2"/>
      </tp>
      <tp t="s">
        <v>#N/A N/A</v>
        <stp/>
        <stp>BDP|6578212522119577386</stp>
        <tr r="M212" s="2"/>
      </tp>
      <tp t="s">
        <v>#N/A N/A</v>
        <stp/>
        <stp>BDP|6503880567305945180</stp>
        <tr r="B126" s="2"/>
      </tp>
      <tp t="s">
        <v>#N/A N/A</v>
        <stp/>
        <stp>BDP|6710381601268174143</stp>
        <tr r="AD23" s="2"/>
      </tp>
      <tp t="s">
        <v>#N/A N/A</v>
        <stp/>
        <stp>BDP|3942377973013686832</stp>
        <tr r="U224" s="2"/>
      </tp>
      <tp t="s">
        <v>#N/A N/A</v>
        <stp/>
        <stp>BDP|6988702437936084862</stp>
        <tr r="S170" s="2"/>
      </tp>
      <tp t="s">
        <v>#N/A N/A</v>
        <stp/>
        <stp>BDP|8351235612951879627</stp>
        <tr r="P131" s="2"/>
      </tp>
      <tp t="s">
        <v>#N/A N/A</v>
        <stp/>
        <stp>BDP|7994202098024117482</stp>
        <tr r="N221" s="2"/>
      </tp>
      <tp t="s">
        <v>#N/A N/A</v>
        <stp/>
        <stp>BDP|8084520159357410371</stp>
        <tr r="U141" s="2"/>
      </tp>
      <tp t="s">
        <v>#N/A N/A</v>
        <stp/>
        <stp>BDP|9179681698119054399</stp>
        <tr r="D152" s="2"/>
      </tp>
      <tp t="s">
        <v>#N/A N/A</v>
        <stp/>
        <stp>BDP|6895880136327915671</stp>
        <tr r="V165" s="2"/>
      </tp>
      <tp t="s">
        <v>#N/A N/A</v>
        <stp/>
        <stp>BDP|6636979893688309296</stp>
        <tr r="Z115" s="2"/>
      </tp>
      <tp t="s">
        <v>#N/A N/A</v>
        <stp/>
        <stp>BDP|5900858011140730026</stp>
        <tr r="AD230" s="2"/>
      </tp>
      <tp t="s">
        <v>#N/A N/A</v>
        <stp/>
        <stp>BDP|6931206589927194799</stp>
        <tr r="T135" s="2"/>
      </tp>
      <tp t="s">
        <v>#N/A N/A</v>
        <stp/>
        <stp>BDP|3313939828302118614</stp>
        <tr r="T19" s="2"/>
      </tp>
      <tp t="s">
        <v>#N/A N/A</v>
        <stp/>
        <stp>BDP|6205203792939098880</stp>
        <tr r="V49" s="2"/>
      </tp>
      <tp t="s">
        <v>#N/A N/A</v>
        <stp/>
        <stp>BDP|2437931829170009561</stp>
        <tr r="I146" s="2"/>
      </tp>
      <tp t="s">
        <v>#N/A N/A</v>
        <stp/>
        <stp>BDP|1017545668279048740</stp>
        <tr r="X10" s="2"/>
      </tp>
      <tp t="s">
        <v>#N/A N/A</v>
        <stp/>
        <stp>BDP|3472449661964072994</stp>
        <tr r="Q35" s="2"/>
      </tp>
      <tp t="s">
        <v>#N/A N/A</v>
        <stp/>
        <stp>BDP|7988684610095086990</stp>
        <tr r="F193" s="2"/>
      </tp>
      <tp t="s">
        <v>#N/A N/A</v>
        <stp/>
        <stp>BDP|7433459273451888920</stp>
        <tr r="K21" s="2"/>
        <tr r="R21" s="2"/>
        <tr r="W21" s="2"/>
      </tp>
      <tp t="s">
        <v>#N/A N/A</v>
        <stp/>
        <stp>BDP|8085595903483501260</stp>
        <tr r="V146" s="2"/>
      </tp>
      <tp t="s">
        <v>#N/A N/A</v>
        <stp/>
        <stp>BDP|3250035288963801481</stp>
        <tr r="F238" s="2"/>
      </tp>
      <tp t="s">
        <v>#N/A N/A</v>
        <stp/>
        <stp>BDP|9620553622755092787</stp>
        <tr r="N165" s="2"/>
      </tp>
      <tp t="s">
        <v>#N/A N/A</v>
        <stp/>
        <stp>BDP|1660831645773818219</stp>
        <tr r="N49" s="2"/>
      </tp>
      <tp t="s">
        <v>#N/A N/A</v>
        <stp/>
        <stp>BDP|6073099992344436764</stp>
        <tr r="T219" s="2"/>
      </tp>
      <tp t="s">
        <v>#N/A N/A</v>
        <stp/>
        <stp>BDP|8719729839202149244</stp>
        <tr r="AB27" s="2"/>
      </tp>
      <tp t="s">
        <v>#N/A N/A</v>
        <stp/>
        <stp>BDP|2272909202796052190</stp>
        <tr r="AB5" s="2"/>
      </tp>
      <tp t="s">
        <v>#N/A N/A</v>
        <stp/>
        <stp>BDP|5110585245251591900</stp>
        <tr r="AD21" s="2"/>
      </tp>
      <tp t="s">
        <v>#N/A N/A</v>
        <stp/>
        <stp>BDP|1889568995436323719</stp>
        <tr r="Q142" s="2"/>
      </tp>
      <tp t="s">
        <v>#N/A N/A</v>
        <stp/>
        <stp>BDP|1534368104117932978</stp>
        <tr r="P80" s="2"/>
      </tp>
      <tp t="s">
        <v>#N/A N/A</v>
        <stp/>
        <stp>BDP|7410805648205310264</stp>
        <tr r="L103" s="2"/>
      </tp>
      <tp t="s">
        <v>#N/A N/A</v>
        <stp/>
        <stp>BDP|7941868430879505937</stp>
        <tr r="T53" s="2"/>
      </tp>
      <tp t="s">
        <v>#N/A N/A</v>
        <stp/>
        <stp>BDP|8092964285245284084</stp>
        <tr r="Y4" s="2"/>
      </tp>
      <tp t="s">
        <v>#N/A N/A</v>
        <stp/>
        <stp>BDP|7979500020774222821</stp>
        <tr r="S46" s="2"/>
      </tp>
      <tp t="s">
        <v>#N/A N/A</v>
        <stp/>
        <stp>BDP|7173373791061916077</stp>
        <tr r="Q23" s="2"/>
      </tp>
      <tp t="s">
        <v>#N/A N/A</v>
        <stp/>
        <stp>BDP|6552661688420529470</stp>
        <tr r="M142" s="2"/>
      </tp>
      <tp t="s">
        <v>#N/A N/A</v>
        <stp/>
        <stp>BDP|4592764598925314310</stp>
        <tr r="S5" s="2"/>
      </tp>
      <tp t="s">
        <v>#N/A N/A</v>
        <stp/>
        <stp>BDP|6317959864827912224</stp>
        <tr r="U14" s="2"/>
      </tp>
      <tp t="s">
        <v>#N/A N/A</v>
        <stp/>
        <stp>BDP|5895315174995774836</stp>
        <tr r="V196" s="2"/>
      </tp>
      <tp t="s">
        <v>#N/A N/A</v>
        <stp/>
        <stp>BDP|3671744604200802876</stp>
        <tr r="C100" s="2"/>
      </tp>
      <tp t="s">
        <v>#N/A N/A</v>
        <stp/>
        <stp>BDP|7036734274713110888</stp>
        <tr r="S236" s="2"/>
      </tp>
      <tp t="s">
        <v>#N/A N/A</v>
        <stp/>
        <stp>BDP|2695653077227352895</stp>
        <tr r="O52" s="2"/>
      </tp>
      <tp t="s">
        <v>#N/A N/A</v>
        <stp/>
        <stp>BDP|1172114088992321650</stp>
        <tr r="Z84" s="2"/>
      </tp>
      <tp t="s">
        <v>#N/A N/A</v>
        <stp/>
        <stp>BDP|2826677252925610856</stp>
        <tr r="E192" s="2"/>
      </tp>
      <tp t="s">
        <v>#N/A N/A</v>
        <stp/>
        <stp>BDP|8545919023808067798</stp>
        <tr r="E215" s="2"/>
      </tp>
      <tp t="s">
        <v>#N/A N/A</v>
        <stp/>
        <stp>BDP|8627365101071896673</stp>
        <tr r="P130" s="2"/>
      </tp>
      <tp t="s">
        <v>#N/A N/A</v>
        <stp/>
        <stp>BDP|1855826843254755508</stp>
        <tr r="V169" s="2"/>
      </tp>
      <tp t="s">
        <v>#N/A N/A</v>
        <stp/>
        <stp>BDP|1448978005291190597</stp>
        <tr r="B160" s="2"/>
      </tp>
      <tp t="s">
        <v>#N/A N/A</v>
        <stp/>
        <stp>BDP|4183979150717153391</stp>
        <tr r="T131" s="2"/>
      </tp>
      <tp t="s">
        <v>#N/A N/A</v>
        <stp/>
        <stp>BDP|9954468213093002328</stp>
        <tr r="H211" s="2"/>
      </tp>
      <tp t="s">
        <v>#N/A N/A</v>
        <stp/>
        <stp>BDP|4024782752422695829</stp>
        <tr r="E143" s="2"/>
      </tp>
      <tp t="s">
        <v>#N/A N/A</v>
        <stp/>
        <stp>BDP|4998740080567422079</stp>
        <tr r="D217" s="2"/>
      </tp>
      <tp t="s">
        <v>#N/A N/A</v>
        <stp/>
        <stp>BDP|1294437863149911659</stp>
        <tr r="X157" s="2"/>
      </tp>
      <tp t="s">
        <v>#N/A N/A</v>
        <stp/>
        <stp>BDP|8953101536026725060</stp>
        <tr r="V77" s="2"/>
      </tp>
      <tp t="s">
        <v>#N/A N/A</v>
        <stp/>
        <stp>BDP|5232574130989929635</stp>
        <tr r="V34" s="2"/>
      </tp>
      <tp t="s">
        <v>#N/A N/A</v>
        <stp/>
        <stp>BDP|4553998875607427120</stp>
        <tr r="F203" s="2"/>
      </tp>
      <tp t="s">
        <v>#N/A N/A</v>
        <stp/>
        <stp>BDP|7020654177738455294</stp>
        <tr r="M76" s="2"/>
      </tp>
      <tp t="s">
        <v>#N/A N/A</v>
        <stp/>
        <stp>BDP|6455820367796775295</stp>
        <tr r="M39" s="2"/>
      </tp>
      <tp t="s">
        <v>#N/A N/A</v>
        <stp/>
        <stp>BDP|9945620662120565531</stp>
        <tr r="T212" s="2"/>
      </tp>
      <tp t="s">
        <v>#N/A N/A</v>
        <stp/>
        <stp>BDP|4736463483326846255</stp>
        <tr r="O197" s="2"/>
      </tp>
      <tp t="s">
        <v>#N/A N/A</v>
        <stp/>
        <stp>BDP|1685128195121861462</stp>
        <tr r="U35" s="2"/>
      </tp>
      <tp t="s">
        <v>#N/A N/A</v>
        <stp/>
        <stp>BDP|9017736825074857417</stp>
        <tr r="AC79" s="2"/>
      </tp>
      <tp t="s">
        <v>#N/A N/A</v>
        <stp/>
        <stp>BDP|9712341778642278364</stp>
        <tr r="L5" s="2"/>
      </tp>
      <tp t="s">
        <v>#N/A N/A</v>
        <stp/>
        <stp>BDP|8432536767587960062</stp>
        <tr r="F77" s="2"/>
      </tp>
      <tp t="s">
        <v>#N/A N/A</v>
        <stp/>
        <stp>BDP|7413077195220834211</stp>
        <tr r="M183" s="2"/>
      </tp>
      <tp t="s">
        <v>#N/A N/A</v>
        <stp/>
        <stp>BDP|9983373104207716111</stp>
        <tr r="B42" s="2"/>
      </tp>
      <tp t="s">
        <v>#N/A N/A</v>
        <stp/>
        <stp>BDP|1403969371535637694</stp>
        <tr r="AB91" s="2"/>
      </tp>
      <tp t="s">
        <v>#N/A N/A</v>
        <stp/>
        <stp>BDP|1641555496954941503</stp>
        <tr r="X140" s="2"/>
      </tp>
      <tp t="s">
        <v>#N/A N/A</v>
        <stp/>
        <stp>BDP|6213522119386486817</stp>
        <tr r="Z225" s="2"/>
      </tp>
      <tp t="s">
        <v>#N/A N/A</v>
        <stp/>
        <stp>BDP|2854139541689223247</stp>
        <tr r="I3" s="2"/>
      </tp>
      <tp t="s">
        <v>#N/A N/A</v>
        <stp/>
        <stp>BDP|1938813762313644009</stp>
        <tr r="V71" s="2"/>
      </tp>
      <tp t="s">
        <v>#N/A N/A</v>
        <stp/>
        <stp>BDP|1999142853971211802</stp>
        <tr r="E19" s="2"/>
      </tp>
      <tp t="s">
        <v>#N/A N/A</v>
        <stp/>
        <stp>BDP|7339970338027464642</stp>
        <tr r="AE32" s="2"/>
      </tp>
      <tp t="s">
        <v>#N/A N/A</v>
        <stp/>
        <stp>BDP|1655886273735984795</stp>
        <tr r="S36" s="2"/>
      </tp>
      <tp t="s">
        <v>#N/A N/A</v>
        <stp/>
        <stp>BDP|1697247809328771713</stp>
        <tr r="E94" s="2"/>
      </tp>
      <tp t="s">
        <v>#N/A N/A</v>
        <stp/>
        <stp>BDP|3364085741929677215</stp>
        <tr r="K59" s="2"/>
        <tr r="R59" s="2"/>
        <tr r="W59" s="2"/>
      </tp>
      <tp t="s">
        <v>#N/A N/A</v>
        <stp/>
        <stp>BDP|5654799383616564046</stp>
        <tr r="V184" s="2"/>
      </tp>
      <tp t="s">
        <v>#N/A N/A</v>
        <stp/>
        <stp>BDP|6561811138888527947</stp>
        <tr r="AB155" s="2"/>
      </tp>
      <tp t="s">
        <v>#N/A N/A</v>
        <stp/>
        <stp>BDP|3932612324963273830</stp>
        <tr r="O53" s="2"/>
      </tp>
      <tp t="s">
        <v>#N/A N/A</v>
        <stp/>
        <stp>BDP|1917369687393363563</stp>
        <tr r="V181" s="2"/>
      </tp>
      <tp t="s">
        <v>#N/A N/A</v>
        <stp/>
        <stp>BDP|7253895417480526244</stp>
        <tr r="U184" s="2"/>
      </tp>
      <tp t="s">
        <v>#N/A N/A</v>
        <stp/>
        <stp>BDP|4271043791971398093</stp>
        <tr r="AC5" s="2"/>
      </tp>
      <tp t="s">
        <v>#N/A N/A</v>
        <stp/>
        <stp>BDP|7868012687151851249</stp>
        <tr r="I237" s="2"/>
      </tp>
      <tp t="s">
        <v>#N/A N/A</v>
        <stp/>
        <stp>BDP|4284796394530473694</stp>
        <tr r="AA30" s="2"/>
      </tp>
      <tp t="s">
        <v>#N/A N/A</v>
        <stp/>
        <stp>BDP|8170671925117745762</stp>
        <tr r="P174" s="2"/>
      </tp>
      <tp t="s">
        <v>#N/A N/A</v>
        <stp/>
        <stp>BDP|7846850454633869534</stp>
        <tr r="N135" s="2"/>
      </tp>
      <tp t="s">
        <v>#N/A N/A</v>
        <stp/>
        <stp>BDP|2088693410250820938</stp>
        <tr r="AB182" s="2"/>
      </tp>
      <tp t="s">
        <v>#N/A N/A</v>
        <stp/>
        <stp>BDP|3000039342942576965</stp>
        <tr r="U39" s="2"/>
      </tp>
      <tp t="s">
        <v>#N/A N/A</v>
        <stp/>
        <stp>BDP|6929839738127537642</stp>
        <tr r="B41" s="2"/>
      </tp>
      <tp t="s">
        <v>#N/A N/A</v>
        <stp/>
        <stp>BDP|2833228843061878926</stp>
        <tr r="AC101" s="2"/>
      </tp>
      <tp t="s">
        <v>#N/A N/A</v>
        <stp/>
        <stp>BDP|1417269189636023186</stp>
        <tr r="AA11" s="2"/>
      </tp>
      <tp t="s">
        <v>#N/A N/A</v>
        <stp/>
        <stp>BDP|2409126317818519671</stp>
        <tr r="V201" s="2"/>
      </tp>
      <tp t="s">
        <v>#N/A N/A</v>
        <stp/>
        <stp>BDP|7361862215537705541</stp>
        <tr r="K143" s="2"/>
        <tr r="R143" s="2"/>
        <tr r="W143" s="2"/>
      </tp>
      <tp t="s">
        <v>#N/A N/A</v>
        <stp/>
        <stp>BDP|8749016864160121201</stp>
        <tr r="X150" s="2"/>
      </tp>
      <tp t="s">
        <v>#N/A N/A</v>
        <stp/>
        <stp>BDP|3879766524772159881</stp>
        <tr r="C180" s="2"/>
      </tp>
      <tp t="s">
        <v>#N/A N/A</v>
        <stp/>
        <stp>BDP|8390663420918436827</stp>
        <tr r="M161" s="2"/>
      </tp>
      <tp t="s">
        <v>#N/A N/A</v>
        <stp/>
        <stp>BDP|7200301984360616035</stp>
        <tr r="P56" s="2"/>
      </tp>
      <tp t="s">
        <v>#N/A N/A</v>
        <stp/>
        <stp>BDP|7473035884653055038</stp>
        <tr r="X218" s="2"/>
      </tp>
      <tp t="s">
        <v>#N/A N/A</v>
        <stp/>
        <stp>BDP|8060764519226737488</stp>
        <tr r="B14" s="2"/>
      </tp>
      <tp t="s">
        <v>#N/A N/A</v>
        <stp/>
        <stp>BDP|3651200894883016726</stp>
        <tr r="AB66" s="2"/>
      </tp>
      <tp t="s">
        <v>#N/A N/A</v>
        <stp/>
        <stp>BDP|5599343033149461067</stp>
        <tr r="I20" s="2"/>
      </tp>
      <tp t="s">
        <v>#N/A N/A</v>
        <stp/>
        <stp>BDP|2539453441189790764</stp>
        <tr r="D150" s="2"/>
      </tp>
      <tp t="s">
        <v>#N/A N/A</v>
        <stp/>
        <stp>BDP|7165649524416446953</stp>
        <tr r="V30" s="2"/>
      </tp>
      <tp t="s">
        <v>#N/A N/A</v>
        <stp/>
        <stp>BDP|4386011938108364392</stp>
        <tr r="E2" s="2"/>
      </tp>
      <tp t="s">
        <v>#N/A N/A</v>
        <stp/>
        <stp>BDP|6438219523483034962</stp>
        <tr r="Z204" s="2"/>
      </tp>
      <tp t="s">
        <v>#N/A N/A</v>
        <stp/>
        <stp>BDP|6117409222909489577</stp>
        <tr r="D168" s="2"/>
      </tp>
      <tp t="s">
        <v>#N/A N/A</v>
        <stp/>
        <stp>BDP|9491008764680172313</stp>
        <tr r="AD71" s="2"/>
      </tp>
      <tp t="s">
        <v>#N/A N/A</v>
        <stp/>
        <stp>BDP|1419515635609632262</stp>
        <tr r="O227" s="2"/>
      </tp>
      <tp t="s">
        <v>#N/A N/A</v>
        <stp/>
        <stp>BDP|3757512871444284958</stp>
        <tr r="AA69" s="2"/>
      </tp>
      <tp t="s">
        <v>#N/A N/A</v>
        <stp/>
        <stp>BDP|8975093432565511275</stp>
        <tr r="T69" s="2"/>
      </tp>
      <tp t="s">
        <v>#N/A N/A</v>
        <stp/>
        <stp>BDP|2674329304179829488</stp>
        <tr r="S49" s="2"/>
      </tp>
      <tp t="s">
        <v>#N/A N/A</v>
        <stp/>
        <stp>BDP|5753832335394095619</stp>
        <tr r="D195" s="2"/>
      </tp>
      <tp t="s">
        <v>#N/A N/A</v>
        <stp/>
        <stp>BDP|8497895124856074895</stp>
        <tr r="B205" s="2"/>
      </tp>
      <tp t="s">
        <v>#N/A N/A</v>
        <stp/>
        <stp>BDP|4274821015792661331</stp>
        <tr r="H192" s="2"/>
      </tp>
      <tp t="s">
        <v>#N/A N/A</v>
        <stp/>
        <stp>BDP|9634667020390786179</stp>
        <tr r="H217" s="2"/>
      </tp>
      <tp t="s">
        <v>#N/A N/A</v>
        <stp/>
        <stp>BDP|3149576796384114709</stp>
        <tr r="M203" s="2"/>
      </tp>
      <tp t="s">
        <v>#N/A N/A</v>
        <stp/>
        <stp>BDP|4225534897771586520</stp>
        <tr r="B72" s="2"/>
      </tp>
      <tp t="s">
        <v>#N/A N/A</v>
        <stp/>
        <stp>BDP|1958869103312476791</stp>
        <tr r="Z173" s="2"/>
      </tp>
      <tp t="s">
        <v>#N/A N/A</v>
        <stp/>
        <stp>BDP|5625297204893815825</stp>
        <tr r="AA5" s="2"/>
      </tp>
      <tp t="s">
        <v>#N/A N/A</v>
        <stp/>
        <stp>BDP|7666276290254633469</stp>
        <tr r="AA146" s="2"/>
      </tp>
      <tp t="s">
        <v>#N/A N/A</v>
        <stp/>
        <stp>BDP|1679026793074116078</stp>
        <tr r="I89" s="2"/>
      </tp>
      <tp t="s">
        <v>#N/A N/A</v>
        <stp/>
        <stp>BDP|3395550242729136741</stp>
        <tr r="AE132" s="2"/>
      </tp>
      <tp t="s">
        <v>#N/A N/A</v>
        <stp/>
        <stp>BDP|2900643384847123798</stp>
        <tr r="AA214" s="2"/>
      </tp>
      <tp t="s">
        <v>#N/A N/A</v>
        <stp/>
        <stp>BDP|8737173570337237533</stp>
        <tr r="AD69" s="2"/>
      </tp>
      <tp t="s">
        <v>#N/A N/A</v>
        <stp/>
        <stp>BDP|8945295643131157336</stp>
        <tr r="H166" s="2"/>
      </tp>
      <tp t="s">
        <v>#N/A N/A</v>
        <stp/>
        <stp>BDP|4283979513236198669</stp>
        <tr r="Z50" s="2"/>
      </tp>
      <tp t="s">
        <v>#N/A N/A</v>
        <stp/>
        <stp>BDP|6914443999770407717</stp>
        <tr r="F161" s="2"/>
      </tp>
      <tp t="s">
        <v>#N/A N/A</v>
        <stp/>
        <stp>BDP|5389142802229250169</stp>
        <tr r="K204" s="2"/>
        <tr r="R204" s="2"/>
        <tr r="W204" s="2"/>
      </tp>
      <tp t="s">
        <v>#N/A N/A</v>
        <stp/>
        <stp>BDP|6091945436566296617</stp>
        <tr r="Z185" s="2"/>
      </tp>
      <tp t="s">
        <v>#N/A N/A</v>
        <stp/>
        <stp>BDP|5234545886752821695</stp>
        <tr r="Y209" s="2"/>
      </tp>
      <tp t="s">
        <v>#N/A N/A</v>
        <stp/>
        <stp>BDP|9293374626770705423</stp>
        <tr r="F6" s="2"/>
      </tp>
      <tp t="s">
        <v>#N/A N/A</v>
        <stp/>
        <stp>BDP|4409476214805101807</stp>
        <tr r="Z4" s="2"/>
      </tp>
      <tp t="s">
        <v>#N/A N/A</v>
        <stp/>
        <stp>BDP|7585524839418046584</stp>
        <tr r="C168" s="2"/>
      </tp>
      <tp t="s">
        <v>#N/A N/A</v>
        <stp/>
        <stp>BDP|4819169438729471342</stp>
        <tr r="C235" s="2"/>
      </tp>
      <tp t="s">
        <v>#N/A N/A</v>
        <stp/>
        <stp>BDP|8490254000453350543</stp>
        <tr r="M69" s="2"/>
      </tp>
      <tp t="s">
        <v>#N/A N/A</v>
        <stp/>
        <stp>BDP|6777316285141376069</stp>
        <tr r="AB102" s="2"/>
      </tp>
      <tp t="s">
        <v>#N/A N/A</v>
        <stp/>
        <stp>BDP|2756029217678688723</stp>
        <tr r="D88" s="2"/>
      </tp>
      <tp t="s">
        <v>#N/A N/A</v>
        <stp/>
        <stp>BDP|8081286569701612118</stp>
        <tr r="AD134" s="2"/>
      </tp>
      <tp t="s">
        <v>#N/A N/A</v>
        <stp/>
        <stp>BDP|8371768715782082063</stp>
        <tr r="Q170" s="2"/>
      </tp>
      <tp t="s">
        <v>#N/A N/A</v>
        <stp/>
        <stp>BDP|7254748794580131558</stp>
        <tr r="E188" s="2"/>
      </tp>
      <tp t="s">
        <v>#N/A N/A</v>
        <stp/>
        <stp>BDP|8118486641691758590</stp>
        <tr r="O198" s="2"/>
      </tp>
      <tp t="s">
        <v>#N/A N/A</v>
        <stp/>
        <stp>BDP|8717573678292619499</stp>
        <tr r="F35" s="2"/>
      </tp>
      <tp t="s">
        <v>#N/A N/A</v>
        <stp/>
        <stp>BDP|7820987610351255258</stp>
        <tr r="G43" s="2"/>
      </tp>
      <tp t="s">
        <v>#N/A N/A</v>
        <stp/>
        <stp>BDP|8622629742416802094</stp>
        <tr r="AC6" s="2"/>
      </tp>
      <tp t="s">
        <v>#N/A N/A</v>
        <stp/>
        <stp>BDP|5763889629590055314</stp>
        <tr r="M89" s="2"/>
      </tp>
      <tp t="s">
        <v>#N/A N/A</v>
        <stp/>
        <stp>BDP|5471055199198803878</stp>
        <tr r="E100" s="2"/>
      </tp>
      <tp t="s">
        <v>#N/A N/A</v>
        <stp/>
        <stp>BDP|1404864026456344109</stp>
        <tr r="P163" s="2"/>
      </tp>
      <tp t="s">
        <v>#N/A N/A</v>
        <stp/>
        <stp>BDP|9226569605038046861</stp>
        <tr r="O210" s="2"/>
      </tp>
      <tp t="s">
        <v>#N/A N/A</v>
        <stp/>
        <stp>BDP|9207665976491762526</stp>
        <tr r="T178" s="2"/>
      </tp>
      <tp t="s">
        <v>#N/A N/A</v>
        <stp/>
        <stp>BDP|8321403503340750005</stp>
        <tr r="O31" s="2"/>
      </tp>
      <tp t="s">
        <v>#N/A N/A</v>
        <stp/>
        <stp>BDP|3722841943501203254</stp>
        <tr r="AB132" s="2"/>
      </tp>
      <tp t="s">
        <v>#N/A N/A</v>
        <stp/>
        <stp>BDP|9095275277403493334</stp>
        <tr r="B161" s="2"/>
      </tp>
      <tp t="s">
        <v>#N/A N/A</v>
        <stp/>
        <stp>BDP|6441740527208208722</stp>
        <tr r="Q9" s="2"/>
      </tp>
      <tp t="s">
        <v>#N/A N/A</v>
        <stp/>
        <stp>BDP|7445971826814511478</stp>
        <tr r="AA120" s="2"/>
      </tp>
      <tp t="s">
        <v>#N/A N/A</v>
        <stp/>
        <stp>BDP|4385709180142779531</stp>
        <tr r="AD132" s="2"/>
      </tp>
      <tp t="s">
        <v>#N/A N/A</v>
        <stp/>
        <stp>BDP|4897074389507000720</stp>
        <tr r="I28" s="2"/>
      </tp>
      <tp t="s">
        <v>#N/A N/A</v>
        <stp/>
        <stp>BDP|9602152694224567964</stp>
        <tr r="H137" s="2"/>
      </tp>
      <tp t="s">
        <v>#N/A N/A</v>
        <stp/>
        <stp>BDP|8690156044385187426</stp>
        <tr r="G53" s="2"/>
      </tp>
      <tp t="s">
        <v>#N/A N/A</v>
        <stp/>
        <stp>BDP|1074122802818308478</stp>
        <tr r="S47" s="2"/>
      </tp>
      <tp t="s">
        <v>#N/A N/A</v>
        <stp/>
        <stp>BDP|9370664074545346167</stp>
        <tr r="C113" s="2"/>
      </tp>
      <tp t="s">
        <v>#N/A N/A</v>
        <stp/>
        <stp>BDP|1909360385003812565</stp>
        <tr r="Y48" s="2"/>
      </tp>
      <tp t="s">
        <v>#N/A N/A</v>
        <stp/>
        <stp>BDP|4592096793521259098</stp>
        <tr r="AA141" s="2"/>
      </tp>
      <tp t="s">
        <v>#N/A N/A</v>
        <stp/>
        <stp>BDP|2024270312615309823</stp>
        <tr r="AB149" s="2"/>
      </tp>
      <tp t="s">
        <v>#N/A N/A</v>
        <stp/>
        <stp>BDP|8018616720047564707</stp>
        <tr r="P228" s="2"/>
      </tp>
      <tp t="s">
        <v>#N/A N/A</v>
        <stp/>
        <stp>BDP|5623028288128124981</stp>
        <tr r="I162" s="2"/>
      </tp>
      <tp t="s">
        <v>#N/A N/A</v>
        <stp/>
        <stp>BDP|6247346447104614929</stp>
        <tr r="V72" s="2"/>
      </tp>
      <tp t="s">
        <v>#N/A N/A</v>
        <stp/>
        <stp>BDP|5610578422747467925</stp>
        <tr r="N224" s="2"/>
      </tp>
      <tp t="s">
        <v>#N/A N/A</v>
        <stp/>
        <stp>BDP|5328154883838566857</stp>
        <tr r="AE141" s="2"/>
      </tp>
      <tp t="s">
        <v>#N/A N/A</v>
        <stp/>
        <stp>BDP|5052977233532584140</stp>
        <tr r="G231" s="2"/>
      </tp>
      <tp t="s">
        <v>#N/A N/A</v>
        <stp/>
        <stp>BDP|8582157922034411330</stp>
        <tr r="T77" s="2"/>
      </tp>
      <tp t="s">
        <v>#N/A N/A</v>
        <stp/>
        <stp>BDP|8474522333912645069</stp>
        <tr r="Q121" s="2"/>
      </tp>
      <tp t="s">
        <v>#N/A N/A</v>
        <stp/>
        <stp>BDP|9732277561582571316</stp>
        <tr r="N220" s="2"/>
      </tp>
      <tp t="s">
        <v>#N/A N/A</v>
        <stp/>
        <stp>BDP|2410765297509708974</stp>
        <tr r="P223" s="2"/>
      </tp>
      <tp t="s">
        <v>#N/A N/A</v>
        <stp/>
        <stp>BDP|3927514401263863945</stp>
        <tr r="L125" s="2"/>
      </tp>
      <tp t="s">
        <v>#N/A N/A</v>
        <stp/>
        <stp>BDP|7746701733746756960</stp>
        <tr r="P42" s="2"/>
      </tp>
      <tp t="s">
        <v>#N/A N/A</v>
        <stp/>
        <stp>BDP|6120907166671012424</stp>
        <tr r="AB233" s="2"/>
      </tp>
      <tp t="s">
        <v>#N/A N/A</v>
        <stp/>
        <stp>BDP|8131021720001408724</stp>
        <tr r="P151" s="2"/>
      </tp>
      <tp t="s">
        <v>#N/A N/A</v>
        <stp/>
        <stp>BDP|8294857223706611983</stp>
        <tr r="L138" s="2"/>
      </tp>
      <tp t="s">
        <v>#N/A N/A</v>
        <stp/>
        <stp>BDP|2998548362078655439</stp>
        <tr r="AC199" s="2"/>
      </tp>
      <tp t="s">
        <v>#N/A N/A</v>
        <stp/>
        <stp>BDP|5887854152414127145</stp>
        <tr r="AA41" s="2"/>
      </tp>
      <tp t="s">
        <v>#N/A N/A</v>
        <stp/>
        <stp>BDP|4846650501926613902</stp>
        <tr r="K155" s="2"/>
        <tr r="R155" s="2"/>
        <tr r="W155" s="2"/>
      </tp>
      <tp t="s">
        <v>#N/A N/A</v>
        <stp/>
        <stp>BDP|2068293186226148342</stp>
        <tr r="O50" s="2"/>
      </tp>
      <tp t="s">
        <v>#N/A N/A</v>
        <stp/>
        <stp>BDP|6309306842679853531</stp>
        <tr r="N180" s="2"/>
      </tp>
      <tp t="s">
        <v>#N/A N/A</v>
        <stp/>
        <stp>BDP|3422681086589271925</stp>
        <tr r="L74" s="2"/>
      </tp>
      <tp t="s">
        <v>#N/A N/A</v>
        <stp/>
        <stp>BDP|1075918207346853350</stp>
        <tr r="L215" s="2"/>
      </tp>
      <tp t="s">
        <v>#N/A N/A</v>
        <stp/>
        <stp>BDP|8574296504605080236</stp>
        <tr r="F98" s="2"/>
      </tp>
      <tp t="s">
        <v>#N/A N/A</v>
        <stp/>
        <stp>BDP|1367393025028587517</stp>
        <tr r="L78" s="2"/>
      </tp>
      <tp t="s">
        <v>#N/A N/A</v>
        <stp/>
        <stp>BDP|2920836652924418671</stp>
        <tr r="U87" s="2"/>
      </tp>
      <tp t="s">
        <v>#N/A N/A</v>
        <stp/>
        <stp>BDP|2648184986881130727</stp>
        <tr r="P75" s="2"/>
      </tp>
      <tp t="s">
        <v>#N/A N/A</v>
        <stp/>
        <stp>BDP|7900800712160264328</stp>
        <tr r="AE134" s="2"/>
      </tp>
      <tp t="s">
        <v>#N/A N/A</v>
        <stp/>
        <stp>BDP|9907232076078298955</stp>
        <tr r="I70" s="2"/>
      </tp>
      <tp t="s">
        <v>#N/A N/A</v>
        <stp/>
        <stp>BDP|8763154031733935417</stp>
        <tr r="F91" s="2"/>
      </tp>
      <tp t="s">
        <v>#N/A N/A</v>
        <stp/>
        <stp>BDP|5041399016823407907</stp>
        <tr r="N52" s="2"/>
      </tp>
      <tp t="s">
        <v>#N/A N/A</v>
        <stp/>
        <stp>BDP|4832676044542358937</stp>
        <tr r="V88" s="2"/>
      </tp>
      <tp t="s">
        <v>#N/A N/A</v>
        <stp/>
        <stp>BDP|7588860370880925517</stp>
        <tr r="I195" s="2"/>
      </tp>
      <tp t="s">
        <v>#N/A N/A</v>
        <stp/>
        <stp>BDP|8716005724107831001</stp>
        <tr r="V172" s="2"/>
      </tp>
      <tp t="s">
        <v>#N/A N/A</v>
        <stp/>
        <stp>BDP|1322810978830264307</stp>
        <tr r="C142" s="2"/>
      </tp>
      <tp t="s">
        <v>#N/A N/A</v>
        <stp/>
        <stp>BDP|4004982669362883415</stp>
        <tr r="Q229" s="2"/>
      </tp>
      <tp t="s">
        <v>#N/A N/A</v>
        <stp/>
        <stp>BDP|3327272326966331894</stp>
        <tr r="P51" s="2"/>
      </tp>
      <tp t="s">
        <v>#N/A N/A</v>
        <stp/>
        <stp>BDP|3370605218620052932</stp>
        <tr r="Z102" s="2"/>
      </tp>
      <tp t="s">
        <v>#N/A N/A</v>
        <stp/>
        <stp>BDP|5134454594753150697</stp>
        <tr r="M12" s="2"/>
      </tp>
      <tp t="s">
        <v>#N/A N/A</v>
        <stp/>
        <stp>BDP|3030173227479198498</stp>
        <tr r="H35" s="2"/>
      </tp>
      <tp t="s">
        <v>#N/A N/A</v>
        <stp/>
        <stp>BDP|8972141892764754901</stp>
        <tr r="AB216" s="2"/>
      </tp>
      <tp t="s">
        <v>#N/A N/A</v>
        <stp/>
        <stp>BDP|3104394621717529844</stp>
        <tr r="AB57" s="2"/>
      </tp>
      <tp t="s">
        <v>#N/A N/A</v>
        <stp/>
        <stp>BDP|5762028148929273577</stp>
        <tr r="O65" s="2"/>
      </tp>
      <tp t="s">
        <v>#N/A N/A</v>
        <stp/>
        <stp>BDP|3384655246825867904</stp>
        <tr r="Q22" s="2"/>
      </tp>
      <tp t="s">
        <v>#N/A N/A</v>
        <stp/>
        <stp>BDP|8654414149042669701</stp>
        <tr r="T81" s="2"/>
      </tp>
      <tp t="s">
        <v>#N/A N/A</v>
        <stp/>
        <stp>BDP|2145688784748710930</stp>
        <tr r="N115" s="2"/>
      </tp>
      <tp t="s">
        <v>#N/A N/A</v>
        <stp/>
        <stp>BDP|7993929116647463501</stp>
        <tr r="Q195" s="2"/>
      </tp>
      <tp t="s">
        <v>#N/A N/A</v>
        <stp/>
        <stp>BDP|2209060361070489988</stp>
        <tr r="AE57" s="2"/>
      </tp>
      <tp t="s">
        <v>#N/A N/A</v>
        <stp/>
        <stp>BDP|6244054248446039967</stp>
        <tr r="Y58" s="2"/>
      </tp>
      <tp t="s">
        <v>#N/A N/A</v>
        <stp/>
        <stp>BDP|9178298620793986782</stp>
        <tr r="X44" s="2"/>
      </tp>
      <tp t="s">
        <v>#N/A N/A</v>
        <stp/>
        <stp>BDP|8588760313842923100</stp>
        <tr r="AA61" s="2"/>
      </tp>
      <tp t="s">
        <v>#N/A N/A</v>
        <stp/>
        <stp>BDP|1649838232542155584</stp>
        <tr r="Q33" s="2"/>
      </tp>
      <tp t="s">
        <v>#N/A N/A</v>
        <stp/>
        <stp>BDP|2705921955112895162</stp>
        <tr r="O156" s="2"/>
      </tp>
      <tp t="s">
        <v>#N/A N/A</v>
        <stp/>
        <stp>BDP|7056536458668560209</stp>
        <tr r="S65" s="2"/>
      </tp>
      <tp t="s">
        <v>#N/A N/A</v>
        <stp/>
        <stp>BDP|6745611475683481997</stp>
        <tr r="D55" s="2"/>
      </tp>
      <tp t="s">
        <v>#N/A N/A</v>
        <stp/>
        <stp>BDP|5887686587253177585</stp>
        <tr r="AB17" s="2"/>
      </tp>
      <tp t="s">
        <v>#N/A N/A</v>
        <stp/>
        <stp>BDP|7417183897436306468</stp>
        <tr r="AC25" s="2"/>
      </tp>
      <tp t="s">
        <v>#N/A N/A</v>
        <stp/>
        <stp>BDP|1826620185977986583</stp>
        <tr r="G152" s="2"/>
      </tp>
      <tp t="s">
        <v>#N/A N/A</v>
        <stp/>
        <stp>BDP|3554682392875685474</stp>
        <tr r="K167" s="2"/>
        <tr r="R167" s="2"/>
        <tr r="W167" s="2"/>
      </tp>
      <tp t="s">
        <v>#N/A N/A</v>
        <stp/>
        <stp>BDP|5265871034017760486</stp>
        <tr r="C19" s="2"/>
      </tp>
      <tp t="s">
        <v>#N/A N/A</v>
        <stp/>
        <stp>BDP|9772236230767333292</stp>
        <tr r="I140" s="2"/>
      </tp>
      <tp t="s">
        <v>#N/A N/A</v>
        <stp/>
        <stp>BDP|1760385603479247604</stp>
        <tr r="AE62" s="2"/>
      </tp>
      <tp t="s">
        <v>#N/A N/A</v>
        <stp/>
        <stp>BDP|4345355712732239982</stp>
        <tr r="E95" s="2"/>
      </tp>
      <tp t="s">
        <v>#N/A N/A</v>
        <stp/>
        <stp>BDP|4960510946300788865</stp>
        <tr r="D120" s="2"/>
      </tp>
      <tp t="s">
        <v>#N/A N/A</v>
        <stp/>
        <stp>BDP|2091736385694070495</stp>
        <tr r="AA178" s="2"/>
      </tp>
      <tp t="s">
        <v>#N/A N/A</v>
        <stp/>
        <stp>BDP|9754729513052822014</stp>
        <tr r="P206" s="2"/>
      </tp>
      <tp t="s">
        <v>#N/A N/A</v>
        <stp/>
        <stp>BDP|3473093694546440128</stp>
        <tr r="C28" s="2"/>
      </tp>
      <tp t="s">
        <v>#N/A N/A</v>
        <stp/>
        <stp>BDP|4293441974568513280</stp>
        <tr r="I117" s="2"/>
      </tp>
      <tp t="s">
        <v>#N/A N/A</v>
        <stp/>
        <stp>BDP|1843386592846949042</stp>
        <tr r="X75" s="2"/>
      </tp>
      <tp t="s">
        <v>#N/A N/A</v>
        <stp/>
        <stp>BDP|7196512698666128060</stp>
        <tr r="F175" s="2"/>
      </tp>
      <tp t="s">
        <v>#N/A N/A</v>
        <stp/>
        <stp>BDP|3167188759373800973</stp>
        <tr r="Y187" s="2"/>
      </tp>
      <tp t="s">
        <v>#N/A N/A</v>
        <stp/>
        <stp>BDP|7478615082216822202</stp>
        <tr r="M144" s="2"/>
      </tp>
      <tp t="s">
        <v>#N/A N/A</v>
        <stp/>
        <stp>BDP|6430986042656600070</stp>
        <tr r="AC132" s="2"/>
      </tp>
      <tp t="s">
        <v>#N/A N/A</v>
        <stp/>
        <stp>BDP|3903248328429865728</stp>
        <tr r="S203" s="2"/>
      </tp>
      <tp t="s">
        <v>#N/A N/A</v>
        <stp/>
        <stp>BDP|5555832621167104592</stp>
        <tr r="AE149" s="2"/>
      </tp>
      <tp t="s">
        <v>#N/A N/A</v>
        <stp/>
        <stp>BDP|7413602940480091887</stp>
        <tr r="M58" s="2"/>
      </tp>
      <tp t="s">
        <v>#N/A N/A</v>
        <stp/>
        <stp>BDP|2998823162061518003</stp>
        <tr r="M91" s="2"/>
      </tp>
      <tp t="s">
        <v>#N/A N/A</v>
        <stp/>
        <stp>BDP|4837958967154039263</stp>
        <tr r="B37" s="2"/>
      </tp>
      <tp t="s">
        <v>#N/A N/A</v>
        <stp/>
        <stp>BDP|4468365344056312898</stp>
        <tr r="O169" s="2"/>
      </tp>
      <tp t="s">
        <v>#N/A N/A</v>
        <stp/>
        <stp>BDP|9787740610305779783</stp>
        <tr r="AC36" s="2"/>
      </tp>
      <tp t="s">
        <v>#N/A N/A</v>
        <stp/>
        <stp>BDP|5672891416521753027</stp>
        <tr r="S124" s="2"/>
      </tp>
      <tp t="s">
        <v>#N/A N/A</v>
        <stp/>
        <stp>BDP|8032186569386436495</stp>
        <tr r="AE10" s="2"/>
      </tp>
      <tp t="s">
        <v>#N/A N/A</v>
        <stp/>
        <stp>BDP|3856862102123070502</stp>
        <tr r="G57" s="2"/>
      </tp>
      <tp t="s">
        <v>#N/A N/A</v>
        <stp/>
        <stp>BDP|8456870294936310288</stp>
        <tr r="AA174" s="2"/>
      </tp>
      <tp t="s">
        <v>#N/A N/A</v>
        <stp/>
        <stp>BDP|5408294197417278442</stp>
        <tr r="H172" s="2"/>
      </tp>
      <tp t="s">
        <v>#N/A N/A</v>
        <stp/>
        <stp>BDP|9840470579543834426</stp>
        <tr r="S218" s="2"/>
      </tp>
      <tp t="s">
        <v>#N/A N/A</v>
        <stp/>
        <stp>BDP|7036604187775260192</stp>
        <tr r="F214" s="2"/>
      </tp>
      <tp t="s">
        <v>#N/A N/A</v>
        <stp/>
        <stp>BDP|8565545968782557405</stp>
        <tr r="S125" s="2"/>
      </tp>
      <tp t="s">
        <v>#N/A N/A</v>
        <stp/>
        <stp>BDP|5567231039730309907</stp>
        <tr r="N179" s="2"/>
      </tp>
      <tp t="s">
        <v>#N/A N/A</v>
        <stp/>
        <stp>BDP|1644421652318898528</stp>
        <tr r="Q234" s="2"/>
      </tp>
      <tp t="s">
        <v>#N/A N/A</v>
        <stp/>
        <stp>BDP|8695286117953705520</stp>
        <tr r="X27" s="2"/>
      </tp>
      <tp t="s">
        <v>#N/A N/A</v>
        <stp/>
        <stp>BDP|3749960663503643298</stp>
        <tr r="I228" s="2"/>
      </tp>
      <tp t="s">
        <v>#N/A N/A</v>
        <stp/>
        <stp>BDP|7219907169981477427</stp>
        <tr r="S153" s="2"/>
      </tp>
      <tp t="s">
        <v>#N/A N/A</v>
        <stp/>
        <stp>BDP|3976843737640144569</stp>
        <tr r="D167" s="2"/>
      </tp>
      <tp t="s">
        <v>#N/A N/A</v>
        <stp/>
        <stp>BDP|6682284713971481943</stp>
        <tr r="G21" s="2"/>
      </tp>
      <tp t="s">
        <v>#N/A N/A</v>
        <stp/>
        <stp>BDP|2235554186515815740</stp>
        <tr r="M240" s="2"/>
      </tp>
      <tp t="s">
        <v>#N/A N/A</v>
        <stp/>
        <stp>BDP|7979270630483213810</stp>
        <tr r="B13" s="2"/>
      </tp>
      <tp t="s">
        <v>#N/A N/A</v>
        <stp/>
        <stp>BDP|3664886081347507974</stp>
        <tr r="O170" s="2"/>
      </tp>
      <tp t="s">
        <v>#N/A N/A</v>
        <stp/>
        <stp>BDP|2409070388997591037</stp>
        <tr r="I194" s="2"/>
      </tp>
      <tp t="s">
        <v>#N/A N/A</v>
        <stp/>
        <stp>BDP|4667500424237952998</stp>
        <tr r="K94" s="2"/>
        <tr r="R94" s="2"/>
        <tr r="W94" s="2"/>
      </tp>
      <tp t="s">
        <v>#N/A N/A</v>
        <stp/>
        <stp>BDP|2607626483284643539</stp>
        <tr r="L117" s="2"/>
      </tp>
      <tp t="s">
        <v>#N/A N/A</v>
        <stp/>
        <stp>BDP|3298580327220669995</stp>
        <tr r="G9" s="2"/>
      </tp>
      <tp t="s">
        <v>#N/A N/A</v>
        <stp/>
        <stp>BDP|3873189436935682922</stp>
        <tr r="H44" s="2"/>
      </tp>
      <tp t="s">
        <v>#N/A N/A</v>
        <stp/>
        <stp>BDP|8601129317217732264</stp>
        <tr r="V120" s="2"/>
      </tp>
      <tp t="s">
        <v>#N/A N/A</v>
        <stp/>
        <stp>BDP|9202426612951162015</stp>
        <tr r="H112" s="2"/>
      </tp>
      <tp t="s">
        <v>#N/A N/A</v>
        <stp/>
        <stp>BDP|2931908501574965237</stp>
        <tr r="C236" s="2"/>
      </tp>
      <tp t="s">
        <v>#N/A N/A</v>
        <stp/>
        <stp>BDP|8648533700198705808</stp>
        <tr r="AC123" s="2"/>
      </tp>
      <tp t="s">
        <v>#N/A N/A</v>
        <stp/>
        <stp>BDP|5189003723272167811</stp>
        <tr r="M121" s="2"/>
      </tp>
      <tp t="s">
        <v>#N/A N/A</v>
        <stp/>
        <stp>BDP|5084822324071685323</stp>
        <tr r="H63" s="2"/>
      </tp>
      <tp t="s">
        <v>#N/A N/A</v>
        <stp/>
        <stp>BDP|1452104910744147871</stp>
        <tr r="I6" s="2"/>
      </tp>
      <tp t="s">
        <v>#N/A N/A</v>
        <stp/>
        <stp>BDP|4839112498881634058</stp>
        <tr r="Q91" s="2"/>
      </tp>
      <tp t="s">
        <v>#N/A N/A</v>
        <stp/>
        <stp>BDP|9073794304511672294</stp>
        <tr r="AC117" s="2"/>
      </tp>
      <tp t="s">
        <v>#N/A N/A</v>
        <stp/>
        <stp>BDP|4288757184946079016</stp>
        <tr r="AE147" s="2"/>
      </tp>
      <tp t="s">
        <v>#N/A N/A</v>
        <stp/>
        <stp>BDP|9657233742236121440</stp>
        <tr r="AA79" s="2"/>
      </tp>
      <tp t="s">
        <v>#N/A N/A</v>
        <stp/>
        <stp>BDP|8521398969962220249</stp>
        <tr r="L167" s="2"/>
      </tp>
      <tp t="s">
        <v>#N/A N/A</v>
        <stp/>
        <stp>BDP|1597677826631069975</stp>
        <tr r="AC152" s="2"/>
      </tp>
      <tp t="s">
        <v>#N/A N/A</v>
        <stp/>
        <stp>BDP|5098307776469762527</stp>
        <tr r="E176" s="2"/>
      </tp>
      <tp t="s">
        <v>#N/A N/A</v>
        <stp/>
        <stp>BDP|1630259802368474664</stp>
        <tr r="AB190" s="2"/>
      </tp>
      <tp t="s">
        <v>#N/A N/A</v>
        <stp/>
        <stp>BDP|4589757850143371805</stp>
        <tr r="F88" s="2"/>
      </tp>
      <tp t="s">
        <v>#N/A N/A</v>
        <stp/>
        <stp>BDP|6721912758061855656</stp>
        <tr r="I156" s="2"/>
      </tp>
      <tp t="s">
        <v>#N/A N/A</v>
        <stp/>
        <stp>BDP|1644466350325617855</stp>
        <tr r="K128" s="2"/>
        <tr r="R128" s="2"/>
        <tr r="W128" s="2"/>
      </tp>
      <tp t="s">
        <v>#N/A N/A</v>
        <stp/>
        <stp>BDP|5890995630236686442</stp>
        <tr r="O115" s="2"/>
      </tp>
      <tp t="s">
        <v>#N/A N/A</v>
        <stp/>
        <stp>BDP|3786249843260029808</stp>
        <tr r="C60" s="2"/>
      </tp>
      <tp t="s">
        <v>#N/A N/A</v>
        <stp/>
        <stp>BDP|2918885179956848604</stp>
        <tr r="AE230" s="2"/>
      </tp>
      <tp t="s">
        <v>#N/A N/A</v>
        <stp/>
        <stp>BDP|2761040784995411233</stp>
        <tr r="P145" s="2"/>
      </tp>
      <tp t="s">
        <v>#N/A N/A</v>
        <stp/>
        <stp>BDP|5531943464513349460</stp>
        <tr r="AE227" s="2"/>
      </tp>
      <tp t="s">
        <v>#N/A N/A</v>
        <stp/>
        <stp>BDP|8967596477505346242</stp>
        <tr r="G188" s="2"/>
      </tp>
      <tp t="s">
        <v>#N/A N/A</v>
        <stp/>
        <stp>BDP|9140061105483512775</stp>
        <tr r="C81" s="2"/>
      </tp>
      <tp t="s">
        <v>#N/A N/A</v>
        <stp/>
        <stp>BDP|5399775697921270716</stp>
        <tr r="L42" s="2"/>
      </tp>
      <tp t="s">
        <v>#N/A N/A</v>
        <stp/>
        <stp>BDP|8498138092749558405</stp>
        <tr r="AC150" s="2"/>
      </tp>
      <tp t="s">
        <v>#N/A N/A</v>
        <stp/>
        <stp>BDP|4930550430657909853</stp>
        <tr r="F83" s="2"/>
      </tp>
      <tp t="s">
        <v>#N/A N/A</v>
        <stp/>
        <stp>BDP|5131425298440832528</stp>
        <tr r="D126" s="2"/>
      </tp>
      <tp t="s">
        <v>#N/A N/A</v>
        <stp/>
        <stp>BDP|6062025392393884195</stp>
        <tr r="C122" s="2"/>
      </tp>
      <tp t="s">
        <v>#N/A N/A</v>
        <stp/>
        <stp>BDP|3299180114416821872</stp>
        <tr r="K48" s="2"/>
        <tr r="R48" s="2"/>
        <tr r="W48" s="2"/>
      </tp>
      <tp t="s">
        <v>#N/A N/A</v>
        <stp/>
        <stp>BDP|1192371303219309677</stp>
        <tr r="M85" s="2"/>
      </tp>
      <tp t="s">
        <v>#N/A N/A</v>
        <stp/>
        <stp>BDP|5496764594146659015</stp>
        <tr r="S103" s="2"/>
      </tp>
      <tp t="s">
        <v>#N/A N/A</v>
        <stp/>
        <stp>BDP|7059831168316380293</stp>
        <tr r="X98" s="2"/>
      </tp>
      <tp t="s">
        <v>#N/A N/A</v>
        <stp/>
        <stp>BDP|7345732897723505731</stp>
        <tr r="T232" s="2"/>
      </tp>
      <tp t="s">
        <v>#N/A N/A</v>
        <stp/>
        <stp>BDP|1094583684294588582</stp>
        <tr r="D131" s="2"/>
      </tp>
      <tp t="s">
        <v>#N/A N/A</v>
        <stp/>
        <stp>BDP|6522640096115717117</stp>
        <tr r="E45" s="2"/>
      </tp>
      <tp t="s">
        <v>#N/A N/A</v>
        <stp/>
        <stp>BDP|4681254117708783226</stp>
        <tr r="Y181" s="2"/>
      </tp>
      <tp t="s">
        <v>#N/A N/A</v>
        <stp/>
        <stp>BDP|5364919152792146609</stp>
        <tr r="Z142" s="2"/>
      </tp>
      <tp t="s">
        <v>#N/A N/A</v>
        <stp/>
        <stp>BDP|2922584697973567051</stp>
        <tr r="X49" s="2"/>
      </tp>
      <tp t="s">
        <v>#N/A N/A</v>
        <stp/>
        <stp>BDP|9850609458222610507</stp>
        <tr r="X79" s="2"/>
      </tp>
      <tp t="s">
        <v>#N/A N/A</v>
        <stp/>
        <stp>BDP|8658598879652052506</stp>
        <tr r="G113" s="2"/>
      </tp>
      <tp t="s">
        <v>#N/A N/A</v>
        <stp/>
        <stp>BDP|9349020700082101669</stp>
        <tr r="T211" s="2"/>
      </tp>
      <tp t="s">
        <v>#N/A N/A</v>
        <stp/>
        <stp>BDP|6185077073305704940</stp>
        <tr r="I201" s="2"/>
      </tp>
      <tp t="s">
        <v>#N/A N/A</v>
        <stp/>
        <stp>BDP|1092835732601009676</stp>
        <tr r="AA83" s="2"/>
      </tp>
      <tp t="s">
        <v>#N/A N/A</v>
        <stp/>
        <stp>BDP|6609535595911730613</stp>
        <tr r="O99" s="2"/>
      </tp>
      <tp t="s">
        <v>#N/A N/A</v>
        <stp/>
        <stp>BDP|7189370057508141467</stp>
        <tr r="D220" s="2"/>
      </tp>
      <tp t="s">
        <v>#N/A N/A</v>
        <stp/>
        <stp>BDP|4223940084538522015</stp>
        <tr r="N212" s="2"/>
      </tp>
      <tp t="s">
        <v>#N/A N/A</v>
        <stp/>
        <stp>BDP|8945599881160490836</stp>
        <tr r="AA217" s="2"/>
      </tp>
      <tp t="s">
        <v>#N/A N/A</v>
        <stp/>
        <stp>BDP|7271260790168070924</stp>
        <tr r="AC115" s="2"/>
      </tp>
      <tp t="s">
        <v>#N/A N/A</v>
        <stp/>
        <stp>BDP|6417387865228984674</stp>
        <tr r="K219" s="2"/>
        <tr r="R219" s="2"/>
        <tr r="W219" s="2"/>
      </tp>
      <tp t="s">
        <v>#N/A N/A</v>
        <stp/>
        <stp>BDP|1505970855839077904</stp>
        <tr r="E111" s="2"/>
      </tp>
      <tp t="s">
        <v>#N/A N/A</v>
        <stp/>
        <stp>BDP|9449199408305730057</stp>
        <tr r="Z6" s="2"/>
      </tp>
      <tp t="s">
        <v>#N/A N/A</v>
        <stp/>
        <stp>BDP|6320889225535051497</stp>
        <tr r="H229" s="2"/>
      </tp>
      <tp t="s">
        <v>#N/A N/A</v>
        <stp/>
        <stp>BDP|4548517353659233027</stp>
        <tr r="G2" s="2"/>
      </tp>
      <tp t="s">
        <v>#N/A N/A</v>
        <stp/>
        <stp>BDP|2774588317932735980</stp>
        <tr r="E58" s="2"/>
      </tp>
      <tp t="s">
        <v>#N/A N/A</v>
        <stp/>
        <stp>BDP|4424982451533279686</stp>
        <tr r="Y41" s="2"/>
      </tp>
      <tp t="s">
        <v>#N/A N/A</v>
        <stp/>
        <stp>BDP|6859481743408138355</stp>
        <tr r="P4" s="2"/>
      </tp>
      <tp t="s">
        <v>#N/A N/A</v>
        <stp/>
        <stp>BDP|6644613290050479479</stp>
        <tr r="Z148" s="2"/>
      </tp>
      <tp t="s">
        <v>#N/A N/A</v>
        <stp/>
        <stp>BDP|5654107667386389962</stp>
        <tr r="AA118" s="2"/>
      </tp>
      <tp t="s">
        <v>#N/A N/A</v>
        <stp/>
        <stp>BDP|8816939784600228491</stp>
        <tr r="AE106" s="2"/>
      </tp>
      <tp t="s">
        <v>#N/A N/A</v>
        <stp/>
        <stp>BDP|3402041797950278713</stp>
        <tr r="Q77" s="2"/>
      </tp>
      <tp t="s">
        <v>#N/A N/A</v>
        <stp/>
        <stp>BDP|9765815892067733271</stp>
        <tr r="T126" s="2"/>
      </tp>
      <tp t="s">
        <v>#N/A N/A</v>
        <stp/>
        <stp>BDP|2508703053884488963</stp>
        <tr r="N65" s="2"/>
      </tp>
      <tp t="s">
        <v>#N/A N/A</v>
        <stp/>
        <stp>BDP|7979350949604204932</stp>
        <tr r="M145" s="2"/>
      </tp>
      <tp t="s">
        <v>#N/A N/A</v>
        <stp/>
        <stp>BDP|5201401448621821966</stp>
        <tr r="V111" s="2"/>
      </tp>
      <tp t="s">
        <v>#N/A N/A</v>
        <stp/>
        <stp>BDP|2954792082672713215</stp>
        <tr r="G52" s="2"/>
      </tp>
      <tp t="s">
        <v>#N/A N/A</v>
        <stp/>
        <stp>BDP|4326877350553204724</stp>
        <tr r="O98" s="2"/>
      </tp>
      <tp t="s">
        <v>#N/A N/A</v>
        <stp/>
        <stp>BDP|4473055935952084807</stp>
        <tr r="AC138" s="2"/>
      </tp>
      <tp t="s">
        <v>#N/A N/A</v>
        <stp/>
        <stp>BDP|1237432957555450879</stp>
        <tr r="T106" s="2"/>
      </tp>
      <tp t="s">
        <v>#N/A N/A</v>
        <stp/>
        <stp>BDP|4020845356974275052</stp>
        <tr r="S135" s="2"/>
      </tp>
      <tp t="s">
        <v>#N/A N/A</v>
        <stp/>
        <stp>BDP|8623559777144532347</stp>
        <tr r="B84" s="2"/>
      </tp>
      <tp t="s">
        <v>#N/A N/A</v>
        <stp/>
        <stp>BDP|3769428234728790130</stp>
        <tr r="Y30" s="2"/>
      </tp>
      <tp t="s">
        <v>#N/A N/A</v>
        <stp/>
        <stp>BDP|1965277993061106692</stp>
        <tr r="AA169" s="2"/>
      </tp>
      <tp t="s">
        <v>#N/A N/A</v>
        <stp/>
        <stp>BDP|5837484186500589469</stp>
        <tr r="C153" s="2"/>
      </tp>
      <tp t="s">
        <v>#N/A N/A</v>
        <stp/>
        <stp>BDP|2343302594615446066</stp>
        <tr r="O96" s="2"/>
      </tp>
      <tp t="s">
        <v>#N/A N/A</v>
        <stp/>
        <stp>BDP|2480178560169438125</stp>
        <tr r="Y139" s="2"/>
      </tp>
      <tp t="s">
        <v>#N/A N/A</v>
        <stp/>
        <stp>BDP|6168466935148556422</stp>
        <tr r="L43" s="2"/>
      </tp>
      <tp t="s">
        <v>#N/A N/A</v>
        <stp/>
        <stp>BDP|9004649657832379550</stp>
        <tr r="P177" s="2"/>
      </tp>
      <tp t="s">
        <v>#N/A N/A</v>
        <stp/>
        <stp>BDP|8319272361731987363</stp>
        <tr r="F131" s="2"/>
      </tp>
      <tp t="s">
        <v>#N/A N/A</v>
        <stp/>
        <stp>BDP|1730750948199923590</stp>
        <tr r="K188" s="2"/>
        <tr r="R188" s="2"/>
        <tr r="W188" s="2"/>
      </tp>
      <tp t="s">
        <v>#N/A N/A</v>
        <stp/>
        <stp>BDP|4384155979145282974</stp>
        <tr r="P207" s="2"/>
      </tp>
      <tp t="s">
        <v>#N/A N/A</v>
        <stp/>
        <stp>BDP|7655990280478406012</stp>
        <tr r="AE193" s="2"/>
      </tp>
      <tp t="s">
        <v>#N/A N/A</v>
        <stp/>
        <stp>BDP|9414908319007093872</stp>
        <tr r="G202" s="2"/>
      </tp>
      <tp t="s">
        <v>#N/A N/A</v>
        <stp/>
        <stp>BDP|7501614489793144462</stp>
        <tr r="Q187" s="2"/>
      </tp>
      <tp t="s">
        <v>#N/A N/A</v>
        <stp/>
        <stp>BDP|1242073431364647887</stp>
        <tr r="N75" s="2"/>
      </tp>
      <tp t="s">
        <v>#N/A N/A</v>
        <stp/>
        <stp>BDP|9852305357794304560</stp>
        <tr r="AE120" s="2"/>
      </tp>
      <tp t="s">
        <v>#N/A N/A</v>
        <stp/>
        <stp>BDP|2329199104229275469</stp>
        <tr r="N19" s="2"/>
      </tp>
      <tp t="s">
        <v>#N/A N/A</v>
        <stp/>
        <stp>BDP|1981436395205329777</stp>
        <tr r="L113" s="2"/>
      </tp>
      <tp t="s">
        <v>#N/A N/A</v>
        <stp/>
        <stp>BDP|9852733110571935098</stp>
        <tr r="AA232" s="2"/>
      </tp>
      <tp t="s">
        <v>#N/A N/A</v>
        <stp/>
        <stp>BDP|8273774874561859728</stp>
        <tr r="AC14" s="2"/>
      </tp>
      <tp t="s">
        <v>#N/A N/A</v>
        <stp/>
        <stp>BDP|4990977580052575904</stp>
        <tr r="B107" s="2"/>
      </tp>
      <tp t="s">
        <v>#N/A N/A</v>
        <stp/>
        <stp>BDP|2789994845006283729</stp>
        <tr r="M217" s="2"/>
      </tp>
      <tp t="s">
        <v>#N/A N/A</v>
        <stp/>
        <stp>BDP|4211091547526195861</stp>
        <tr r="X159" s="2"/>
      </tp>
      <tp t="s">
        <v>#N/A N/A</v>
        <stp/>
        <stp>BDP|2054420982624219493</stp>
        <tr r="S186" s="2"/>
      </tp>
      <tp t="s">
        <v>#N/A N/A</v>
        <stp/>
        <stp>BDP|1851843635526513272</stp>
        <tr r="M87" s="2"/>
      </tp>
      <tp t="s">
        <v>#N/A N/A</v>
        <stp/>
        <stp>BDP|6633709714829864716</stp>
        <tr r="F231" s="2"/>
      </tp>
      <tp t="s">
        <v>#N/A N/A</v>
        <stp/>
        <stp>BDP|9855361758636879757</stp>
        <tr r="AE124" s="2"/>
      </tp>
      <tp t="s">
        <v>#N/A N/A</v>
        <stp/>
        <stp>BDP|6363641941902816866</stp>
        <tr r="AC102" s="2"/>
      </tp>
      <tp t="s">
        <v>#N/A N/A</v>
        <stp/>
        <stp>BDP|5799864238441153104</stp>
        <tr r="Y61" s="2"/>
      </tp>
      <tp t="s">
        <v>#N/A N/A</v>
        <stp/>
        <stp>BDP|7263357228090191860</stp>
        <tr r="I27" s="2"/>
      </tp>
      <tp t="s">
        <v>#N/A N/A</v>
        <stp/>
        <stp>BDP|8552514750536417088</stp>
        <tr r="H16" s="2"/>
      </tp>
      <tp t="s">
        <v>#N/A N/A</v>
        <stp/>
        <stp>BDP|2720643000742218899</stp>
        <tr r="T45" s="2"/>
      </tp>
      <tp t="s">
        <v>#N/A N/A</v>
        <stp/>
        <stp>BDP|9085798067676419022</stp>
        <tr r="M153" s="2"/>
      </tp>
      <tp t="s">
        <v>#N/A N/A</v>
        <stp/>
        <stp>BDP|3354860897589342590</stp>
        <tr r="AD15" s="2"/>
      </tp>
      <tp t="s">
        <v>#N/A N/A</v>
        <stp/>
        <stp>BDP|1789832381589991642</stp>
        <tr r="M156" s="2"/>
      </tp>
      <tp t="s">
        <v>#N/A N/A</v>
        <stp/>
        <stp>BDP|6720358152978910615</stp>
        <tr r="AE53" s="2"/>
      </tp>
      <tp t="s">
        <v>#N/A N/A</v>
        <stp/>
        <stp>BDP|7978795096984943364</stp>
        <tr r="C206" s="2"/>
      </tp>
      <tp t="s">
        <v>#N/A N/A</v>
        <stp/>
        <stp>BDP|2621062819458180516</stp>
        <tr r="U83" s="2"/>
      </tp>
      <tp t="s">
        <v>#N/A N/A</v>
        <stp/>
        <stp>BDP|8160388932173772552</stp>
        <tr r="U197" s="2"/>
      </tp>
      <tp t="s">
        <v>#N/A N/A</v>
        <stp/>
        <stp>BDP|9122181069118165889</stp>
        <tr r="AD38" s="2"/>
      </tp>
      <tp t="s">
        <v>#N/A N/A</v>
        <stp/>
        <stp>BDP|9852937263311145909</stp>
        <tr r="B110" s="2"/>
      </tp>
      <tp t="s">
        <v>#N/A N/A</v>
        <stp/>
        <stp>BDP|4043992570337937396</stp>
        <tr r="AC103" s="2"/>
      </tp>
      <tp t="s">
        <v>#N/A N/A</v>
        <stp/>
        <stp>BDP|2973830163695049706</stp>
        <tr r="C220" s="2"/>
      </tp>
      <tp t="s">
        <v>#N/A N/A</v>
        <stp/>
        <stp>BDP|3653518124492929839</stp>
        <tr r="I217" s="2"/>
      </tp>
      <tp t="s">
        <v>#N/A N/A</v>
        <stp/>
        <stp>BDP|9894037233873253736</stp>
        <tr r="H161" s="2"/>
      </tp>
      <tp t="s">
        <v>#N/A N/A</v>
        <stp/>
        <stp>BDP|7882869206752826391</stp>
        <tr r="L101" s="2"/>
      </tp>
      <tp t="s">
        <v>#N/A N/A</v>
        <stp/>
        <stp>BDP|5280161289054599615</stp>
        <tr r="N166" s="2"/>
      </tp>
      <tp t="s">
        <v>#N/A N/A</v>
        <stp/>
        <stp>BDP|8818000927060713414</stp>
        <tr r="N89" s="2"/>
      </tp>
      <tp t="s">
        <v>#N/A N/A</v>
        <stp/>
        <stp>BDP|7776391033489228064</stp>
        <tr r="F221" s="2"/>
      </tp>
      <tp t="s">
        <v>#N/A N/A</v>
        <stp/>
        <stp>BDP|7198182756314245935</stp>
        <tr r="E113" s="2"/>
      </tp>
      <tp t="s">
        <v>#N/A N/A</v>
        <stp/>
        <stp>BDP|5943171987951140363</stp>
        <tr r="I41" s="2"/>
      </tp>
      <tp t="s">
        <v>#N/A N/A</v>
        <stp/>
        <stp>BDP|9888277911633038701</stp>
        <tr r="AA7" s="2"/>
      </tp>
      <tp t="s">
        <v>#N/A N/A</v>
        <stp/>
        <stp>BDP|8158577956713889567</stp>
        <tr r="L235" s="2"/>
      </tp>
      <tp t="s">
        <v>#N/A N/A</v>
        <stp/>
        <stp>BDP|9525760020441997343</stp>
        <tr r="K177" s="2"/>
        <tr r="R177" s="2"/>
        <tr r="W177" s="2"/>
      </tp>
      <tp t="s">
        <v>#N/A N/A</v>
        <stp/>
        <stp>BDP|7416741985052853439</stp>
        <tr r="B27" s="2"/>
      </tp>
      <tp t="s">
        <v>#N/A N/A</v>
        <stp/>
        <stp>BDP|4514673291425436094</stp>
        <tr r="E201" s="2"/>
      </tp>
      <tp t="s">
        <v>#N/A N/A</v>
        <stp/>
        <stp>BDP|4073603247399172181</stp>
        <tr r="Q40" s="2"/>
      </tp>
      <tp t="s">
        <v>#N/A N/A</v>
        <stp/>
        <stp>BDP|9506795379644941327</stp>
        <tr r="AE22" s="2"/>
      </tp>
      <tp t="s">
        <v>#N/A N/A</v>
        <stp/>
        <stp>BDP|5592138893403989029</stp>
        <tr r="M5" s="2"/>
      </tp>
      <tp t="s">
        <v>#N/A N/A</v>
        <stp/>
        <stp>BDP|2163982555755206504</stp>
        <tr r="I196" s="2"/>
      </tp>
      <tp t="s">
        <v>#N/A N/A</v>
        <stp/>
        <stp>BDP|4516062637298292191</stp>
        <tr r="O229" s="2"/>
      </tp>
      <tp t="s">
        <v>#N/A N/A</v>
        <stp/>
        <stp>BDP|7162485195284090030</stp>
        <tr r="AA14" s="2"/>
      </tp>
      <tp t="s">
        <v>#N/A N/A</v>
        <stp/>
        <stp>BDP|8202401678962331760</stp>
        <tr r="P135" s="2"/>
      </tp>
      <tp t="s">
        <v>#N/A N/A</v>
        <stp/>
        <stp>BDP|9286462859824188237</stp>
        <tr r="D22" s="2"/>
      </tp>
      <tp t="s">
        <v>#N/A N/A</v>
        <stp/>
        <stp>BDP|5302176198817138421</stp>
        <tr r="M239" s="2"/>
      </tp>
      <tp t="s">
        <v>#N/A N/A</v>
        <stp/>
        <stp>BDP|9048393416996268327</stp>
        <tr r="K74" s="2"/>
        <tr r="R74" s="2"/>
        <tr r="W74" s="2"/>
      </tp>
      <tp t="s">
        <v>#N/A N/A</v>
        <stp/>
        <stp>BDP|9607452815532192081</stp>
        <tr r="M21" s="2"/>
      </tp>
      <tp t="s">
        <v>#N/A N/A</v>
        <stp/>
        <stp>BDP|8735600409299867998</stp>
        <tr r="AC162" s="2"/>
      </tp>
      <tp t="s">
        <v>#N/A N/A</v>
        <stp/>
        <stp>BDP|7859539534796146911</stp>
        <tr r="D104" s="2"/>
      </tp>
      <tp t="s">
        <v>#N/A N/A</v>
        <stp/>
        <stp>BDP|4414857805900260298</stp>
        <tr r="P156" s="2"/>
      </tp>
      <tp t="s">
        <v>#N/A N/A</v>
        <stp/>
        <stp>BDP|9209190160650463002</stp>
        <tr r="AB93" s="2"/>
      </tp>
      <tp t="s">
        <v>#N/A N/A</v>
        <stp/>
        <stp>BDP|8333010470604461596</stp>
        <tr r="H130" s="2"/>
      </tp>
      <tp t="s">
        <v>#N/A N/A</v>
        <stp/>
        <stp>BDP|6575395935841629931</stp>
        <tr r="Y143" s="2"/>
      </tp>
      <tp t="s">
        <v>#N/A N/A</v>
        <stp/>
        <stp>BDP|8591616979540254736</stp>
        <tr r="O117" s="2"/>
      </tp>
      <tp t="s">
        <v>#N/A N/A</v>
        <stp/>
        <stp>BDP|5197121893384893749</stp>
        <tr r="H140" s="2"/>
      </tp>
      <tp t="s">
        <v>#N/A N/A</v>
        <stp/>
        <stp>BDP|5488478578548631017</stp>
        <tr r="U34" s="2"/>
      </tp>
      <tp t="s">
        <v>#N/A N/A</v>
        <stp/>
        <stp>BDP|2660978403076891367</stp>
        <tr r="G185" s="2"/>
      </tp>
      <tp t="s">
        <v>#N/A N/A</v>
        <stp/>
        <stp>BDP|8905268756242098353</stp>
        <tr r="K116" s="2"/>
        <tr r="R116" s="2"/>
        <tr r="W116" s="2"/>
      </tp>
      <tp t="s">
        <v>#N/A N/A</v>
        <stp/>
        <stp>BDP|5168146267045846964</stp>
        <tr r="V24" s="2"/>
      </tp>
      <tp t="s">
        <v>#N/A N/A</v>
        <stp/>
        <stp>BDP|2637252367579068182</stp>
        <tr r="K173" s="2"/>
        <tr r="R173" s="2"/>
        <tr r="W173" s="2"/>
      </tp>
      <tp t="s">
        <v>#N/A N/A</v>
        <stp/>
        <stp>BDP|7631985378774232387</stp>
        <tr r="Y200" s="2"/>
      </tp>
      <tp t="s">
        <v>#N/A N/A</v>
        <stp/>
        <stp>BDP|3241817519567141377</stp>
        <tr r="M111" s="2"/>
      </tp>
      <tp t="s">
        <v>#N/A N/A</v>
        <stp/>
        <stp>BDP|5415921043786983014</stp>
        <tr r="AB199" s="2"/>
      </tp>
      <tp t="s">
        <v>#N/A N/A</v>
        <stp/>
        <stp>BDP|7051301086072388086</stp>
        <tr r="H113" s="2"/>
      </tp>
      <tp t="s">
        <v>#N/A N/A</v>
        <stp/>
        <stp>BDP|2760513558229561560</stp>
        <tr r="AE109" s="2"/>
      </tp>
      <tp t="s">
        <v>#N/A N/A</v>
        <stp/>
        <stp>BDP|6983532491842212643</stp>
        <tr r="Y155" s="2"/>
      </tp>
      <tp t="s">
        <v>#N/A N/A</v>
        <stp/>
        <stp>BDP|5670306337543548890</stp>
        <tr r="Y122" s="2"/>
      </tp>
      <tp t="s">
        <v>#N/A N/A</v>
        <stp/>
        <stp>BDP|4064597714498868686</stp>
        <tr r="P68" s="2"/>
      </tp>
      <tp t="s">
        <v>#N/A N/A</v>
        <stp/>
        <stp>BDP|2003067290343899638</stp>
        <tr r="S168" s="2"/>
      </tp>
      <tp t="s">
        <v>#N/A N/A</v>
        <stp/>
        <stp>BDP|9617157049790450231</stp>
        <tr r="C55" s="2"/>
      </tp>
      <tp t="s">
        <v>#N/A N/A</v>
        <stp/>
        <stp>BDP|3853966371406233500</stp>
        <tr r="Z96" s="2"/>
      </tp>
      <tp t="s">
        <v>#N/A N/A</v>
        <stp/>
        <stp>BDP|9039660457051407587</stp>
        <tr r="L195" s="2"/>
      </tp>
      <tp t="s">
        <v>#N/A N/A</v>
        <stp/>
        <stp>BDP|1419433065278288521</stp>
        <tr r="L210" s="2"/>
      </tp>
      <tp t="s">
        <v>#N/A N/A</v>
        <stp/>
        <stp>BDP|8489275301141442541</stp>
        <tr r="X55" s="2"/>
      </tp>
      <tp t="s">
        <v>#N/A N/A</v>
        <stp/>
        <stp>BDP|8220163622153097641</stp>
        <tr r="AD157" s="2"/>
      </tp>
      <tp t="s">
        <v>#N/A N/A</v>
        <stp/>
        <stp>BDP|1237234295847770312</stp>
        <tr r="Z165" s="2"/>
      </tp>
      <tp t="s">
        <v>#N/A N/A</v>
        <stp/>
        <stp>BDP|3652502853129309449</stp>
        <tr r="C182" s="2"/>
      </tp>
      <tp t="s">
        <v>#N/A N/A</v>
        <stp/>
        <stp>BDP|5231349590486606721</stp>
        <tr r="T112" s="2"/>
      </tp>
      <tp t="s">
        <v>#N/A N/A</v>
        <stp/>
        <stp>BDP|3095814231331390716</stp>
        <tr r="C10" s="2"/>
      </tp>
      <tp t="s">
        <v>#N/A N/A</v>
        <stp/>
        <stp>BDP|5359940594893041818</stp>
        <tr r="Y46" s="2"/>
      </tp>
      <tp t="s">
        <v>#N/A N/A</v>
        <stp/>
        <stp>BDP|5848467787777212090</stp>
        <tr r="Y129" s="2"/>
      </tp>
      <tp t="s">
        <v>#N/A N/A</v>
        <stp/>
        <stp>BDP|9617819894902221434</stp>
        <tr r="N132" s="2"/>
      </tp>
      <tp t="s">
        <v>#N/A N/A</v>
        <stp/>
        <stp>BDP|7073334161224328834</stp>
        <tr r="K8" s="2"/>
        <tr r="R8" s="2"/>
        <tr r="W8" s="2"/>
      </tp>
      <tp t="s">
        <v>#N/A N/A</v>
        <stp/>
        <stp>BDP|7848588332078687763</stp>
        <tr r="I43" s="2"/>
      </tp>
      <tp t="s">
        <v>#N/A N/A</v>
        <stp/>
        <stp>BDP|6726035336502877983</stp>
        <tr r="AC51" s="2"/>
      </tp>
      <tp t="s">
        <v>#N/A N/A</v>
        <stp/>
        <stp>BDP|6565150153185593948</stp>
        <tr r="C85" s="2"/>
      </tp>
      <tp t="s">
        <v>#N/A N/A</v>
        <stp/>
        <stp>BDP|3298374101678078675</stp>
        <tr r="AD227" s="2"/>
      </tp>
      <tp t="s">
        <v>#N/A N/A</v>
        <stp/>
        <stp>BDP|1326063065479786046</stp>
        <tr r="T159" s="2"/>
      </tp>
      <tp t="s">
        <v>#N/A N/A</v>
        <stp/>
        <stp>BDP|3737727307832760860</stp>
        <tr r="AB160" s="2"/>
      </tp>
      <tp t="s">
        <v>#N/A N/A</v>
        <stp/>
        <stp>BDP|1508451977088686423</stp>
        <tr r="Y96" s="2"/>
      </tp>
      <tp t="s">
        <v>#N/A N/A</v>
        <stp/>
        <stp>BDP|2586396158053127961</stp>
        <tr r="G19" s="2"/>
      </tp>
      <tp t="s">
        <v>#N/A N/A</v>
        <stp/>
        <stp>BDP|3263670680791779218</stp>
        <tr r="M74" s="2"/>
      </tp>
      <tp t="s">
        <v>#N/A N/A</v>
        <stp/>
        <stp>BDP|6986619979338768155</stp>
        <tr r="B117" s="2"/>
      </tp>
      <tp t="s">
        <v>#N/A N/A</v>
        <stp/>
        <stp>BDP|7118972223556548433</stp>
        <tr r="O40" s="2"/>
      </tp>
      <tp t="s">
        <v>#N/A N/A</v>
        <stp/>
        <stp>BDP|7106288439430490873</stp>
        <tr r="U76" s="2"/>
      </tp>
      <tp t="s">
        <v>#N/A N/A</v>
        <stp/>
        <stp>BDP|9161418401046701565</stp>
        <tr r="AD201" s="2"/>
      </tp>
      <tp t="s">
        <v>#N/A N/A</v>
        <stp/>
        <stp>BDP|6218933227892132172</stp>
        <tr r="F139" s="2"/>
      </tp>
      <tp t="s">
        <v>#N/A N/A</v>
        <stp/>
        <stp>BDP|3889422403440031996</stp>
        <tr r="F158" s="2"/>
      </tp>
      <tp t="s">
        <v>#N/A N/A</v>
        <stp/>
        <stp>BDP|2395533783627426673</stp>
        <tr r="K152" s="2"/>
        <tr r="R152" s="2"/>
        <tr r="W152" s="2"/>
      </tp>
      <tp t="s">
        <v>#N/A N/A</v>
        <stp/>
        <stp>BDP|8826112688897555840</stp>
        <tr r="P202" s="2"/>
      </tp>
      <tp t="s">
        <v>#N/A N/A</v>
        <stp/>
        <stp>BDP|2202548181373633217</stp>
        <tr r="V149" s="2"/>
      </tp>
      <tp t="s">
        <v>#N/A N/A</v>
        <stp/>
        <stp>BDP|8073330770220411275</stp>
        <tr r="AC126" s="2"/>
      </tp>
      <tp t="s">
        <v>#N/A N/A</v>
        <stp/>
        <stp>BDP|1343049149482812969</stp>
        <tr r="Y92" s="2"/>
      </tp>
      <tp t="s">
        <v>#N/A N/A</v>
        <stp/>
        <stp>BDP|4498746377713384940</stp>
        <tr r="G190" s="2"/>
      </tp>
      <tp t="s">
        <v>#N/A N/A</v>
        <stp/>
        <stp>BDP|2285513792429446958</stp>
        <tr r="AE139" s="2"/>
      </tp>
      <tp t="s">
        <v>#N/A N/A</v>
        <stp/>
        <stp>BDP|7031444386571237402</stp>
        <tr r="H57" s="2"/>
      </tp>
      <tp t="s">
        <v>#N/A N/A</v>
        <stp/>
        <stp>BDP|4314328132013798943</stp>
        <tr r="V117" s="2"/>
      </tp>
      <tp t="s">
        <v>#N/A N/A</v>
        <stp/>
        <stp>BDP|4438748328866094989</stp>
        <tr r="L50" s="2"/>
      </tp>
      <tp t="s">
        <v>#N/A N/A</v>
        <stp/>
        <stp>BDP|5621111184321777345</stp>
        <tr r="AD147" s="2"/>
      </tp>
      <tp t="s">
        <v>#N/A N/A</v>
        <stp/>
        <stp>BDP|1503462015728008267</stp>
        <tr r="AD149" s="2"/>
      </tp>
      <tp t="s">
        <v>#N/A N/A</v>
        <stp/>
        <stp>BDP|2832769307753986800</stp>
        <tr r="AC122" s="2"/>
      </tp>
      <tp t="s">
        <v>#N/A N/A</v>
        <stp/>
        <stp>BDP|7521123270186408935</stp>
        <tr r="M198" s="2"/>
      </tp>
      <tp t="s">
        <v>#N/A N/A</v>
        <stp/>
        <stp>BDP|3766340600997432979</stp>
        <tr r="AA122" s="2"/>
      </tp>
      <tp t="s">
        <v>#N/A N/A</v>
        <stp/>
        <stp>BDP|2644955057028372872</stp>
        <tr r="Y43" s="2"/>
      </tp>
      <tp t="s">
        <v>#N/A N/A</v>
        <stp/>
        <stp>BDP|9899359419567295268</stp>
        <tr r="Y113" s="2"/>
      </tp>
      <tp t="s">
        <v>#N/A N/A</v>
        <stp/>
        <stp>BDP|2902827833184877318</stp>
        <tr r="I112" s="2"/>
      </tp>
      <tp t="s">
        <v>#N/A N/A</v>
        <stp/>
        <stp>BDP|1552867543952875195</stp>
        <tr r="Z180" s="2"/>
      </tp>
      <tp t="s">
        <v>#N/A N/A</v>
        <stp/>
        <stp>BDP|3654969842735747547</stp>
        <tr r="H43" s="2"/>
      </tp>
      <tp t="s">
        <v>#N/A N/A</v>
        <stp/>
        <stp>BDP|6341942747497370228</stp>
        <tr r="B119" s="2"/>
      </tp>
      <tp t="s">
        <v>#N/A N/A</v>
        <stp/>
        <stp>BDP|4722801531543113269</stp>
        <tr r="M22" s="2"/>
      </tp>
      <tp t="s">
        <v>#N/A N/A</v>
        <stp/>
        <stp>BDP|9239342029140891668</stp>
        <tr r="AE111" s="2"/>
      </tp>
      <tp t="s">
        <v>#N/A N/A</v>
        <stp/>
        <stp>BDP|5551333892185060456</stp>
        <tr r="Z232" s="2"/>
      </tp>
      <tp t="s">
        <v>#N/A N/A</v>
        <stp/>
        <stp>BDP|6631787063541824844</stp>
        <tr r="D95" s="2"/>
      </tp>
      <tp t="s">
        <v>#N/A N/A</v>
        <stp/>
        <stp>BDP|5987332919909225006</stp>
        <tr r="T128" s="2"/>
      </tp>
      <tp t="s">
        <v>#N/A N/A</v>
        <stp/>
        <stp>BDP|6936896977985077212</stp>
        <tr r="X65" s="2"/>
      </tp>
      <tp t="s">
        <v>#N/A N/A</v>
        <stp/>
        <stp>BDP|4105365695165240568</stp>
        <tr r="O10" s="2"/>
      </tp>
      <tp t="s">
        <v>#N/A N/A</v>
        <stp/>
        <stp>BDP|6160050295183786204</stp>
        <tr r="X182" s="2"/>
      </tp>
      <tp t="s">
        <v>#N/A N/A</v>
        <stp/>
        <stp>BDP|6446046456314499947</stp>
        <tr r="AE213" s="2"/>
      </tp>
      <tp t="s">
        <v>#N/A N/A</v>
        <stp/>
        <stp>BDP|5507703173312236922</stp>
        <tr r="O62" s="2"/>
      </tp>
      <tp t="s">
        <v>#N/A N/A</v>
        <stp/>
        <stp>BDP|8748858608467810948</stp>
        <tr r="I199" s="2"/>
      </tp>
      <tp t="s">
        <v>#N/A N/A</v>
        <stp/>
        <stp>BDP|9926424652011627794</stp>
        <tr r="E226" s="2"/>
      </tp>
      <tp t="s">
        <v>#N/A N/A</v>
        <stp/>
        <stp>BDP|7832900828285393758</stp>
        <tr r="E86" s="2"/>
      </tp>
      <tp t="s">
        <v>#N/A N/A</v>
        <stp/>
        <stp>BDP|2065466303378147025</stp>
        <tr r="AC40" s="2"/>
      </tp>
      <tp t="s">
        <v>#N/A N/A</v>
        <stp/>
        <stp>BDP|6765036295788363947</stp>
        <tr r="B3" s="2"/>
      </tp>
      <tp t="s">
        <v>#N/A N/A</v>
        <stp/>
        <stp>BDP|8273173112311199708</stp>
        <tr r="P123" s="2"/>
      </tp>
      <tp t="s">
        <v>#N/A N/A</v>
        <stp/>
        <stp>BDP|3380357197632336552</stp>
        <tr r="T221" s="2"/>
      </tp>
      <tp t="s">
        <v>#N/A N/A</v>
        <stp/>
        <stp>BDP|8595664248950884446</stp>
        <tr r="B94" s="2"/>
      </tp>
      <tp t="s">
        <v>#N/A N/A</v>
        <stp/>
        <stp>BDP|5754897429736218729</stp>
        <tr r="AE107" s="2"/>
      </tp>
      <tp t="s">
        <v>#N/A N/A</v>
        <stp/>
        <stp>BDP|9871346711747991233</stp>
        <tr r="S114" s="2"/>
      </tp>
      <tp t="s">
        <v>#N/A N/A</v>
        <stp/>
        <stp>BDP|6257907351815001145</stp>
        <tr r="K156" s="2"/>
        <tr r="R156" s="2"/>
        <tr r="W156" s="2"/>
      </tp>
      <tp t="s">
        <v>#N/A N/A</v>
        <stp/>
        <stp>BDP|7519126100810545854</stp>
        <tr r="E114" s="2"/>
      </tp>
      <tp t="s">
        <v>#N/A N/A</v>
        <stp/>
        <stp>BDP|8072137075705303526</stp>
        <tr r="X46" s="2"/>
      </tp>
      <tp t="s">
        <v>#N/A N/A</v>
        <stp/>
        <stp>BDP|7118831952422107664</stp>
        <tr r="F61" s="2"/>
      </tp>
      <tp t="s">
        <v>#N/A N/A</v>
        <stp/>
        <stp>BDP|3691907424147096156</stp>
        <tr r="AC44" s="2"/>
      </tp>
      <tp t="s">
        <v>#N/A N/A</v>
        <stp/>
        <stp>BDP|8785201309165181180</stp>
        <tr r="N7" s="2"/>
      </tp>
      <tp t="s">
        <v>#N/A N/A</v>
        <stp/>
        <stp>BDP|2189100370222780812</stp>
        <tr r="Z109" s="2"/>
      </tp>
      <tp t="s">
        <v>#N/A N/A</v>
        <stp/>
        <stp>BDP|4410833322046107631</stp>
        <tr r="U138" s="2"/>
      </tp>
      <tp t="s">
        <v>#N/A N/A</v>
        <stp/>
        <stp>BDP|5002133923491521926</stp>
        <tr r="P128" s="2"/>
      </tp>
      <tp t="s">
        <v>#N/A N/A</v>
        <stp/>
        <stp>BDP|8584750447021289422</stp>
        <tr r="Q87" s="2"/>
      </tp>
      <tp t="s">
        <v>#N/A N/A</v>
        <stp/>
        <stp>BDP|3824692862165264862</stp>
        <tr r="AD159" s="2"/>
      </tp>
      <tp t="s">
        <v>#N/A N/A</v>
        <stp/>
        <stp>BDP|8333502355595017310</stp>
        <tr r="X203" s="2"/>
      </tp>
      <tp t="s">
        <v>#N/A N/A</v>
        <stp/>
        <stp>BDP|4310890208720057257</stp>
        <tr r="T91" s="2"/>
      </tp>
      <tp t="s">
        <v>#N/A N/A</v>
        <stp/>
        <stp>BDP|2012418679217956869</stp>
        <tr r="P118" s="2"/>
      </tp>
      <tp t="s">
        <v>#N/A N/A</v>
        <stp/>
        <stp>BDP|5789459713606153875</stp>
        <tr r="B104" s="2"/>
      </tp>
      <tp t="s">
        <v>#N/A N/A</v>
        <stp/>
        <stp>BDP|7879892643407625235</stp>
        <tr r="AC223" s="2"/>
      </tp>
      <tp t="s">
        <v>#N/A N/A</v>
        <stp/>
        <stp>BDP|7028901156340484560</stp>
        <tr r="Q86" s="2"/>
      </tp>
      <tp t="s">
        <v>#N/A N/A</v>
        <stp/>
        <stp>BDP|4287033812352341943</stp>
        <tr r="V239" s="2"/>
      </tp>
      <tp t="s">
        <v>#N/A N/A</v>
        <stp/>
        <stp>BDP|5378193159666146968</stp>
        <tr r="AB154" s="2"/>
      </tp>
      <tp t="s">
        <v>#N/A N/A</v>
        <stp/>
        <stp>BDP|6255954503224414542</stp>
        <tr r="AA60" s="2"/>
      </tp>
      <tp t="s">
        <v>#N/A N/A</v>
        <stp/>
        <stp>BDP|7305660316739250756</stp>
        <tr r="L76" s="2"/>
      </tp>
      <tp t="s">
        <v>#N/A N/A</v>
        <stp/>
        <stp>BDP|9113525311921314258</stp>
        <tr r="C89" s="2"/>
      </tp>
      <tp t="s">
        <v>#N/A N/A</v>
        <stp/>
        <stp>BDP|6636260087686574464</stp>
        <tr r="C181" s="2"/>
      </tp>
      <tp t="s">
        <v>#N/A N/A</v>
        <stp/>
        <stp>BDP|9362818495555725350</stp>
        <tr r="AB92" s="2"/>
      </tp>
      <tp t="s">
        <v>#N/A N/A</v>
        <stp/>
        <stp>BDP|2588871583374167855</stp>
        <tr r="I148" s="2"/>
      </tp>
      <tp t="s">
        <v>#N/A N/A</v>
        <stp/>
        <stp>BDP|1423963446632883097</stp>
        <tr r="G121" s="2"/>
      </tp>
      <tp t="s">
        <v>#N/A N/A</v>
        <stp/>
        <stp>BDP|7047759623529778544</stp>
        <tr r="K11" s="2"/>
        <tr r="R11" s="2"/>
        <tr r="W11" s="2"/>
      </tp>
      <tp t="s">
        <v>#N/A N/A</v>
        <stp/>
        <stp>BDP|8885009540866511485</stp>
        <tr r="P160" s="2"/>
      </tp>
      <tp t="s">
        <v>#N/A N/A</v>
        <stp/>
        <stp>BDP|4952832399808136372</stp>
        <tr r="F101" s="2"/>
      </tp>
      <tp t="s">
        <v>#N/A N/A</v>
        <stp/>
        <stp>BDP|6423074080895370557</stp>
        <tr r="S198" s="2"/>
      </tp>
      <tp t="s">
        <v>#N/A N/A</v>
        <stp/>
        <stp>BDP|8715305617696518202</stp>
        <tr r="M96" s="2"/>
      </tp>
      <tp t="s">
        <v>#N/A N/A</v>
        <stp/>
        <stp>BDP|7934569690815850026</stp>
        <tr r="L98" s="2"/>
      </tp>
      <tp t="s">
        <v>#N/A N/A</v>
        <stp/>
        <stp>BDP|9039005077169126937</stp>
        <tr r="AA62" s="2"/>
      </tp>
      <tp t="s">
        <v>#N/A N/A</v>
        <stp/>
        <stp>BDP|9518540049702571486</stp>
        <tr r="L100" s="2"/>
      </tp>
      <tp t="s">
        <v>#N/A N/A</v>
        <stp/>
        <stp>BDP|2920802868282427006</stp>
        <tr r="AA189" s="2"/>
      </tp>
      <tp t="s">
        <v>#N/A N/A</v>
        <stp/>
        <stp>BDP|6749409596651249469</stp>
        <tr r="AB29" s="2"/>
      </tp>
      <tp t="s">
        <v>#N/A N/A</v>
        <stp/>
        <stp>BDP|3818438489601109197</stp>
        <tr r="AC139" s="2"/>
      </tp>
      <tp t="s">
        <v>#N/A N/A</v>
        <stp/>
        <stp>BDP|8184367698668241575</stp>
        <tr r="U57" s="2"/>
      </tp>
      <tp t="s">
        <v>#N/A N/A</v>
        <stp/>
        <stp>BDP|7126797383956913180</stp>
        <tr r="G74" s="2"/>
      </tp>
      <tp t="s">
        <v>#N/A N/A</v>
        <stp/>
        <stp>BDP|6951678215519501746</stp>
        <tr r="K163" s="2"/>
        <tr r="R163" s="2"/>
        <tr r="W163" s="2"/>
      </tp>
      <tp t="s">
        <v>#N/A N/A</v>
        <stp/>
        <stp>BDP|9540765608291395024</stp>
        <tr r="T93" s="2"/>
      </tp>
      <tp t="s">
        <v>#N/A N/A</v>
        <stp/>
        <stp>BDP|6287852039055186753</stp>
        <tr r="M82" s="2"/>
      </tp>
      <tp t="s">
        <v>#N/A N/A</v>
        <stp/>
        <stp>BDP|7707010327122987828</stp>
        <tr r="Z32" s="2"/>
      </tp>
      <tp t="s">
        <v>#N/A N/A</v>
        <stp/>
        <stp>BDP|9230614297559735090</stp>
        <tr r="D46" s="2"/>
      </tp>
      <tp t="s">
        <v>#N/A N/A</v>
        <stp/>
        <stp>BDP|1608404915542970905</stp>
        <tr r="AE153" s="2"/>
      </tp>
      <tp t="s">
        <v>#N/A N/A</v>
        <stp/>
        <stp>BDP|6106116161197257991</stp>
        <tr r="S191" s="2"/>
      </tp>
      <tp t="s">
        <v>#N/A N/A</v>
        <stp/>
        <stp>BDP|8728023001403706491</stp>
        <tr r="AA208" s="2"/>
      </tp>
      <tp t="s">
        <v>#N/A N/A</v>
        <stp/>
        <stp>BDP|6017238493557244590</stp>
        <tr r="H23" s="2"/>
      </tp>
      <tp t="s">
        <v>#N/A N/A</v>
        <stp/>
        <stp>BDP|5613482532188283550</stp>
        <tr r="AD45" s="2"/>
      </tp>
      <tp t="s">
        <v>#N/A N/A</v>
        <stp/>
        <stp>BDP|8509991913949770633</stp>
        <tr r="V44" s="2"/>
      </tp>
      <tp t="s">
        <v>#N/A N/A</v>
        <stp/>
        <stp>BDP|6042629322224977929</stp>
        <tr r="F205" s="2"/>
      </tp>
      <tp t="s">
        <v>#N/A N/A</v>
        <stp/>
        <stp>BDP|1700795540639026450</stp>
        <tr r="X184" s="2"/>
      </tp>
      <tp t="s">
        <v>#N/A N/A</v>
        <stp/>
        <stp>BDP|5011221449314016801</stp>
        <tr r="Q208" s="2"/>
      </tp>
      <tp t="s">
        <v>#N/A N/A</v>
        <stp/>
        <stp>BDP|2931507155874701909</stp>
        <tr r="AD183" s="2"/>
      </tp>
      <tp t="s">
        <v>#N/A N/A</v>
        <stp/>
        <stp>BDP|8886578446990283604</stp>
        <tr r="I118" s="2"/>
      </tp>
      <tp t="s">
        <v>#N/A N/A</v>
        <stp/>
        <stp>BDP|9445416732727918653</stp>
        <tr r="O64" s="2"/>
      </tp>
      <tp t="s">
        <v>#N/A N/A</v>
        <stp/>
        <stp>BDP|8238051900031451681</stp>
        <tr r="G177" s="2"/>
      </tp>
      <tp t="s">
        <v>#N/A N/A</v>
        <stp/>
        <stp>BDP|8080116727446712292</stp>
        <tr r="H80" s="2"/>
      </tp>
      <tp t="s">
        <v>#N/A N/A</v>
        <stp/>
        <stp>BDP|4570944708347500549</stp>
        <tr r="K44" s="2"/>
        <tr r="R44" s="2"/>
        <tr r="W44" s="2"/>
      </tp>
      <tp t="s">
        <v>#N/A N/A</v>
        <stp/>
        <stp>BDP|4472319368356718825</stp>
        <tr r="P132" s="2"/>
      </tp>
      <tp t="s">
        <v>#N/A N/A</v>
        <stp/>
        <stp>BDP|5663689903519158547</stp>
        <tr r="AC217" s="2"/>
      </tp>
      <tp t="s">
        <v>#N/A N/A</v>
        <stp/>
        <stp>BDP|7358338294506973457</stp>
        <tr r="V182" s="2"/>
      </tp>
      <tp t="s">
        <v>#N/A N/A</v>
        <stp/>
        <stp>BDP|9327789289259849025</stp>
        <tr r="Q30" s="2"/>
      </tp>
      <tp t="s">
        <v>#N/A N/A</v>
        <stp/>
        <stp>BDP|3097807332494869326</stp>
        <tr r="AB215" s="2"/>
      </tp>
      <tp t="s">
        <v>#N/A N/A</v>
        <stp/>
        <stp>BDP|8440050042923373080</stp>
        <tr r="G7" s="2"/>
      </tp>
      <tp t="s">
        <v>#N/A N/A</v>
        <stp/>
        <stp>BDP|3794241521544906837</stp>
        <tr r="N190" s="2"/>
      </tp>
      <tp t="s">
        <v>#N/A N/A</v>
        <stp/>
        <stp>BDP|2233652086705049698</stp>
        <tr r="K165" s="2"/>
        <tr r="R165" s="2"/>
        <tr r="W165" s="2"/>
      </tp>
      <tp t="s">
        <v>#N/A N/A</v>
        <stp/>
        <stp>BDP|3343974569930237376</stp>
        <tr r="K79" s="2"/>
        <tr r="R79" s="2"/>
        <tr r="W79" s="2"/>
      </tp>
      <tp t="s">
        <v>#N/A N/A</v>
        <stp/>
        <stp>BDP|4164065946357963808</stp>
        <tr r="V47" s="2"/>
      </tp>
      <tp t="s">
        <v>#N/A N/A</v>
        <stp/>
        <stp>BDP|6992012971008523648</stp>
        <tr r="AD62" s="2"/>
      </tp>
      <tp t="s">
        <v>#N/A N/A</v>
        <stp/>
        <stp>BDP|5943499448533436948</stp>
        <tr r="M8" s="2"/>
      </tp>
      <tp t="s">
        <v>#N/A N/A</v>
        <stp/>
        <stp>BDP|2102435384963909279</stp>
        <tr r="S16" s="2"/>
      </tp>
      <tp t="s">
        <v>#N/A N/A</v>
        <stp/>
        <stp>BDP|9655296677853082007</stp>
        <tr r="C54" s="2"/>
      </tp>
      <tp t="s">
        <v>#N/A N/A</v>
        <stp/>
        <stp>BDP|9598908822538772587</stp>
        <tr r="S202" s="2"/>
      </tp>
      <tp t="s">
        <v>#N/A N/A</v>
        <stp/>
        <stp>BDP|6939820732272342022</stp>
        <tr r="O15" s="2"/>
      </tp>
      <tp t="s">
        <v>#N/A N/A</v>
        <stp/>
        <stp>BDP|6975784491356090194</stp>
        <tr r="C3" s="2"/>
      </tp>
      <tp t="s">
        <v>#N/A N/A</v>
        <stp/>
        <stp>BDP|6427398049348524686</stp>
        <tr r="O73" s="2"/>
      </tp>
      <tp t="s">
        <v>#N/A N/A</v>
        <stp/>
        <stp>BDP|9992031457156531515</stp>
        <tr r="V69" s="2"/>
      </tp>
      <tp t="s">
        <v>#N/A N/A</v>
        <stp/>
        <stp>BDP|1352468037568890132</stp>
        <tr r="N88" s="2"/>
      </tp>
      <tp t="s">
        <v>#N/A N/A</v>
        <stp/>
        <stp>BDP|7390996313731795175</stp>
        <tr r="C158" s="2"/>
      </tp>
      <tp t="s">
        <v>#N/A N/A</v>
        <stp/>
        <stp>BDP|1829911201542458557</stp>
        <tr r="K135" s="2"/>
        <tr r="R135" s="2"/>
        <tr r="W135" s="2"/>
      </tp>
      <tp t="s">
        <v>#N/A N/A</v>
        <stp/>
        <stp>BDP|8394449771586957264</stp>
        <tr r="G226" s="2"/>
      </tp>
      <tp t="s">
        <v>#N/A N/A</v>
        <stp/>
        <stp>BDP|4062866392503968938</stp>
        <tr r="S199" s="2"/>
      </tp>
      <tp t="s">
        <v>#N/A N/A</v>
        <stp/>
        <stp>BDP|5551642916619122488</stp>
        <tr r="Y176" s="2"/>
      </tp>
      <tp t="s">
        <v>#N/A N/A</v>
        <stp/>
        <stp>BDP|3963325233838364457</stp>
        <tr r="AD41" s="2"/>
      </tp>
      <tp t="s">
        <v>#N/A N/A</v>
        <stp/>
        <stp>BDP|7230184751399687531</stp>
        <tr r="M209" s="2"/>
      </tp>
      <tp t="s">
        <v>#N/A N/A</v>
        <stp/>
        <stp>BDP|9415407221136802636</stp>
        <tr r="P217" s="2"/>
      </tp>
      <tp t="s">
        <v>#N/A N/A</v>
        <stp/>
        <stp>BDP|9515324642136351780</stp>
        <tr r="M135" s="2"/>
      </tp>
      <tp t="s">
        <v>#N/A N/A</v>
        <stp/>
        <stp>BDP|4537457764470285988</stp>
        <tr r="C197" s="2"/>
      </tp>
      <tp t="s">
        <v>#N/A N/A</v>
        <stp/>
        <stp>BDP|1632533600178821331</stp>
        <tr r="T144" s="2"/>
      </tp>
      <tp t="s">
        <v>#N/A N/A</v>
        <stp/>
        <stp>BDP|7373519316888255486</stp>
        <tr r="E121" s="2"/>
      </tp>
      <tp t="s">
        <v>#N/A N/A</v>
        <stp/>
        <stp>BDP|7506894631464350701</stp>
        <tr r="Z56" s="2"/>
      </tp>
      <tp t="s">
        <v>#N/A N/A</v>
        <stp/>
        <stp>BDP|8044386915416619350</stp>
        <tr r="AE76" s="2"/>
      </tp>
      <tp t="s">
        <v>#N/A N/A</v>
        <stp/>
        <stp>BDP|7347361436441496980</stp>
        <tr r="Z236" s="2"/>
      </tp>
      <tp t="s">
        <v>#N/A N/A</v>
        <stp/>
        <stp>BDP|4113832370492491695</stp>
        <tr r="AD17" s="2"/>
      </tp>
      <tp t="s">
        <v>#N/A N/A</v>
        <stp/>
        <stp>BDP|8587602542144042180</stp>
        <tr r="E8" s="2"/>
      </tp>
      <tp t="s">
        <v>#N/A N/A</v>
        <stp/>
        <stp>BDP|1300850589906509860</stp>
        <tr r="N230" s="2"/>
      </tp>
      <tp t="s">
        <v>#N/A N/A</v>
        <stp/>
        <stp>BDP|8748844462968556184</stp>
        <tr r="Z112" s="2"/>
      </tp>
      <tp t="s">
        <v>#N/A N/A</v>
        <stp/>
        <stp>BDP|7398303485255934630</stp>
        <tr r="B58" s="2"/>
      </tp>
      <tp t="s">
        <v>#N/A N/A</v>
        <stp/>
        <stp>BDP|9177020807126120099</stp>
        <tr r="AE156" s="2"/>
      </tp>
      <tp t="s">
        <v>#N/A N/A</v>
        <stp/>
        <stp>BDP|4376652024816732992</stp>
        <tr r="M130" s="2"/>
      </tp>
      <tp t="s">
        <v>#N/A N/A</v>
        <stp/>
        <stp>BDP|8781836689446003116</stp>
        <tr r="K56" s="2"/>
        <tr r="R56" s="2"/>
        <tr r="W56" s="2"/>
      </tp>
      <tp t="s">
        <v>#N/A N/A</v>
        <stp/>
        <stp>BDP|5724851242534438289</stp>
        <tr r="O88" s="2"/>
      </tp>
      <tp t="s">
        <v>#N/A N/A</v>
        <stp/>
        <stp>BDP|3866735443289439602</stp>
        <tr r="AE38" s="2"/>
      </tp>
      <tp t="s">
        <v>#N/A N/A</v>
        <stp/>
        <stp>BDP|9544534742267922009</stp>
        <tr r="AE194" s="2"/>
      </tp>
      <tp t="s">
        <v>#N/A N/A</v>
        <stp/>
        <stp>BDP|1343394045969218005</stp>
        <tr r="F7" s="2"/>
      </tp>
      <tp t="s">
        <v>#N/A N/A</v>
        <stp/>
        <stp>BDP|9678733737815777787</stp>
        <tr r="G154" s="2"/>
      </tp>
      <tp t="s">
        <v>#N/A N/A</v>
        <stp/>
        <stp>BDP|8351059142364825712</stp>
        <tr r="AA50" s="2"/>
      </tp>
      <tp t="s">
        <v>#N/A N/A</v>
        <stp/>
        <stp>BDP|9443304554990401096</stp>
        <tr r="AC106" s="2"/>
      </tp>
      <tp t="s">
        <v>#N/A N/A</v>
        <stp/>
        <stp>BDP|9877815115336329922</stp>
        <tr r="AB234" s="2"/>
      </tp>
      <tp t="s">
        <v>#N/A N/A</v>
        <stp/>
        <stp>BDP|1420095718058156791</stp>
        <tr r="I65" s="2"/>
      </tp>
      <tp t="s">
        <v>#N/A N/A</v>
        <stp/>
        <stp>BDP|9919051753887085422</stp>
        <tr r="L135" s="2"/>
      </tp>
      <tp t="s">
        <v>#N/A N/A</v>
        <stp/>
        <stp>BDP|5446444273681803864</stp>
        <tr r="X5" s="2"/>
      </tp>
      <tp t="s">
        <v>#N/A N/A</v>
        <stp/>
        <stp>BDP|7749511841241864824</stp>
        <tr r="AD3" s="2"/>
      </tp>
      <tp t="s">
        <v>#N/A N/A</v>
        <stp/>
        <stp>BDP|5672924049002672560</stp>
        <tr r="E105" s="2"/>
      </tp>
      <tp t="s">
        <v>#N/A N/A</v>
        <stp/>
        <stp>BDP|3374886665223765142</stp>
        <tr r="U210" s="2"/>
      </tp>
      <tp t="s">
        <v>#N/A N/A</v>
        <stp/>
        <stp>BDP|2165183895424039114</stp>
        <tr r="K224" s="2"/>
        <tr r="R224" s="2"/>
        <tr r="W224" s="2"/>
      </tp>
      <tp t="s">
        <v>#N/A N/A</v>
        <stp/>
        <stp>BDP|7497919320563585025</stp>
        <tr r="Q154" s="2"/>
      </tp>
      <tp t="s">
        <v>#N/A N/A</v>
        <stp/>
        <stp>BDP|6854891005217488625</stp>
        <tr r="H120" s="2"/>
      </tp>
      <tp t="s">
        <v>#N/A N/A</v>
        <stp/>
        <stp>BDP|2202863447703693271</stp>
        <tr r="C73" s="2"/>
      </tp>
      <tp t="s">
        <v>#N/A N/A</v>
        <stp/>
        <stp>BDP|1292406336951424828</stp>
        <tr r="S217" s="2"/>
      </tp>
      <tp t="s">
        <v>#N/A N/A</v>
        <stp/>
        <stp>BDP|1519544864478495534</stp>
        <tr r="Q101" s="2"/>
      </tp>
      <tp t="s">
        <v>#N/A N/A</v>
        <stp/>
        <stp>BDP|4726456014389722739</stp>
        <tr r="H220" s="2"/>
      </tp>
      <tp t="s">
        <v>#N/A N/A</v>
        <stp/>
        <stp>BDP|5471963826758302952</stp>
        <tr r="S59" s="2"/>
      </tp>
      <tp t="s">
        <v>#N/A N/A</v>
        <stp/>
        <stp>BDP|7218689895986869155</stp>
        <tr r="T160" s="2"/>
      </tp>
      <tp t="s">
        <v>#N/A N/A</v>
        <stp/>
        <stp>BDP|6830667692772847460</stp>
        <tr r="M79" s="2"/>
      </tp>
      <tp t="s">
        <v>#N/A N/A</v>
        <stp/>
        <stp>BDP|2107320227165195964</stp>
        <tr r="D175" s="2"/>
      </tp>
      <tp t="s">
        <v>#N/A N/A</v>
        <stp/>
        <stp>BDP|6761329893041196249</stp>
        <tr r="AD67" s="2"/>
      </tp>
      <tp t="s">
        <v>#N/A N/A</v>
        <stp/>
        <stp>BDP|7831000589209736952</stp>
        <tr r="I60" s="2"/>
      </tp>
      <tp t="s">
        <v>#N/A N/A</v>
        <stp/>
        <stp>BDP|9902992103399659667</stp>
        <tr r="M107" s="2"/>
      </tp>
      <tp t="s">
        <v>#N/A N/A</v>
        <stp/>
        <stp>BDP|3448109999465813153</stp>
        <tr r="P110" s="2"/>
      </tp>
      <tp t="s">
        <v>#N/A N/A</v>
        <stp/>
        <stp>BDP|7895984331573229137</stp>
        <tr r="C13" s="2"/>
      </tp>
      <tp t="s">
        <v>#N/A N/A</v>
        <stp/>
        <stp>BDP|8879311247270922079</stp>
        <tr r="T68" s="2"/>
      </tp>
      <tp t="s">
        <v>#N/A N/A</v>
        <stp/>
        <stp>BDP|9747577032699226909</stp>
        <tr r="G215" s="2"/>
      </tp>
      <tp t="s">
        <v>#N/A N/A</v>
        <stp/>
        <stp>BDP|4370673234457801981</stp>
        <tr r="AE73" s="2"/>
      </tp>
      <tp t="s">
        <v>#N/A N/A</v>
        <stp/>
        <stp>BDP|2799313085924567264</stp>
        <tr r="H151" s="2"/>
      </tp>
      <tp t="s">
        <v>#N/A N/A</v>
        <stp/>
        <stp>BDP|3465432285570340015</stp>
        <tr r="AE61" s="2"/>
      </tp>
      <tp t="s">
        <v>#N/A N/A</v>
        <stp/>
        <stp>BDP|1039318385055587013</stp>
        <tr r="F41" s="2"/>
      </tp>
      <tp t="s">
        <v>#N/A N/A</v>
        <stp/>
        <stp>BDP|2396333087676560028</stp>
        <tr r="C178" s="2"/>
      </tp>
      <tp t="s">
        <v>#N/A N/A</v>
        <stp/>
        <stp>BDP|2851209925099891453</stp>
        <tr r="C123" s="2"/>
      </tp>
      <tp t="s">
        <v>#N/A N/A</v>
        <stp/>
        <stp>BDP|5222908966373205670</stp>
        <tr r="O111" s="2"/>
      </tp>
      <tp t="s">
        <v>#N/A N/A</v>
        <stp/>
        <stp>BDP|1275278093423472634</stp>
        <tr r="V164" s="2"/>
      </tp>
      <tp t="s">
        <v>#N/A N/A</v>
        <stp/>
        <stp>BDP|2683417876697810982</stp>
        <tr r="C150" s="2"/>
      </tp>
      <tp t="s">
        <v>#N/A N/A</v>
        <stp/>
        <stp>BDP|6512587181044848058</stp>
        <tr r="B85" s="2"/>
      </tp>
      <tp t="s">
        <v>#N/A N/A</v>
        <stp/>
        <stp>BDP|8078138244387619500</stp>
        <tr r="X163" s="2"/>
      </tp>
      <tp t="s">
        <v>#N/A N/A</v>
        <stp/>
        <stp>BDP|4289256881457105666</stp>
        <tr r="Y2" s="2"/>
      </tp>
      <tp t="s">
        <v>#N/A N/A</v>
        <stp/>
        <stp>BDP|5488841817784344755</stp>
        <tr r="M235" s="2"/>
      </tp>
      <tp t="s">
        <v>#N/A N/A</v>
        <stp/>
        <stp>BDP|5221267468869545787</stp>
        <tr r="O209" s="2"/>
      </tp>
      <tp t="s">
        <v>#N/A N/A</v>
        <stp/>
        <stp>BDP|6703059694263535328</stp>
        <tr r="Z54" s="2"/>
      </tp>
      <tp t="s">
        <v>#N/A N/A</v>
        <stp/>
        <stp>BDP|8505497459774672225</stp>
        <tr r="AE60" s="2"/>
      </tp>
      <tp t="s">
        <v>#N/A N/A</v>
        <stp/>
        <stp>BDP|7170390019388228224</stp>
        <tr r="Q151" s="2"/>
      </tp>
      <tp t="s">
        <v>#N/A N/A</v>
        <stp/>
        <stp>BDP|8110450285172046906</stp>
        <tr r="S192" s="2"/>
      </tp>
      <tp t="s">
        <v>#N/A N/A</v>
        <stp/>
        <stp>BDP|4440527196653334423</stp>
        <tr r="O5" s="2"/>
      </tp>
      <tp t="s">
        <v>#N/A N/A</v>
        <stp/>
        <stp>BDP|1805537128189644045</stp>
        <tr r="Q97" s="2"/>
      </tp>
      <tp t="s">
        <v>#N/A N/A</v>
        <stp/>
        <stp>BDP|3555815411066231365</stp>
        <tr r="M223" s="2"/>
      </tp>
      <tp t="s">
        <v>#N/A N/A</v>
        <stp/>
        <stp>BDP|8061887682000437780</stp>
        <tr r="H133" s="2"/>
      </tp>
      <tp t="s">
        <v>#N/A N/A</v>
        <stp/>
        <stp>BDP|2371612135761813996</stp>
        <tr r="C24" s="2"/>
      </tp>
      <tp t="s">
        <v>#N/A N/A</v>
        <stp/>
        <stp>BDP|8133412571250754402</stp>
        <tr r="C155" s="2"/>
      </tp>
      <tp t="s">
        <v>#N/A N/A</v>
        <stp/>
        <stp>BDP|9750338976580582214</stp>
        <tr r="AC176" s="2"/>
      </tp>
      <tp t="s">
        <v>#N/A N/A</v>
        <stp/>
        <stp>BDP|1451115286874011342</stp>
        <tr r="B22" s="2"/>
      </tp>
      <tp t="s">
        <v>#N/A N/A</v>
        <stp/>
        <stp>BDP|6078244600868413371</stp>
        <tr r="AE216" s="2"/>
      </tp>
      <tp t="s">
        <v>#N/A N/A</v>
        <stp/>
        <stp>BDP|5211271800441461968</stp>
        <tr r="T182" s="2"/>
      </tp>
      <tp t="s">
        <v>#N/A N/A</v>
        <stp/>
        <stp>BDP|1370779590301329103</stp>
        <tr r="AA8" s="2"/>
      </tp>
      <tp t="s">
        <v>#N/A N/A</v>
        <stp/>
        <stp>BDP|3000815656384697563</stp>
        <tr r="F69" s="2"/>
      </tp>
      <tp t="s">
        <v>#N/A N/A</v>
        <stp/>
        <stp>BDP|7226912172656504037</stp>
        <tr r="Q113" s="2"/>
      </tp>
      <tp t="s">
        <v>#N/A N/A</v>
        <stp/>
        <stp>BDP|5310925859520932662</stp>
        <tr r="X198" s="2"/>
      </tp>
      <tp t="s">
        <v>#N/A N/A</v>
        <stp/>
        <stp>BDP|5362951845505130251</stp>
        <tr r="B120" s="2"/>
      </tp>
      <tp t="s">
        <v>#N/A N/A</v>
        <stp/>
        <stp>BDP|1922146914506854866</stp>
        <tr r="N118" s="2"/>
      </tp>
      <tp t="s">
        <v>#N/A N/A</v>
        <stp/>
        <stp>BDP|7423067255788056505</stp>
        <tr r="N128" s="2"/>
      </tp>
      <tp t="s">
        <v>#N/A N/A</v>
        <stp/>
        <stp>BDP|8425688638886132423</stp>
        <tr r="G16" s="2"/>
      </tp>
      <tp t="s">
        <v>#N/A N/A</v>
        <stp/>
        <stp>BDP|2508613122870573949</stp>
        <tr r="AB98" s="2"/>
      </tp>
      <tp t="s">
        <v>#N/A N/A</v>
        <stp/>
        <stp>BDP|5382438132285066850</stp>
        <tr r="N59" s="2"/>
      </tp>
      <tp t="s">
        <v>#N/A N/A</v>
        <stp/>
        <stp>BDP|6632970281748564024</stp>
        <tr r="G18" s="2"/>
      </tp>
      <tp t="s">
        <v>#N/A N/A</v>
        <stp/>
        <stp>BDP|3698659963998682428</stp>
        <tr r="AE146" s="2"/>
      </tp>
      <tp t="s">
        <v>#N/A N/A</v>
        <stp/>
        <stp>BDP|6850791127854657842</stp>
        <tr r="Z149" s="2"/>
      </tp>
      <tp t="s">
        <v>#N/A N/A</v>
        <stp/>
        <stp>BDP|1577973898946900870</stp>
        <tr r="D92" s="2"/>
      </tp>
      <tp t="s">
        <v>#N/A N/A</v>
        <stp/>
        <stp>BDP|1751165715116310830</stp>
        <tr r="M98" s="2"/>
      </tp>
      <tp t="s">
        <v>#N/A N/A</v>
        <stp/>
        <stp>BDP|4500890119877488550</stp>
        <tr r="AD136" s="2"/>
      </tp>
      <tp t="s">
        <v>#N/A N/A</v>
        <stp/>
        <stp>BDP|8421339034514696310</stp>
        <tr r="Z87" s="2"/>
      </tp>
      <tp t="s">
        <v>#N/A N/A</v>
        <stp/>
        <stp>BDP|2666479349904540994</stp>
        <tr r="L122" s="2"/>
      </tp>
      <tp t="s">
        <v>#N/A N/A</v>
        <stp/>
        <stp>BDP|4377862080269426253</stp>
        <tr r="X197" s="2"/>
      </tp>
      <tp t="s">
        <v>#N/A N/A</v>
        <stp/>
        <stp>BDP|4783668433918032673</stp>
        <tr r="U28" s="2"/>
      </tp>
      <tp t="s">
        <v>#N/A N/A</v>
        <stp/>
        <stp>BDP|7518874047812113614</stp>
        <tr r="X60" s="2"/>
      </tp>
      <tp t="s">
        <v>#N/A N/A</v>
        <stp/>
        <stp>BDP|6808811449230084556</stp>
        <tr r="AD91" s="2"/>
      </tp>
      <tp t="s">
        <v>#N/A N/A</v>
        <stp/>
        <stp>BDP|1075617395859551841</stp>
        <tr r="G104" s="2"/>
      </tp>
      <tp t="s">
        <v>#N/A N/A</v>
        <stp/>
        <stp>BDP|8428912765058675039</stp>
        <tr r="T155" s="2"/>
      </tp>
      <tp t="s">
        <v>#N/A N/A</v>
        <stp/>
        <stp>BDP|7147522097074006017</stp>
        <tr r="S53" s="2"/>
      </tp>
      <tp t="s">
        <v>#N/A N/A</v>
        <stp/>
        <stp>BDP|9228054351183362000</stp>
        <tr r="N133" s="2"/>
      </tp>
      <tp t="s">
        <v>#N/A N/A</v>
        <stp/>
        <stp>BDP|2558006893201513560</stp>
        <tr r="D240" s="2"/>
      </tp>
      <tp t="s">
        <v>#N/A N/A</v>
        <stp/>
        <stp>BDP|9384839497452668543</stp>
        <tr r="Z175" s="2"/>
      </tp>
      <tp t="s">
        <v>#N/A N/A</v>
        <stp/>
        <stp>BDP|7717952119004701490</stp>
        <tr r="O183" s="2"/>
      </tp>
      <tp t="s">
        <v>#N/A N/A</v>
        <stp/>
        <stp>BDP|8362049723286296331</stp>
        <tr r="AA71" s="2"/>
      </tp>
      <tp t="s">
        <v>#N/A N/A</v>
        <stp/>
        <stp>BDP|6702188760108369698</stp>
        <tr r="C47" s="2"/>
      </tp>
      <tp t="s">
        <v>#N/A N/A</v>
        <stp/>
        <stp>BDP|9908601169972858320</stp>
        <tr r="AE133" s="2"/>
      </tp>
      <tp t="s">
        <v>#N/A N/A</v>
        <stp/>
        <stp>BDP|3585413046122119996</stp>
        <tr r="F36" s="2"/>
      </tp>
      <tp t="s">
        <v>#N/A N/A</v>
        <stp/>
        <stp>BDP|1115501478633699852</stp>
        <tr r="F143" s="2"/>
      </tp>
      <tp t="s">
        <v>#N/A N/A</v>
        <stp/>
        <stp>BDP|1259842988980434902</stp>
        <tr r="B64" s="2"/>
      </tp>
      <tp t="s">
        <v>#N/A N/A</v>
        <stp/>
        <stp>BDP|7071985532512939795</stp>
        <tr r="K180" s="2"/>
        <tr r="R180" s="2"/>
        <tr r="W180" s="2"/>
      </tp>
      <tp t="s">
        <v>#N/A N/A</v>
        <stp/>
        <stp>BDP|9517587001687073367</stp>
        <tr r="K236" s="2"/>
        <tr r="R236" s="2"/>
        <tr r="W236" s="2"/>
      </tp>
      <tp t="s">
        <v>#N/A N/A</v>
        <stp/>
        <stp>BDP|9502394036354029505</stp>
        <tr r="D81" s="2"/>
      </tp>
      <tp t="s">
        <v>#N/A N/A</v>
        <stp/>
        <stp>BDP|5271596536428670310</stp>
        <tr r="N6" s="2"/>
      </tp>
      <tp t="s">
        <v>#N/A N/A</v>
        <stp/>
        <stp>BDP|7863622465106740923</stp>
        <tr r="G222" s="2"/>
      </tp>
      <tp t="s">
        <v>#N/A N/A</v>
        <stp/>
        <stp>BDP|4501326766160808935</stp>
        <tr r="Z201" s="2"/>
      </tp>
      <tp t="s">
        <v>#N/A N/A</v>
        <stp/>
        <stp>BDP|5111498891560619058</stp>
        <tr r="AE197" s="2"/>
      </tp>
      <tp t="s">
        <v>#N/A N/A</v>
        <stp/>
        <stp>BDP|5854926838776060187</stp>
        <tr r="T200" s="2"/>
      </tp>
      <tp t="s">
        <v>#N/A N/A</v>
        <stp/>
        <stp>BDP|8882340964585527079</stp>
        <tr r="L61" s="2"/>
      </tp>
      <tp t="s">
        <v>#N/A N/A</v>
        <stp/>
        <stp>BDP|8875842587583769360</stp>
        <tr r="E126" s="2"/>
      </tp>
      <tp t="s">
        <v>#N/A N/A</v>
        <stp/>
        <stp>BDP|6968496560998844437</stp>
        <tr r="Q34" s="2"/>
      </tp>
      <tp t="s">
        <v>#N/A N/A</v>
        <stp/>
        <stp>BDP|8106423389274085818</stp>
        <tr r="AC195" s="2"/>
      </tp>
      <tp t="s">
        <v>#N/A N/A</v>
        <stp/>
        <stp>BDP|4773883645432189209</stp>
        <tr r="H61" s="2"/>
      </tp>
      <tp t="s">
        <v>#N/A N/A</v>
        <stp/>
        <stp>BDP|9881232974152534619</stp>
        <tr r="K64" s="2"/>
        <tr r="R64" s="2"/>
        <tr r="W64" s="2"/>
      </tp>
      <tp t="s">
        <v>#N/A N/A</v>
        <stp/>
        <stp>BDP|1982160583643466338</stp>
        <tr r="T201" s="2"/>
      </tp>
      <tp t="s">
        <v>#N/A N/A</v>
        <stp/>
        <stp>BDP|3190979406734837634</stp>
        <tr r="E130" s="2"/>
      </tp>
      <tp t="s">
        <v>#N/A N/A</v>
        <stp/>
        <stp>BDP|7421991439151849476</stp>
        <tr r="AC108" s="2"/>
      </tp>
      <tp t="s">
        <v>#N/A N/A</v>
        <stp/>
        <stp>BDP|2275290836183786819</stp>
        <tr r="K33" s="2"/>
        <tr r="R33" s="2"/>
        <tr r="W33" s="2"/>
      </tp>
      <tp t="s">
        <v>#N/A N/A</v>
        <stp/>
        <stp>BDP|6100683419548863109</stp>
        <tr r="C214" s="2"/>
      </tp>
      <tp t="s">
        <v>#N/A N/A</v>
        <stp/>
        <stp>BDP|1611916338026752508</stp>
        <tr r="Q175" s="2"/>
      </tp>
      <tp t="s">
        <v>#N/A N/A</v>
        <stp/>
        <stp>BDP|8417367336441818149</stp>
        <tr r="Z33" s="2"/>
      </tp>
      <tp t="s">
        <v>#N/A N/A</v>
        <stp/>
        <stp>BDP|9065918946384665896</stp>
        <tr r="I147" s="2"/>
      </tp>
      <tp t="s">
        <v>#N/A N/A</v>
        <stp/>
        <stp>BDP|8546439111036919362</stp>
        <tr r="F125" s="2"/>
      </tp>
      <tp t="s">
        <v>#N/A N/A</v>
        <stp/>
        <stp>BDP|5210334459142745970</stp>
        <tr r="Q79" s="2"/>
      </tp>
      <tp t="s">
        <v>#N/A N/A</v>
        <stp/>
        <stp>BDP|2019987754981565719</stp>
        <tr r="S110" s="2"/>
      </tp>
      <tp t="s">
        <v>#N/A N/A</v>
        <stp/>
        <stp>BDP|2903815029661968106</stp>
        <tr r="AD5" s="2"/>
      </tp>
      <tp t="s">
        <v>#N/A N/A</v>
        <stp/>
        <stp>BDP|3001592246328105263</stp>
        <tr r="V187" s="2"/>
      </tp>
      <tp t="s">
        <v>#N/A N/A</v>
        <stp/>
        <stp>BDP|5836912473200318316</stp>
        <tr r="U120" s="2"/>
      </tp>
      <tp t="s">
        <v>#N/A N/A</v>
        <stp/>
        <stp>BDP|8684291670307556228</stp>
        <tr r="Q49" s="2"/>
      </tp>
      <tp t="s">
        <v>#N/A N/A</v>
        <stp/>
        <stp>BDP|6251537528789329020</stp>
        <tr r="N120" s="2"/>
      </tp>
      <tp t="s">
        <v>#N/A N/A</v>
        <stp/>
        <stp>BDP|2130950138372368270</stp>
        <tr r="E161" s="2"/>
      </tp>
      <tp t="s">
        <v>#N/A N/A</v>
        <stp/>
        <stp>BDP|2729442224749974566</stp>
        <tr r="Z154" s="2"/>
      </tp>
      <tp t="s">
        <v>#N/A N/A</v>
        <stp/>
        <stp>BDP|6818972803213395461</stp>
        <tr r="AB21" s="2"/>
      </tp>
      <tp t="s">
        <v>#N/A N/A</v>
        <stp/>
        <stp>BDP|5457908087719936530</stp>
        <tr r="AB152" s="2"/>
      </tp>
      <tp t="s">
        <v>#N/A N/A</v>
        <stp/>
        <stp>BDP|8491588199954812845</stp>
        <tr r="M234" s="2"/>
      </tp>
      <tp t="s">
        <v>#N/A N/A</v>
        <stp/>
        <stp>BDP|1744471378833126903</stp>
        <tr r="H107" s="2"/>
      </tp>
      <tp t="s">
        <v>#N/A N/A</v>
        <stp/>
        <stp>BDP|3156158403912633886</stp>
        <tr r="C112" s="2"/>
      </tp>
      <tp t="s">
        <v>#N/A N/A</v>
        <stp/>
        <stp>BDP|6459010289291354762</stp>
        <tr r="I110" s="2"/>
      </tp>
      <tp t="s">
        <v>#N/A N/A</v>
        <stp/>
        <stp>BDP|2538595277470421863</stp>
        <tr r="S7" s="2"/>
      </tp>
      <tp t="s">
        <v>#N/A N/A</v>
        <stp/>
        <stp>BDP|1093026539139488364</stp>
        <tr r="S222" s="2"/>
      </tp>
      <tp t="s">
        <v>#N/A N/A</v>
        <stp/>
        <stp>BDP|5073981330475149204</stp>
        <tr r="Z228" s="2"/>
      </tp>
      <tp t="s">
        <v>#N/A N/A</v>
        <stp/>
        <stp>BDP|5593281387892340506</stp>
        <tr r="P211" s="2"/>
      </tp>
      <tp t="s">
        <v>#N/A N/A</v>
        <stp/>
        <stp>BDP|4774200760418844060</stp>
        <tr r="N56" s="2"/>
      </tp>
      <tp t="s">
        <v>#N/A N/A</v>
        <stp/>
        <stp>BDP|8685732744137703486</stp>
        <tr r="Y13" s="2"/>
      </tp>
      <tp t="s">
        <v>#N/A N/A</v>
        <stp/>
        <stp>BDP|6196729938633327969</stp>
        <tr r="AA181" s="2"/>
      </tp>
      <tp t="s">
        <v>#N/A N/A</v>
        <stp/>
        <stp>BDP|4784051488102530614</stp>
        <tr r="AA168" s="2"/>
      </tp>
      <tp t="s">
        <v>#N/A N/A</v>
        <stp/>
        <stp>BDP|5180562673438214780</stp>
        <tr r="U146" s="2"/>
      </tp>
      <tp t="s">
        <v>#N/A N/A</v>
        <stp/>
        <stp>BDP|6085065359743503845</stp>
        <tr r="D236" s="2"/>
      </tp>
      <tp t="s">
        <v>#N/A N/A</v>
        <stp/>
        <stp>BDP|1828274678949980509</stp>
        <tr r="F60" s="2"/>
      </tp>
      <tp t="s">
        <v>#N/A N/A</v>
        <stp/>
        <stp>BDP|6211302415609108584</stp>
        <tr r="G227" s="2"/>
      </tp>
      <tp t="s">
        <v>#N/A N/A</v>
        <stp/>
        <stp>BDP|1939262517513216944</stp>
        <tr r="F117" s="2"/>
      </tp>
      <tp t="s">
        <v>#N/A N/A</v>
        <stp/>
        <stp>BDP|3808005466349268420</stp>
        <tr r="P77" s="2"/>
      </tp>
      <tp t="s">
        <v>#N/A N/A</v>
        <stp/>
        <stp>BDP|2541964279311345573</stp>
        <tr r="B222" s="2"/>
      </tp>
      <tp t="s">
        <v>#N/A N/A</v>
        <stp/>
        <stp>BDP|6074706681279849870</stp>
        <tr r="B166" s="2"/>
      </tp>
      <tp t="s">
        <v>#N/A N/A</v>
        <stp/>
        <stp>BDP|6864372291923188708</stp>
        <tr r="N106" s="2"/>
      </tp>
      <tp t="s">
        <v>#N/A N/A</v>
        <stp/>
        <stp>BDP|9511918273299951612</stp>
        <tr r="Z82" s="2"/>
      </tp>
      <tp t="s">
        <v>#N/A N/A</v>
        <stp/>
        <stp>BDP|4707986616781161579</stp>
        <tr r="X238" s="2"/>
      </tp>
      <tp t="s">
        <v>#N/A N/A</v>
        <stp/>
        <stp>BDP|5271828442344440599</stp>
        <tr r="U137" s="2"/>
      </tp>
      <tp t="s">
        <v>#N/A N/A</v>
        <stp/>
        <stp>BDP|6909574556489012772</stp>
        <tr r="G22" s="2"/>
      </tp>
      <tp t="s">
        <v>#N/A N/A</v>
        <stp/>
        <stp>BDP|5982886580875966872</stp>
        <tr r="O90" s="2"/>
      </tp>
      <tp t="s">
        <v>#N/A N/A</v>
        <stp/>
        <stp>BDP|7252066458612109827</stp>
        <tr r="Z95" s="2"/>
      </tp>
      <tp t="s">
        <v>#N/A N/A</v>
        <stp/>
        <stp>BDP|6017820589617638926</stp>
        <tr r="L152" s="2"/>
      </tp>
      <tp t="s">
        <v>#N/A N/A</v>
        <stp/>
        <stp>BDP|2091383636742488850</stp>
        <tr r="AC104" s="2"/>
      </tp>
      <tp t="s">
        <v>#N/A N/A</v>
        <stp/>
        <stp>BDP|2962922477286096206</stp>
        <tr r="U38" s="2"/>
      </tp>
      <tp t="s">
        <v>#N/A N/A</v>
        <stp/>
        <stp>BDP|9164163356546827358</stp>
        <tr r="V204" s="2"/>
      </tp>
      <tp t="s">
        <v>#N/A N/A</v>
        <stp/>
        <stp>BDP|9932458611197206330</stp>
        <tr r="C105" s="2"/>
      </tp>
      <tp t="s">
        <v>#N/A N/A</v>
        <stp/>
        <stp>BDP|2526373229613784802</stp>
        <tr r="AB39" s="2"/>
      </tp>
      <tp t="s">
        <v>#N/A N/A</v>
        <stp/>
        <stp>BDP|3530114384033882140</stp>
        <tr r="P143" s="2"/>
      </tp>
      <tp t="s">
        <v>#N/A N/A</v>
        <stp/>
        <stp>BDP|8155684845400223228</stp>
        <tr r="D119" s="2"/>
      </tp>
      <tp t="s">
        <v>#N/A N/A</v>
        <stp/>
        <stp>BDP|2789201788602192226</stp>
        <tr r="F76" s="2"/>
      </tp>
      <tp t="s">
        <v>#N/A N/A</v>
        <stp/>
        <stp>BDP|9693135114981938045</stp>
        <tr r="Y34" s="2"/>
      </tp>
      <tp t="s">
        <v>#N/A N/A</v>
        <stp/>
        <stp>BDP|2896842348574189293</stp>
        <tr r="D224" s="2"/>
      </tp>
      <tp t="s">
        <v>#N/A N/A</v>
        <stp/>
        <stp>BDP|9060706363245640592</stp>
        <tr r="O47" s="2"/>
      </tp>
      <tp t="s">
        <v>#N/A N/A</v>
        <stp/>
        <stp>BDP|9936368108561998323</stp>
        <tr r="B61" s="2"/>
      </tp>
      <tp t="s">
        <v>#N/A N/A</v>
        <stp/>
        <stp>BDP|8316690337480445548</stp>
        <tr r="K88" s="2"/>
        <tr r="R88" s="2"/>
        <tr r="W88" s="2"/>
      </tp>
      <tp t="s">
        <v>#N/A N/A</v>
        <stp/>
        <stp>BDP|6100949159895811798</stp>
        <tr r="X72" s="2"/>
      </tp>
      <tp t="s">
        <v>#N/A N/A</v>
        <stp/>
        <stp>BDP|2460860285219917338</stp>
        <tr r="H102" s="2"/>
      </tp>
      <tp t="s">
        <v>#N/A N/A</v>
        <stp/>
        <stp>BDP|7131973389569394713</stp>
        <tr r="Y53" s="2"/>
      </tp>
      <tp t="s">
        <v>#N/A N/A</v>
        <stp/>
        <stp>BDP|2804123737308271028</stp>
        <tr r="O79" s="2"/>
      </tp>
      <tp t="s">
        <v>#N/A N/A</v>
        <stp/>
        <stp>BDP|3765593005009102776</stp>
        <tr r="D75" s="2"/>
      </tp>
      <tp t="s">
        <v>#N/A N/A</v>
        <stp/>
        <stp>BDP|6710877256375345683</stp>
        <tr r="M9" s="2"/>
      </tp>
      <tp t="s">
        <v>#N/A N/A</v>
        <stp/>
        <stp>BDP|8058547188085671872</stp>
        <tr r="G182" s="2"/>
      </tp>
      <tp t="s">
        <v>#N/A N/A</v>
        <stp/>
        <stp>BDP|4420976056202378248</stp>
        <tr r="Q148" s="2"/>
      </tp>
      <tp t="s">
        <v>#N/A N/A</v>
        <stp/>
        <stp>BDP|8052712513744297221</stp>
        <tr r="L27" s="2"/>
      </tp>
      <tp t="s">
        <v>#N/A N/A</v>
        <stp/>
        <stp>BDP|3924866367062975739</stp>
        <tr r="L168" s="2"/>
      </tp>
      <tp t="s">
        <v>#N/A N/A</v>
        <stp/>
        <stp>BDP|2418241893449331828</stp>
        <tr r="B143" s="2"/>
      </tp>
      <tp t="s">
        <v>#N/A N/A</v>
        <stp/>
        <stp>BDP|5138881837226431082</stp>
        <tr r="V124" s="2"/>
      </tp>
      <tp t="s">
        <v>#N/A N/A</v>
        <stp/>
        <stp>BDP|3139454846082437945</stp>
        <tr r="S63" s="2"/>
      </tp>
      <tp t="s">
        <v>#N/A N/A</v>
        <stp/>
        <stp>BDP|3164368285878866880</stp>
        <tr r="O202" s="2"/>
      </tp>
      <tp t="s">
        <v>#N/A N/A</v>
        <stp/>
        <stp>BDP|1933626183191940630</stp>
        <tr r="M124" s="2"/>
      </tp>
      <tp t="s">
        <v>#N/A N/A</v>
        <stp/>
        <stp>BDP|9021068567736760148</stp>
        <tr r="AE206" s="2"/>
      </tp>
      <tp t="s">
        <v>#N/A N/A</v>
        <stp/>
        <stp>BDP|9667317370607102240</stp>
        <tr r="AD102" s="2"/>
      </tp>
      <tp t="s">
        <v>#N/A N/A</v>
        <stp/>
        <stp>BDP|6474452794235651614</stp>
        <tr r="E160" s="2"/>
      </tp>
      <tp t="s">
        <v>#N/A N/A</v>
        <stp/>
        <stp>BDP|1300753135879811481</stp>
        <tr r="U178" s="2"/>
      </tp>
      <tp t="s">
        <v>#N/A N/A</v>
        <stp/>
        <stp>BDP|5001605572394641879</stp>
        <tr r="T96" s="2"/>
      </tp>
      <tp t="s">
        <v>#N/A N/A</v>
        <stp/>
        <stp>BDP|9125015629367313499</stp>
        <tr r="X38" s="2"/>
      </tp>
      <tp t="s">
        <v>#N/A N/A</v>
        <stp/>
        <stp>BDP|1083633065200348963</stp>
        <tr r="M148" s="2"/>
      </tp>
      <tp t="s">
        <v>#N/A N/A</v>
        <stp/>
        <stp>BDP|9608400860482210174</stp>
        <tr r="E40" s="2"/>
      </tp>
      <tp t="s">
        <v>#N/A N/A</v>
        <stp/>
        <stp>BDP|9744003850332478603</stp>
        <tr r="P100" s="2"/>
      </tp>
      <tp t="s">
        <v>#N/A N/A</v>
        <stp/>
        <stp>BDP|2500232600468210074</stp>
        <tr r="AC59" s="2"/>
      </tp>
      <tp t="s">
        <v>#N/A N/A</v>
        <stp/>
        <stp>BDP|6407876607527791109</stp>
        <tr r="V53" s="2"/>
      </tp>
      <tp t="s">
        <v>#N/A N/A</v>
        <stp/>
        <stp>BDP|8972622035735513080</stp>
        <tr r="X66" s="2"/>
      </tp>
      <tp t="s">
        <v>#N/A N/A</v>
        <stp/>
        <stp>BDP|8532337497368309214</stp>
        <tr r="U73" s="2"/>
      </tp>
      <tp t="s">
        <v>#N/A N/A</v>
        <stp/>
        <stp>BDP|1135160082326201642</stp>
        <tr r="B226" s="2"/>
      </tp>
      <tp t="s">
        <v>#N/A N/A</v>
        <stp/>
        <stp>BDP|8422113165435295218</stp>
        <tr r="N168" s="2"/>
      </tp>
      <tp t="s">
        <v>#N/A N/A</v>
        <stp/>
        <stp>BDP|3399977975151213409</stp>
        <tr r="U225" s="2"/>
      </tp>
      <tp t="s">
        <v>#N/A N/A</v>
        <stp/>
        <stp>BDP|8224411841092943280</stp>
        <tr r="C35" s="2"/>
      </tp>
      <tp t="s">
        <v>#N/A N/A</v>
        <stp/>
        <stp>BDP|6578267029107005996</stp>
        <tr r="C170" s="2"/>
      </tp>
      <tp t="s">
        <v>#N/A N/A</v>
        <stp/>
        <stp>BDP|2311057796135560667</stp>
        <tr r="I94" s="2"/>
      </tp>
      <tp t="s">
        <v>#N/A N/A</v>
        <stp/>
        <stp>BDP|1011741775680041924</stp>
        <tr r="E205" s="2"/>
      </tp>
      <tp t="s">
        <v>#N/A N/A</v>
        <stp/>
        <stp>BDP|3633257724172581924</stp>
        <tr r="Z233" s="2"/>
      </tp>
      <tp t="s">
        <v>#N/A N/A</v>
        <stp/>
        <stp>BDP|5328646781595200649</stp>
        <tr r="O172" s="2"/>
      </tp>
      <tp t="s">
        <v>#N/A N/A</v>
        <stp/>
        <stp>BDP|9079813566658409739</stp>
        <tr r="L18" s="2"/>
      </tp>
      <tp t="s">
        <v>#N/A N/A</v>
        <stp/>
        <stp>BDP|9552963239459965239</stp>
        <tr r="F93" s="2"/>
      </tp>
      <tp t="s">
        <v>#N/A N/A</v>
        <stp/>
        <stp>BDP|1443325853618421718</stp>
        <tr r="X181" s="2"/>
      </tp>
      <tp t="s">
        <v>#N/A N/A</v>
        <stp/>
        <stp>BDP|5984592082379654943</stp>
        <tr r="X123" s="2"/>
      </tp>
      <tp t="s">
        <v>#N/A N/A</v>
        <stp/>
        <stp>BDP|5023944239516958148</stp>
        <tr r="B217" s="2"/>
      </tp>
      <tp t="s">
        <v>#N/A N/A</v>
        <stp/>
        <stp>BDP|9859227178694269003</stp>
        <tr r="P27" s="2"/>
      </tp>
      <tp t="s">
        <v>#N/A N/A</v>
        <stp/>
        <stp>BDP|4846721373508066495</stp>
        <tr r="I106" s="2"/>
      </tp>
      <tp t="s">
        <v>#N/A N/A</v>
        <stp/>
        <stp>BDP|8613011856832181703</stp>
        <tr r="P59" s="2"/>
      </tp>
      <tp t="s">
        <v>#N/A N/A</v>
        <stp/>
        <stp>BDP|7851091794266530000</stp>
        <tr r="AD228" s="2"/>
      </tp>
      <tp t="s">
        <v>#N/A N/A</v>
        <stp/>
        <stp>BDP|4937960868015506626</stp>
        <tr r="Z134" s="2"/>
      </tp>
      <tp t="s">
        <v>#N/A N/A</v>
        <stp/>
        <stp>BDP|8083450030012695535</stp>
        <tr r="M191" s="2"/>
      </tp>
      <tp t="s">
        <v>#N/A N/A</v>
        <stp/>
        <stp>BDP|8311872517800754949</stp>
        <tr r="Z63" s="2"/>
      </tp>
      <tp t="s">
        <v>#N/A N/A</v>
        <stp/>
        <stp>BDP|9424221053985674324</stp>
        <tr r="U23" s="2"/>
      </tp>
      <tp t="s">
        <v>#N/A N/A</v>
        <stp/>
        <stp>BDP|5656810057616620679</stp>
        <tr r="X145" s="2"/>
      </tp>
      <tp t="s">
        <v>#N/A N/A</v>
        <stp/>
        <stp>BDP|3237583718237196827</stp>
        <tr r="K2" s="2"/>
        <tr r="R2" s="2"/>
        <tr r="W2" s="2"/>
      </tp>
      <tp t="s">
        <v>#N/A N/A</v>
        <stp/>
        <stp>BDP|9630273355232719422</stp>
        <tr r="B187" s="2"/>
      </tp>
      <tp t="s">
        <v>#N/A N/A</v>
        <stp/>
        <stp>BDP|7239007919227804926</stp>
        <tr r="T158" s="2"/>
      </tp>
      <tp t="s">
        <v>#N/A N/A</v>
        <stp/>
        <stp>BDP|3227378899033514288</stp>
        <tr r="H62" s="2"/>
      </tp>
      <tp t="s">
        <v>#N/A N/A</v>
        <stp/>
        <stp>BDP|2727620350798335173</stp>
        <tr r="L14" s="2"/>
      </tp>
      <tp t="s">
        <v>#N/A N/A</v>
        <stp/>
        <stp>BDP|4343533553678743451</stp>
        <tr r="X138" s="2"/>
      </tp>
      <tp t="s">
        <v>#N/A N/A</v>
        <stp/>
        <stp>BDP|9644222260427440211</stp>
        <tr r="M37" s="2"/>
      </tp>
      <tp t="s">
        <v>#N/A N/A</v>
        <stp/>
        <stp>BDP|3824248439943335976</stp>
        <tr r="G221" s="2"/>
      </tp>
      <tp t="s">
        <v>#N/A N/A</v>
        <stp/>
        <stp>BDP|9279527831325432238</stp>
        <tr r="AA80" s="2"/>
      </tp>
      <tp t="s">
        <v>#N/A N/A</v>
        <stp/>
        <stp>BDP|2019955342500232739</stp>
        <tr r="Y31" s="2"/>
      </tp>
      <tp t="s">
        <v>#N/A N/A</v>
        <stp/>
        <stp>BDP|5739907290065309828</stp>
        <tr r="L220" s="2"/>
      </tp>
      <tp t="s">
        <v>#N/A N/A</v>
        <stp/>
        <stp>BDP|5306844271782154018</stp>
        <tr r="AB38" s="2"/>
      </tp>
      <tp t="s">
        <v>#N/A N/A</v>
        <stp/>
        <stp>BDP|2555260358329822455</stp>
        <tr r="Q145" s="2"/>
      </tp>
      <tp t="s">
        <v>#N/A N/A</v>
        <stp/>
        <stp>BDP|1184848667201553617</stp>
        <tr r="AC124" s="2"/>
      </tp>
      <tp t="s">
        <v>#N/A N/A</v>
        <stp/>
        <stp>BDP|9866465556996695683</stp>
        <tr r="G230" s="2"/>
      </tp>
      <tp t="s">
        <v>#N/A N/A</v>
        <stp/>
        <stp>BDP|3446223286231308057</stp>
        <tr r="X41" s="2"/>
      </tp>
      <tp t="s">
        <v>#N/A N/A</v>
        <stp/>
        <stp>BDP|7088677850315679979</stp>
        <tr r="O187" s="2"/>
      </tp>
      <tp t="s">
        <v>#N/A N/A</v>
        <stp/>
        <stp>BDP|8778049714274699571</stp>
        <tr r="AB157" s="2"/>
      </tp>
      <tp t="s">
        <v>#N/A N/A</v>
        <stp/>
        <stp>BDP|4285707348388495782</stp>
        <tr r="N92" s="2"/>
      </tp>
      <tp t="s">
        <v>#N/A N/A</v>
        <stp/>
        <stp>BDP|1383501493272758704</stp>
        <tr r="Q12" s="2"/>
      </tp>
      <tp t="s">
        <v>#N/A N/A</v>
        <stp/>
        <stp>BDP|1082995553355447097</stp>
        <tr r="K171" s="2"/>
        <tr r="R171" s="2"/>
        <tr r="W171" s="2"/>
      </tp>
      <tp t="s">
        <v>#N/A N/A</v>
        <stp/>
        <stp>BDP|5557859357711954191</stp>
        <tr r="K24" s="2"/>
        <tr r="R24" s="2"/>
        <tr r="W24" s="2"/>
      </tp>
      <tp t="s">
        <v>#N/A N/A</v>
        <stp/>
        <stp>BDP|8647851384895652566</stp>
        <tr r="B81" s="2"/>
      </tp>
      <tp t="s">
        <v>#N/A N/A</v>
        <stp/>
        <stp>BDP|6181426937118393108</stp>
        <tr r="K148" s="2"/>
        <tr r="R148" s="2"/>
        <tr r="W148" s="2"/>
      </tp>
      <tp t="s">
        <v>#N/A N/A</v>
        <stp/>
        <stp>BDP|5563763994335752672</stp>
        <tr r="O7" s="2"/>
      </tp>
      <tp t="s">
        <v>#N/A N/A</v>
        <stp/>
        <stp>BDP|5485628149939821608</stp>
        <tr r="I151" s="2"/>
      </tp>
      <tp t="s">
        <v>#N/A N/A</v>
        <stp/>
        <stp>BDP|1944973938606467554</stp>
        <tr r="X188" s="2"/>
      </tp>
      <tp t="s">
        <v>#N/A N/A</v>
        <stp/>
        <stp>BDP|4332145383440466570</stp>
        <tr r="I144" s="2"/>
      </tp>
      <tp t="s">
        <v>#N/A N/A</v>
        <stp/>
        <stp>BDP|3184249210340249802</stp>
        <tr r="L51" s="2"/>
      </tp>
      <tp t="s">
        <v>#N/A N/A</v>
        <stp/>
        <stp>BDP|2226931345267322004</stp>
        <tr r="B153" s="2"/>
      </tp>
      <tp t="s">
        <v>#N/A N/A</v>
        <stp/>
        <stp>BDP|3387230323469432209</stp>
        <tr r="U220" s="2"/>
      </tp>
      <tp t="s">
        <v>#N/A N/A</v>
        <stp/>
        <stp>BDP|2088552267939544001</stp>
        <tr r="D130" s="2"/>
      </tp>
      <tp t="s">
        <v>#N/A N/A</v>
        <stp/>
        <stp>BDP|3629082525259786083</stp>
        <tr r="Q228" s="2"/>
      </tp>
      <tp t="s">
        <v>#N/A N/A</v>
        <stp/>
        <stp>BDP|9018678572086417650</stp>
        <tr r="X51" s="2"/>
      </tp>
      <tp t="s">
        <v>#N/A N/A</v>
        <stp/>
        <stp>BDP|7489734781095385519</stp>
        <tr r="U94" s="2"/>
      </tp>
      <tp t="s">
        <v>#N/A N/A</v>
        <stp/>
        <stp>BDP|5928933130434616389</stp>
        <tr r="P97" s="2"/>
      </tp>
      <tp t="s">
        <v>#N/A N/A</v>
        <stp/>
        <stp>BDP|5424760820629737119</stp>
        <tr r="AA154" s="2"/>
      </tp>
      <tp t="s">
        <v>#N/A N/A</v>
        <stp/>
        <stp>BDP|3520404393385116335</stp>
        <tr r="L227" s="2"/>
      </tp>
      <tp t="s">
        <v>#N/A N/A</v>
        <stp/>
        <stp>BDP|3289309846229457546</stp>
        <tr r="P78" s="2"/>
      </tp>
      <tp t="s">
        <v>#N/A N/A</v>
        <stp/>
        <stp>BDP|5260215944192746945</stp>
        <tr r="F209" s="2"/>
      </tp>
      <tp t="s">
        <v>#N/A N/A</v>
        <stp/>
        <stp>BDP|3834885907192349100</stp>
        <tr r="AC166" s="2"/>
      </tp>
      <tp t="s">
        <v>#N/A N/A</v>
        <stp/>
        <stp>BDP|6009125234114075820</stp>
        <tr r="H227" s="2"/>
      </tp>
      <tp t="s">
        <v>#N/A N/A</v>
        <stp/>
        <stp>BDP|6216233485052264626</stp>
        <tr r="N215" s="2"/>
      </tp>
      <tp t="s">
        <v>#N/A N/A</v>
        <stp/>
        <stp>BDP|7292598218139342241</stp>
        <tr r="AA20" s="2"/>
      </tp>
      <tp t="s">
        <v>#N/A N/A</v>
        <stp/>
        <stp>BDP|3926836859405041370</stp>
        <tr r="E36" s="2"/>
      </tp>
      <tp t="s">
        <v>#N/A N/A</v>
        <stp/>
        <stp>BDP|9700679278685825549</stp>
        <tr r="Z231" s="2"/>
      </tp>
      <tp t="s">
        <v>#N/A N/A</v>
        <stp/>
        <stp>BDP|6406451688266958441</stp>
        <tr r="K81" s="2"/>
        <tr r="R81" s="2"/>
        <tr r="W81" s="2"/>
      </tp>
      <tp t="s">
        <v>#N/A N/A</v>
        <stp/>
        <stp>BDP|3172132001143553927</stp>
        <tr r="T230" s="2"/>
      </tp>
      <tp t="s">
        <v>#N/A N/A</v>
        <stp/>
        <stp>BDP|3713622658910137890</stp>
        <tr r="L94" s="2"/>
      </tp>
      <tp t="s">
        <v>#N/A N/A</v>
        <stp/>
        <stp>BDP|9141349820173358331</stp>
        <tr r="L72" s="2"/>
      </tp>
      <tp t="s">
        <v>#N/A N/A</v>
        <stp/>
        <stp>BDP|8103960698901925133</stp>
        <tr r="X224" s="2"/>
      </tp>
      <tp t="s">
        <v>#N/A N/A</v>
        <stp/>
        <stp>BDP|9396631306097024032</stp>
        <tr r="M170" s="2"/>
      </tp>
      <tp t="s">
        <v>#N/A N/A</v>
        <stp/>
        <stp>BDP|8017175773612312428</stp>
        <tr r="I33" s="2"/>
      </tp>
      <tp t="s">
        <v>#N/A N/A</v>
        <stp/>
        <stp>BDP|2912929420114824561</stp>
        <tr r="K73" s="2"/>
        <tr r="R73" s="2"/>
        <tr r="W73" s="2"/>
      </tp>
      <tp t="s">
        <v>#N/A N/A</v>
        <stp/>
        <stp>BDP|3214555854973442823</stp>
        <tr r="AB197" s="2"/>
      </tp>
      <tp t="s">
        <v>#N/A N/A</v>
        <stp/>
        <stp>BDP|8456157349821941441</stp>
        <tr r="U2" s="2"/>
      </tp>
      <tp t="s">
        <v>#N/A N/A</v>
        <stp/>
        <stp>BDP|5381760515248510304</stp>
        <tr r="N33" s="2"/>
      </tp>
      <tp t="s">
        <v>#N/A N/A</v>
        <stp/>
        <stp>BDP|7186538239998691183</stp>
        <tr r="AB60" s="2"/>
      </tp>
      <tp t="s">
        <v>#N/A N/A</v>
        <stp/>
        <stp>BDP|1490335583880763261</stp>
        <tr r="O199" s="2"/>
      </tp>
      <tp t="s">
        <v>#N/A N/A</v>
        <stp/>
        <stp>BDP|1616839808275890401</stp>
        <tr r="F152" s="2"/>
      </tp>
      <tp t="s">
        <v>#N/A N/A</v>
        <stp/>
        <stp>BDP|3784434040038183301</stp>
        <tr r="AD13" s="2"/>
      </tp>
      <tp t="s">
        <v>#N/A N/A</v>
        <stp/>
        <stp>BDP|5727406925692534925</stp>
        <tr r="S128" s="2"/>
      </tp>
      <tp t="s">
        <v>#N/A N/A</v>
        <stp/>
        <stp>BDP|2592065741306305848</stp>
        <tr r="U63" s="2"/>
      </tp>
      <tp t="s">
        <v>#N/A N/A</v>
        <stp/>
        <stp>BDP|4954271235119865465</stp>
        <tr r="AE26" s="2"/>
      </tp>
      <tp t="s">
        <v>#N/A N/A</v>
        <stp/>
        <stp>BDP|2125991929525959529</stp>
        <tr r="Z207" s="2"/>
      </tp>
      <tp t="s">
        <v>#N/A N/A</v>
        <stp/>
        <stp>BDP|2707493147728585360</stp>
        <tr r="AB9" s="2"/>
      </tp>
      <tp t="s">
        <v>#N/A N/A</v>
        <stp/>
        <stp>BDP|9037713803063992417</stp>
        <tr r="F192" s="2"/>
      </tp>
      <tp t="s">
        <v>#N/A N/A</v>
        <stp/>
        <stp>BDP|3870271087593624341</stp>
        <tr r="Y167" s="2"/>
      </tp>
      <tp t="s">
        <v>#N/A N/A</v>
        <stp/>
        <stp>BDP|6637560895517772483</stp>
        <tr r="M151" s="2"/>
      </tp>
      <tp t="s">
        <v>#N/A N/A</v>
        <stp/>
        <stp>BDP|3461989503926558501</stp>
        <tr r="G156" s="2"/>
      </tp>
      <tp t="s">
        <v>#N/A N/A</v>
        <stp/>
        <stp>BDP|5559051858209646046</stp>
        <tr r="AB55" s="2"/>
      </tp>
      <tp t="s">
        <v>#N/A N/A</v>
        <stp/>
        <stp>BDP|9879329627885107461</stp>
        <tr r="H68" s="2"/>
      </tp>
      <tp t="s">
        <v>#N/A N/A</v>
        <stp/>
        <stp>BDP|8445196146596652275</stp>
        <tr r="H212" s="2"/>
      </tp>
      <tp t="s">
        <v>#N/A N/A</v>
        <stp/>
        <stp>BDP|5137390881534214310</stp>
        <tr r="K124" s="2"/>
        <tr r="R124" s="2"/>
        <tr r="W124" s="2"/>
      </tp>
      <tp t="s">
        <v>#N/A N/A</v>
        <stp/>
        <stp>BDP|1709497483467349341</stp>
        <tr r="Y103" s="2"/>
      </tp>
      <tp t="s">
        <v>#N/A N/A</v>
        <stp/>
        <stp>BDP|9193785875395338545</stp>
        <tr r="S72" s="2"/>
      </tp>
      <tp t="s">
        <v>#N/A N/A</v>
        <stp/>
        <stp>BDP|1893616706776788839</stp>
        <tr r="AB34" s="2"/>
      </tp>
      <tp t="s">
        <v>#N/A N/A</v>
        <stp/>
        <stp>BDP|2331415938195679978</stp>
        <tr r="O157" s="2"/>
      </tp>
      <tp t="s">
        <v>#N/A N/A</v>
        <stp/>
        <stp>BDP|3678664899785553079</stp>
        <tr r="O136" s="2"/>
      </tp>
      <tp t="s">
        <v>#N/A N/A</v>
        <stp/>
        <stp>BDP|5549921706574232188</stp>
        <tr r="Z37" s="2"/>
      </tp>
      <tp t="s">
        <v>#N/A N/A</v>
        <stp/>
        <stp>BDP|4526924120716428089</stp>
        <tr r="K123" s="2"/>
        <tr r="R123" s="2"/>
        <tr r="W123" s="2"/>
      </tp>
      <tp t="s">
        <v>#N/A N/A</v>
        <stp/>
        <stp>BDP|1157653848529102369</stp>
        <tr r="Q117" s="2"/>
      </tp>
      <tp t="s">
        <v>#N/A N/A</v>
        <stp/>
        <stp>BDP|5107309797575496398</stp>
        <tr r="H95" s="2"/>
      </tp>
      <tp t="s">
        <v>#N/A N/A</v>
        <stp/>
        <stp>BDP|6899561655106224927</stp>
        <tr r="D54" s="2"/>
      </tp>
      <tp t="s">
        <v>#N/A N/A</v>
        <stp/>
        <stp>BDP|4911454088596999767</stp>
        <tr r="AD173" s="2"/>
      </tp>
      <tp t="s">
        <v>#N/A N/A</v>
        <stp/>
        <stp>BDP|7607994912747457128</stp>
        <tr r="H67" s="2"/>
      </tp>
      <tp t="s">
        <v>#N/A N/A</v>
        <stp/>
        <stp>BDP|3369369404159267089</stp>
        <tr r="C66" s="2"/>
      </tp>
      <tp t="s">
        <v>#N/A N/A</v>
        <stp/>
        <stp>BDP|9545784474689216907</stp>
        <tr r="Y29" s="2"/>
      </tp>
      <tp t="s">
        <v>#N/A N/A</v>
        <stp/>
        <stp>BDP|1585273434670413998</stp>
        <tr r="M208" s="2"/>
      </tp>
      <tp t="s">
        <v>#N/A N/A</v>
        <stp/>
        <stp>BDP|7138403140467245984</stp>
        <tr r="T223" s="2"/>
      </tp>
      <tp t="s">
        <v>#N/A N/A</v>
        <stp/>
        <stp>BDP|5693878020681975737</stp>
        <tr r="Q26" s="2"/>
      </tp>
      <tp t="s">
        <v>#N/A N/A</v>
        <stp/>
        <stp>BDP|2998106982524436670</stp>
        <tr r="B144" s="2"/>
      </tp>
      <tp t="s">
        <v>#N/A N/A</v>
        <stp/>
        <stp>BDP|2210311492251120089</stp>
        <tr r="I45" s="2"/>
      </tp>
      <tp t="s">
        <v>#N/A N/A</v>
        <stp/>
        <stp>BDP|9468114788841448817</stp>
        <tr r="C49" s="2"/>
      </tp>
      <tp t="s">
        <v>#N/A N/A</v>
        <stp/>
        <stp>BDP|7607881003627367169</stp>
        <tr r="AC80" s="2"/>
      </tp>
      <tp t="s">
        <v>#N/A N/A</v>
        <stp/>
        <stp>BDP|1711465642418283093</stp>
        <tr r="C125" s="2"/>
      </tp>
      <tp t="s">
        <v>#N/A N/A</v>
        <stp/>
        <stp>BDP|7916513193003216118</stp>
        <tr r="K182" s="2"/>
        <tr r="R182" s="2"/>
        <tr r="W182" s="2"/>
      </tp>
      <tp t="s">
        <v>#N/A N/A</v>
        <stp/>
        <stp>BDP|8489119869787790135</stp>
        <tr r="N103" s="2"/>
      </tp>
      <tp t="s">
        <v>#N/A N/A</v>
        <stp/>
        <stp>BDP|8941747403146418029</stp>
        <tr r="AD53" s="2"/>
      </tp>
      <tp t="s">
        <v>#N/A N/A</v>
        <stp/>
        <stp>BDP|9016497101884518053</stp>
        <tr r="T43" s="2"/>
      </tp>
      <tp t="s">
        <v>#N/A N/A</v>
        <stp/>
        <stp>BDP|8602428160031424284</stp>
        <tr r="I234" s="2"/>
      </tp>
      <tp t="s">
        <v>#N/A N/A</v>
        <stp/>
        <stp>BDP|8195438824894661381</stp>
        <tr r="E120" s="2"/>
      </tp>
      <tp t="s">
        <v>#N/A N/A</v>
        <stp/>
        <stp>BDP|8568824542598946542</stp>
        <tr r="P30" s="2"/>
      </tp>
      <tp t="s">
        <v>#N/A N/A</v>
        <stp/>
        <stp>BDP|2093376926358046299</stp>
        <tr r="AD34" s="2"/>
      </tp>
      <tp t="s">
        <v>#N/A N/A</v>
        <stp/>
        <stp>BDP|5033286581593334520</stp>
        <tr r="B151" s="2"/>
      </tp>
      <tp t="s">
        <v>#N/A N/A</v>
        <stp/>
        <stp>BDP|2875994573156238383</stp>
        <tr r="I32" s="2"/>
      </tp>
      <tp t="s">
        <v>#N/A N/A</v>
        <stp/>
        <stp>BDP|4696630899014149658</stp>
        <tr r="D70" s="2"/>
      </tp>
      <tp t="s">
        <v>#N/A N/A</v>
        <stp/>
        <stp>BDP|1878810473603617444</stp>
        <tr r="X109" s="2"/>
      </tp>
      <tp t="s">
        <v>#N/A N/A</v>
        <stp/>
        <stp>BDP|9454433653036824742</stp>
        <tr r="AD125" s="2"/>
      </tp>
      <tp t="s">
        <v>#N/A N/A</v>
        <stp/>
        <stp>BDP|7316134052623233999</stp>
        <tr r="I93" s="2"/>
      </tp>
      <tp t="s">
        <v>#N/A N/A</v>
        <stp/>
        <stp>BDP|2383173836200229992</stp>
        <tr r="Z9" s="2"/>
      </tp>
      <tp t="s">
        <v>#N/A N/A</v>
        <stp/>
        <stp>BDP|8227609737955983152</stp>
        <tr r="D191" s="2"/>
      </tp>
      <tp t="s">
        <v>#N/A N/A</v>
        <stp/>
        <stp>BDP|9980604733206744340</stp>
        <tr r="F58" s="2"/>
      </tp>
      <tp t="s">
        <v>#N/A N/A</v>
        <stp/>
        <stp>BDP|1311498336367348864</stp>
        <tr r="H104" s="2"/>
      </tp>
      <tp t="s">
        <v>#N/A N/A</v>
        <stp/>
        <stp>BDP|9414705593049806769</stp>
        <tr r="Z40" s="2"/>
      </tp>
      <tp t="s">
        <v>#N/A N/A</v>
        <stp/>
        <stp>BDP|3263212707971403991</stp>
        <tr r="D80" s="2"/>
      </tp>
      <tp t="s">
        <v>#N/A N/A</v>
        <stp/>
        <stp>BDP|5270992442241907097</stp>
        <tr r="M61" s="2"/>
      </tp>
      <tp t="s">
        <v>#N/A N/A</v>
        <stp/>
        <stp>BDP|2911722009529232595</stp>
        <tr r="D166" s="2"/>
      </tp>
      <tp t="s">
        <v>#N/A N/A</v>
        <stp/>
        <stp>BDP|2406980322322229251</stp>
        <tr r="T117" s="2"/>
      </tp>
      <tp t="s">
        <v>#N/A N/A</v>
        <stp/>
        <stp>BDP|4245393789124299298</stp>
        <tr r="L21" s="2"/>
      </tp>
      <tp t="s">
        <v>#N/A N/A</v>
        <stp/>
        <stp>BDP|7804484191806880502</stp>
        <tr r="G175" s="2"/>
      </tp>
      <tp t="s">
        <v>#N/A N/A</v>
        <stp/>
        <stp>BDP|9454703867004961548</stp>
        <tr r="M54" s="2"/>
      </tp>
      <tp t="s">
        <v>#N/A N/A</v>
        <stp/>
        <stp>BDP|2683731969763229901</stp>
        <tr r="M133" s="2"/>
      </tp>
      <tp t="s">
        <v>#N/A N/A</v>
        <stp/>
        <stp>BDP|7841125277381497976</stp>
        <tr r="X204" s="2"/>
      </tp>
      <tp t="s">
        <v>#N/A N/A</v>
        <stp/>
        <stp>BDP|3295909938275582517</stp>
        <tr r="Z183" s="2"/>
      </tp>
      <tp t="s">
        <v>#N/A N/A</v>
        <stp/>
        <stp>BDP|9350496925471035719</stp>
        <tr r="F212" s="2"/>
      </tp>
      <tp t="s">
        <v>#N/A N/A</v>
        <stp/>
        <stp>BDP|9262691388949501782</stp>
        <tr r="S6" s="2"/>
      </tp>
      <tp t="s">
        <v>#N/A N/A</v>
        <stp/>
        <stp>BDP|8780751019620390769</stp>
        <tr r="K176" s="2"/>
        <tr r="R176" s="2"/>
        <tr r="W176" s="2"/>
      </tp>
      <tp t="s">
        <v>#N/A N/A</v>
        <stp/>
        <stp>BDP|8616099033692462066</stp>
        <tr r="M122" s="2"/>
      </tp>
      <tp t="s">
        <v>#N/A N/A</v>
        <stp/>
        <stp>BDP|6874130807969060726</stp>
        <tr r="O86" s="2"/>
      </tp>
      <tp t="s">
        <v>#N/A N/A</v>
        <stp/>
        <stp>BDP|5327416330999980250</stp>
        <tr r="F32" s="2"/>
      </tp>
      <tp t="s">
        <v>#N/A N/A</v>
        <stp/>
        <stp>BDP|1458452686325047194</stp>
        <tr r="B139" s="2"/>
      </tp>
      <tp t="s">
        <v>#N/A N/A</v>
        <stp/>
        <stp>BDP|5005787325148220112</stp>
        <tr r="C216" s="2"/>
      </tp>
      <tp t="s">
        <v>#N/A N/A</v>
        <stp/>
        <stp>BDP|9174794069380604196</stp>
        <tr r="AA121" s="2"/>
      </tp>
      <tp t="s">
        <v>#N/A N/A</v>
        <stp/>
        <stp>BDP|5474429739919380236</stp>
        <tr r="U169" s="2"/>
      </tp>
      <tp t="s">
        <v>#N/A N/A</v>
        <stp/>
        <stp>BDP|9478161932486983462</stp>
        <tr r="N175" s="2"/>
      </tp>
      <tp t="s">
        <v>#N/A N/A</v>
        <stp/>
        <stp>BDP|8998820654699952590</stp>
        <tr r="K137" s="2"/>
        <tr r="R137" s="2"/>
        <tr r="W137" s="2"/>
      </tp>
      <tp t="s">
        <v>#N/A N/A</v>
        <stp/>
        <stp>BDP|9124564949441697077</stp>
        <tr r="AA12" s="2"/>
      </tp>
      <tp t="s">
        <v>#N/A N/A</v>
        <stp/>
        <stp>BDP|7615433648659761753</stp>
        <tr r="T29" s="2"/>
      </tp>
      <tp t="s">
        <v>#N/A N/A</v>
        <stp/>
        <stp>BDP|9164054659186478366</stp>
        <tr r="S163" s="2"/>
      </tp>
      <tp t="s">
        <v>#N/A N/A</v>
        <stp/>
        <stp>BDP|4440564250199873453</stp>
        <tr r="E41" s="2"/>
      </tp>
      <tp t="s">
        <v>#N/A N/A</v>
        <stp/>
        <stp>BDP|5246822888254153864</stp>
        <tr r="I134" s="2"/>
      </tp>
      <tp t="s">
        <v>#N/A N/A</v>
        <stp/>
        <stp>BDP|3580023141407886910</stp>
        <tr r="Y115" s="2"/>
      </tp>
      <tp t="s">
        <v>#N/A N/A</v>
        <stp/>
        <stp>BDP|9313095226490048232</stp>
        <tr r="U69" s="2"/>
      </tp>
      <tp t="s">
        <v>#N/A N/A</v>
        <stp/>
        <stp>BDP|2544797611764799960</stp>
        <tr r="K130" s="2"/>
        <tr r="R130" s="2"/>
        <tr r="W130" s="2"/>
      </tp>
      <tp t="s">
        <v>#N/A N/A</v>
        <stp/>
        <stp>BDP|4910558397196660713</stp>
        <tr r="G87" s="2"/>
      </tp>
      <tp t="s">
        <v>#N/A N/A</v>
        <stp/>
        <stp>BDP|5905160175128580235</stp>
        <tr r="M129" s="2"/>
      </tp>
      <tp t="s">
        <v>#N/A N/A</v>
        <stp/>
        <stp>BDP|3156597370098152059</stp>
        <tr r="AD195" s="2"/>
      </tp>
      <tp t="s">
        <v>#N/A N/A</v>
        <stp/>
        <stp>BDP|9000016594218178182</stp>
        <tr r="E101" s="2"/>
      </tp>
      <tp t="s">
        <v>#N/A N/A</v>
        <stp/>
        <stp>BDP|1285988161773741400</stp>
        <tr r="E115" s="2"/>
      </tp>
      <tp t="s">
        <v>#N/A N/A</v>
        <stp/>
        <stp>BDP|6165338204635320998</stp>
        <tr r="O180" s="2"/>
      </tp>
      <tp t="s">
        <v>#N/A N/A</v>
        <stp/>
        <stp>BDP|3356491620178191479</stp>
        <tr r="AE28" s="2"/>
      </tp>
      <tp t="s">
        <v>#N/A N/A</v>
        <stp/>
        <stp>BDP|8965288869006433308</stp>
        <tr r="C90" s="2"/>
      </tp>
      <tp t="s">
        <v>#N/A N/A</v>
        <stp/>
        <stp>BDP|9336141268720397708</stp>
        <tr r="AE145" s="2"/>
      </tp>
      <tp t="s">
        <v>#N/A N/A</v>
        <stp/>
        <stp>BDP|8278771799109537652</stp>
        <tr r="X177" s="2"/>
      </tp>
      <tp t="s">
        <v>#N/A N/A</v>
        <stp/>
        <stp>BDP|9086509939387523119</stp>
        <tr r="P92" s="2"/>
      </tp>
      <tp t="s">
        <v>#N/A N/A</v>
        <stp/>
        <stp>BDP|8034227816813147180</stp>
        <tr r="G36" s="2"/>
      </tp>
      <tp t="s">
        <v>#N/A N/A</v>
        <stp/>
        <stp>BDP|7877926569937601682</stp>
        <tr r="N205" s="2"/>
      </tp>
      <tp t="s">
        <v>#N/A N/A</v>
        <stp/>
        <stp>BDP|7420897961931218137</stp>
        <tr r="K195" s="2"/>
        <tr r="R195" s="2"/>
        <tr r="W195" s="2"/>
      </tp>
      <tp t="s">
        <v>#N/A N/A</v>
        <stp/>
        <stp>BDP|4846391289353595502</stp>
        <tr r="Z25" s="2"/>
      </tp>
      <tp t="s">
        <v>#N/A N/A</v>
        <stp/>
        <stp>BDP|8604695445335426639</stp>
        <tr r="Q130" s="2"/>
      </tp>
      <tp t="s">
        <v>#N/A N/A</v>
        <stp/>
        <stp>BDP|6151659794046873656</stp>
        <tr r="X73" s="2"/>
      </tp>
      <tp t="s">
        <v>#N/A N/A</v>
        <stp/>
        <stp>BDP|3265987064287464279</stp>
        <tr r="L68" s="2"/>
      </tp>
      <tp t="s">
        <v>#N/A N/A</v>
        <stp/>
        <stp>BDP|8825677221043520668</stp>
        <tr r="N208" s="2"/>
      </tp>
      <tp t="s">
        <v>#N/A N/A</v>
        <stp/>
        <stp>BDP|5048311902407665884</stp>
        <tr r="AD82" s="2"/>
      </tp>
      <tp t="s">
        <v>#N/A N/A</v>
        <stp/>
        <stp>BDP|8467192589790088898</stp>
        <tr r="AA104" s="2"/>
      </tp>
      <tp t="s">
        <v>#N/A N/A</v>
        <stp/>
        <stp>BDP|5991369824714411925</stp>
        <tr r="AA65" s="2"/>
      </tp>
      <tp t="s">
        <v>#N/A N/A</v>
        <stp/>
        <stp>BDP|6989047182296602149</stp>
        <tr r="AB87" s="2"/>
      </tp>
      <tp t="s">
        <v>#N/A N/A</v>
        <stp/>
        <stp>BDP|9728914464546804977</stp>
        <tr r="AA148" s="2"/>
      </tp>
      <tp t="s">
        <v>#N/A N/A</v>
        <stp/>
        <stp>BDP|8936482403454083104</stp>
        <tr r="AC29" s="2"/>
      </tp>
      <tp t="s">
        <v>#N/A N/A</v>
        <stp/>
        <stp>BDP|5229423501688385006</stp>
        <tr r="C176" s="2"/>
      </tp>
      <tp t="s">
        <v>#N/A N/A</v>
        <stp/>
        <stp>BDP|7404831261425285566</stp>
        <tr r="K52" s="2"/>
        <tr r="R52" s="2"/>
        <tr r="W52" s="2"/>
      </tp>
      <tp t="s">
        <v>#N/A N/A</v>
        <stp/>
        <stp>BDP|5544800711373234648</stp>
        <tr r="N153" s="2"/>
      </tp>
      <tp t="s">
        <v>#N/A N/A</v>
        <stp/>
        <stp>BDP|2195344425489577371</stp>
        <tr r="C165" s="2"/>
      </tp>
      <tp t="s">
        <v>#N/A N/A</v>
        <stp/>
        <stp>BDP|4689448914419027148</stp>
        <tr r="M152" s="2"/>
      </tp>
      <tp t="s">
        <v>#N/A N/A</v>
        <stp/>
        <stp>BDP|6467526722379459127</stp>
        <tr r="I132" s="2"/>
      </tp>
      <tp t="s">
        <v>#N/A N/A</v>
        <stp/>
        <stp>BDP|5223607976125576833</stp>
        <tr r="L232" s="2"/>
      </tp>
      <tp t="s">
        <v>#N/A N/A</v>
        <stp/>
        <stp>BDP|2496747212625484845</stp>
        <tr r="AE84" s="2"/>
      </tp>
      <tp t="s">
        <v>#N/A N/A</v>
        <stp/>
        <stp>BDP|6562016563950218960</stp>
        <tr r="AE25" s="2"/>
      </tp>
      <tp t="s">
        <v>#N/A N/A</v>
        <stp/>
        <stp>BDP|5609619650947729839</stp>
        <tr r="L188" s="2"/>
      </tp>
      <tp t="s">
        <v>#N/A N/A</v>
        <stp/>
        <stp>BDP|3960548362210419987</stp>
        <tr r="S26" s="2"/>
      </tp>
      <tp t="s">
        <v>#N/A N/A</v>
        <stp/>
        <stp>BDP|7182523847177701807</stp>
        <tr r="B227" s="2"/>
      </tp>
      <tp t="s">
        <v>#N/A N/A</v>
        <stp/>
        <stp>BDP|9984623227762905660</stp>
        <tr r="F49" s="2"/>
      </tp>
      <tp t="s">
        <v>#N/A N/A</v>
        <stp/>
        <stp>BDP|6992914699818338719</stp>
        <tr r="Z116" s="2"/>
      </tp>
      <tp t="s">
        <v>#N/A N/A</v>
        <stp/>
        <stp>BDP|6587384715344287997</stp>
        <tr r="L236" s="2"/>
      </tp>
      <tp t="s">
        <v>#N/A N/A</v>
        <stp/>
        <stp>BDP|4373406563979309608</stp>
        <tr r="F13" s="2"/>
      </tp>
      <tp t="s">
        <v>#N/A N/A</v>
        <stp/>
        <stp>BDP|2036757860212009864</stp>
        <tr r="Y163" s="2"/>
      </tp>
      <tp t="s">
        <v>#N/A N/A</v>
        <stp/>
        <stp>BDP|8066693994249877767</stp>
        <tr r="F183" s="2"/>
      </tp>
      <tp t="s">
        <v>#N/A N/A</v>
        <stp/>
        <stp>BDP|9215809281555796572</stp>
        <tr r="AC128" s="2"/>
      </tp>
      <tp t="s">
        <v>#N/A N/A</v>
        <stp/>
        <stp>BDP|5198563220082622910</stp>
        <tr r="I181" s="2"/>
      </tp>
      <tp t="s">
        <v>#N/A N/A</v>
        <stp/>
        <stp>BDP|1148629102427753967</stp>
        <tr r="O224" s="2"/>
      </tp>
      <tp t="s">
        <v>#N/A N/A</v>
        <stp/>
        <stp>BDP|4998304599713770477</stp>
        <tr r="AA114" s="2"/>
      </tp>
      <tp t="s">
        <v>#N/A N/A</v>
        <stp/>
        <stp>BDP|8876399346587759103</stp>
        <tr r="AD12" s="2"/>
      </tp>
      <tp t="s">
        <v>#N/A N/A</v>
        <stp/>
        <stp>BDP|9911784866894248554</stp>
        <tr r="G102" s="2"/>
      </tp>
      <tp t="s">
        <v>#N/A N/A</v>
        <stp/>
        <stp>BDP|3591820551470236740</stp>
        <tr r="Z133" s="2"/>
      </tp>
      <tp t="s">
        <v>#N/A N/A</v>
        <stp/>
        <stp>BDP|8938306752486362186</stp>
        <tr r="S44" s="2"/>
      </tp>
      <tp t="s">
        <v>#N/A N/A</v>
        <stp/>
        <stp>BDP|1031725360080264900</stp>
        <tr r="E150" s="2"/>
      </tp>
      <tp t="s">
        <v>#N/A N/A</v>
        <stp/>
        <stp>BDP|2456470930054640851</stp>
        <tr r="F182" s="2"/>
      </tp>
      <tp t="s">
        <v>#N/A N/A</v>
        <stp/>
        <stp>BDP|2746656583183402650</stp>
        <tr r="K67" s="2"/>
        <tr r="R67" s="2"/>
        <tr r="W67" s="2"/>
      </tp>
      <tp t="s">
        <v>#N/A N/A</v>
        <stp/>
        <stp>BDP|9433800993101169066</stp>
        <tr r="N18" s="2"/>
      </tp>
      <tp t="s">
        <v>#N/A N/A</v>
        <stp/>
        <stp>BDP|2647874270573653776</stp>
        <tr r="M204" s="2"/>
      </tp>
      <tp t="s">
        <v>#N/A N/A</v>
        <stp/>
        <stp>BDP|3278300468999212694</stp>
        <tr r="O27" s="2"/>
      </tp>
      <tp t="s">
        <v>#N/A N/A</v>
        <stp/>
        <stp>BDP|6796746699469297899</stp>
        <tr r="AC18" s="2"/>
      </tp>
      <tp t="s">
        <v>#N/A N/A</v>
        <stp/>
        <stp>BDP|4720379604336757826</stp>
        <tr r="M219" s="2"/>
      </tp>
      <tp t="s">
        <v>#N/A N/A</v>
        <stp/>
        <stp>BDP|1189923534147407521</stp>
        <tr r="T89" s="2"/>
      </tp>
      <tp t="s">
        <v>#N/A N/A</v>
        <stp/>
        <stp>BDP|5486319590915450301</stp>
        <tr r="Q205" s="2"/>
      </tp>
      <tp t="s">
        <v>#N/A N/A</v>
        <stp/>
        <stp>BDP|6657920793959345657</stp>
        <tr r="M90" s="2"/>
      </tp>
      <tp t="s">
        <v>#N/A N/A</v>
        <stp/>
        <stp>BDP|4123685227119702087</stp>
        <tr r="Y207" s="2"/>
      </tp>
      <tp t="s">
        <v>#N/A N/A</v>
        <stp/>
        <stp>BDP|9762454524641610714</stp>
        <tr r="D137" s="2"/>
      </tp>
      <tp t="s">
        <v>#N/A N/A</v>
        <stp/>
        <stp>BDP|3213963715044923690</stp>
        <tr r="P10" s="2"/>
      </tp>
      <tp t="s">
        <v>#N/A N/A</v>
        <stp/>
        <stp>BDP|8380407932154188215</stp>
        <tr r="Y45" s="2"/>
      </tp>
      <tp t="s">
        <v>#N/A N/A</v>
        <stp/>
        <stp>BDP|2670230485694828591</stp>
        <tr r="AE90" s="2"/>
      </tp>
      <tp t="s">
        <v>#N/A N/A</v>
        <stp/>
        <stp>BDP|9982498705410771431</stp>
        <tr r="V42" s="2"/>
      </tp>
      <tp t="s">
        <v>#N/A N/A</v>
        <stp/>
        <stp>BDP|6429652962456777954</stp>
        <tr r="T147" s="2"/>
      </tp>
      <tp t="s">
        <v>#N/A N/A</v>
        <stp/>
        <stp>BDP|2694708487481329531</stp>
        <tr r="M77" s="2"/>
      </tp>
      <tp t="s">
        <v>#N/A N/A</v>
        <stp/>
        <stp>BDP|3045192964699989421</stp>
        <tr r="AE33" s="2"/>
      </tp>
      <tp t="s">
        <v>#N/A N/A</v>
        <stp/>
        <stp>BDP|2544088227989977059</stp>
        <tr r="Z161" s="2"/>
      </tp>
      <tp t="s">
        <v>#N/A N/A</v>
        <stp/>
        <stp>BDP|6189129699986814148</stp>
        <tr r="AB139" s="2"/>
      </tp>
      <tp t="s">
        <v>#N/A N/A</v>
        <stp/>
        <stp>BDP|5632394929215136817</stp>
        <tr r="H201" s="2"/>
      </tp>
      <tp t="s">
        <v>#N/A N/A</v>
        <stp/>
        <stp>BDP|8728646338771861554</stp>
        <tr r="Q167" s="2"/>
      </tp>
      <tp t="s">
        <v>#N/A N/A</v>
        <stp/>
        <stp>BDP|1350681076078309185</stp>
        <tr r="AC81" s="2"/>
      </tp>
      <tp t="s">
        <v>#N/A N/A</v>
        <stp/>
        <stp>BDP|2867965122601963133</stp>
        <tr r="AC227" s="2"/>
      </tp>
      <tp t="s">
        <v>#N/A N/A</v>
        <stp/>
        <stp>BDP|3955124492397959562</stp>
        <tr r="N51" s="2"/>
      </tp>
      <tp t="s">
        <v>#N/A N/A</v>
        <stp/>
        <stp>BDP|7736908161234896584</stp>
        <tr r="S77" s="2"/>
      </tp>
      <tp t="s">
        <v>#N/A N/A</v>
        <stp/>
        <stp>BDP|6829660790256142690</stp>
        <tr r="K7" s="2"/>
        <tr r="R7" s="2"/>
        <tr r="W7" s="2"/>
      </tp>
      <tp t="s">
        <v>#N/A N/A</v>
        <stp/>
        <stp>BDP|6659965464119724954</stp>
        <tr r="Y230" s="2"/>
      </tp>
      <tp t="s">
        <v>#N/A N/A</v>
        <stp/>
        <stp>BDP|1005011083699246964</stp>
        <tr r="G146" s="2"/>
      </tp>
      <tp t="s">
        <v>#N/A N/A</v>
        <stp/>
        <stp>BDP|4592912941865767543</stp>
        <tr r="B173" s="2"/>
      </tp>
      <tp t="s">
        <v>#N/A N/A</v>
        <stp/>
        <stp>BDP|8184915155499170436</stp>
        <tr r="X235" s="2"/>
      </tp>
      <tp t="s">
        <v>#N/A N/A</v>
        <stp/>
        <stp>BDP|5598861127274231211</stp>
        <tr r="K115" s="2"/>
        <tr r="R115" s="2"/>
        <tr r="W115" s="2"/>
      </tp>
      <tp t="s">
        <v>#N/A N/A</v>
        <stp/>
        <stp>BDP|3240598387782252596</stp>
        <tr r="AD231" s="2"/>
      </tp>
      <tp t="s">
        <v>#N/A N/A</v>
        <stp/>
        <stp>BDP|1913098351249711411</stp>
        <tr r="V154" s="2"/>
      </tp>
      <tp t="s">
        <v>#N/A N/A</v>
        <stp/>
        <stp>BDP|5820049871042949932</stp>
        <tr r="P82" s="2"/>
      </tp>
      <tp t="s">
        <v>#N/A N/A</v>
        <stp/>
        <stp>BDP|9296133920005327655</stp>
        <tr r="P16" s="2"/>
      </tp>
      <tp t="s">
        <v>#N/A N/A</v>
        <stp/>
        <stp>BDP|9458716357137798527</stp>
        <tr r="P227" s="2"/>
      </tp>
      <tp t="s">
        <v>#N/A N/A</v>
        <stp/>
        <stp>BDP|3655209893621370012</stp>
        <tr r="Y50" s="2"/>
      </tp>
      <tp t="s">
        <v>#N/A N/A</v>
        <stp/>
        <stp>BDP|4259366459078310393</stp>
        <tr r="T133" s="2"/>
      </tp>
      <tp t="s">
        <v>#N/A N/A</v>
        <stp/>
        <stp>BDP|9037100905238306914</stp>
        <tr r="N15" s="2"/>
      </tp>
      <tp t="s">
        <v>#N/A N/A</v>
        <stp/>
        <stp>BDP|4642920923527838184</stp>
        <tr r="X50" s="2"/>
      </tp>
      <tp t="s">
        <v>#N/A N/A</v>
        <stp/>
        <stp>BDP|5156593094831121194</stp>
        <tr r="O94" s="2"/>
      </tp>
      <tp t="s">
        <v>#N/A N/A</v>
        <stp/>
        <stp>BDP|7305267283050595475</stp>
        <tr r="U218" s="2"/>
      </tp>
      <tp t="s">
        <v>#N/A N/A</v>
        <stp/>
        <stp>BDP|6664024517849388749</stp>
        <tr r="S229" s="2"/>
      </tp>
      <tp t="s">
        <v>#N/A N/A</v>
        <stp/>
        <stp>BDP|2743906602133198100</stp>
        <tr r="P14" s="2"/>
      </tp>
      <tp t="s">
        <v>#N/A N/A</v>
        <stp/>
        <stp>BDP|8686949202849238160</stp>
        <tr r="V78" s="2"/>
      </tp>
      <tp t="s">
        <v>#N/A N/A</v>
        <stp/>
        <stp>BDP|7477875214876073131</stp>
        <tr r="Y233" s="2"/>
      </tp>
      <tp t="s">
        <v>#N/A N/A</v>
        <stp/>
        <stp>BDP|3688858429932843262</stp>
        <tr r="H177" s="2"/>
      </tp>
      <tp t="s">
        <v>#N/A N/A</v>
        <stp/>
        <stp>BDP|1576756886462623547</stp>
        <tr r="AE103" s="2"/>
      </tp>
      <tp t="s">
        <v>#N/A N/A</v>
        <stp/>
        <stp>BDP|1280853173903636462</stp>
        <tr r="O193" s="2"/>
      </tp>
      <tp t="s">
        <v>#N/A N/A</v>
        <stp/>
        <stp>BDP|3397911654976522077</stp>
        <tr r="C166" s="2"/>
      </tp>
      <tp t="s">
        <v>#N/A N/A</v>
        <stp/>
        <stp>BDP|5015023813395462813</stp>
        <tr r="AE226" s="2"/>
      </tp>
      <tp t="s">
        <v>#N/A N/A</v>
        <stp/>
        <stp>BDP|8491924222189501358</stp>
        <tr r="AC55" s="2"/>
      </tp>
      <tp t="s">
        <v>#N/A N/A</v>
        <stp/>
        <stp>BDP|9978612679538718926</stp>
        <tr r="AD191" s="2"/>
      </tp>
      <tp t="s">
        <v>#N/A N/A</v>
        <stp/>
        <stp>BDP|2656801231099722941</stp>
        <tr r="O35" s="2"/>
      </tp>
      <tp t="s">
        <v>#N/A N/A</v>
        <stp/>
        <stp>BDP|8513323653950143719</stp>
        <tr r="AE201" s="2"/>
      </tp>
      <tp t="s">
        <v>#N/A N/A</v>
        <stp/>
        <stp>BDP|3296895184832370899</stp>
        <tr r="Z126" s="2"/>
      </tp>
      <tp t="s">
        <v>#N/A N/A</v>
        <stp/>
        <stp>BDP|3570698259358203120</stp>
        <tr r="H171" s="2"/>
      </tp>
      <tp t="s">
        <v>#N/A N/A</v>
        <stp/>
        <stp>BDP|3337966527921350046</stp>
        <tr r="H22" s="2"/>
      </tp>
      <tp t="s">
        <v>#N/A N/A</v>
        <stp/>
        <stp>BDP|4722119483643458748</stp>
        <tr r="I111" s="2"/>
      </tp>
      <tp t="s">
        <v>#N/A N/A</v>
        <stp/>
        <stp>BDP|8239007944713570667</stp>
        <tr r="AA37" s="2"/>
      </tp>
      <tp t="s">
        <v>#N/A N/A</v>
        <stp/>
        <stp>BDP|3510904180452921994</stp>
        <tr r="S42" s="2"/>
      </tp>
      <tp t="s">
        <v>#N/A N/A</v>
        <stp/>
        <stp>BDP|9854702378034096459</stp>
        <tr r="E25" s="2"/>
      </tp>
      <tp t="s">
        <v>#N/A N/A</v>
        <stp/>
        <stp>BDP|4088322488386687096</stp>
        <tr r="E152" s="2"/>
      </tp>
      <tp t="s">
        <v>#N/A N/A</v>
        <stp/>
        <stp>BDP|1404952925605916682</stp>
        <tr r="G128" s="2"/>
      </tp>
      <tp t="s">
        <v>#N/A N/A</v>
        <stp/>
        <stp>BDP|8451076459637092006</stp>
        <tr r="P208" s="2"/>
      </tp>
      <tp t="s">
        <v>#N/A N/A</v>
        <stp/>
        <stp>BDP|6236423095318874978</stp>
        <tr r="K70" s="2"/>
        <tr r="R70" s="2"/>
        <tr r="W70" s="2"/>
      </tp>
      <tp t="s">
        <v>#N/A N/A</v>
        <stp/>
        <stp>BDP|7879968983724626815</stp>
        <tr r="D111" s="2"/>
      </tp>
      <tp t="s">
        <v>#N/A N/A</v>
        <stp/>
        <stp>BDP|5199847338194680016</stp>
        <tr r="I56" s="2"/>
      </tp>
      <tp t="s">
        <v>#N/A N/A</v>
        <stp/>
        <stp>BDP|8184482369805305597</stp>
        <tr r="U59" s="2"/>
      </tp>
      <tp t="s">
        <v>#N/A N/A</v>
        <stp/>
        <stp>BDP|8839881549176038835</stp>
        <tr r="Y206" s="2"/>
      </tp>
      <tp t="s">
        <v>#N/A N/A</v>
        <stp/>
        <stp>BDP|8923427163718515875</stp>
        <tr r="U30" s="2"/>
      </tp>
      <tp t="s">
        <v>#N/A N/A</v>
        <stp/>
        <stp>BDP|5456816208541721602</stp>
        <tr r="AC30" s="2"/>
      </tp>
      <tp t="s">
        <v>#N/A N/A</v>
        <stp/>
        <stp>BDP|6437808533570400786</stp>
        <tr r="U53" s="2"/>
      </tp>
      <tp t="s">
        <v>#N/A N/A</v>
        <stp/>
        <stp>BDP|4118528298016252427</stp>
        <tr r="AA26" s="2"/>
      </tp>
      <tp t="s">
        <v>#N/A N/A</v>
        <stp/>
        <stp>BDP|9993368402076530638</stp>
        <tr r="X211" s="2"/>
      </tp>
      <tp t="s">
        <v>#N/A N/A</v>
        <stp/>
        <stp>BDP|8931617756004688531</stp>
        <tr r="U47" s="2"/>
      </tp>
      <tp t="s">
        <v>#N/A N/A</v>
        <stp/>
        <stp>BDP|9901578313310470720</stp>
        <tr r="AE200" s="2"/>
      </tp>
      <tp t="s">
        <v>#N/A N/A</v>
        <stp/>
        <stp>BDP|3810089294787950766</stp>
        <tr r="AA43" s="2"/>
      </tp>
      <tp t="s">
        <v>#N/A N/A</v>
        <stp/>
        <stp>BDP|3803614505657339840</stp>
        <tr r="AB223" s="2"/>
      </tp>
      <tp t="s">
        <v>#N/A N/A</v>
        <stp/>
        <stp>BDP|3107474105265809806</stp>
        <tr r="H114" s="2"/>
      </tp>
      <tp t="s">
        <v>#N/A N/A</v>
        <stp/>
        <stp>BDP|5625150568540119811</stp>
        <tr r="AE18" s="2"/>
      </tp>
      <tp t="s">
        <v>#N/A N/A</v>
        <stp/>
        <stp>BDP|1235659244821046880</stp>
        <tr r="I184" s="2"/>
      </tp>
      <tp t="s">
        <v>#N/A N/A</v>
        <stp/>
        <stp>BDP|9567112648951715736</stp>
        <tr r="L110" s="2"/>
      </tp>
      <tp t="s">
        <v>#N/A N/A</v>
        <stp/>
        <stp>BDP|7122459894215156591</stp>
        <tr r="I125" s="2"/>
      </tp>
      <tp t="s">
        <v>#N/A N/A</v>
        <stp/>
        <stp>BDP|8196126031295257584</stp>
        <tr r="B113" s="2"/>
      </tp>
      <tp t="s">
        <v>#N/A N/A</v>
        <stp/>
        <stp>BDP|6205858459795409420</stp>
        <tr r="AB18" s="2"/>
      </tp>
      <tp t="s">
        <v>#N/A N/A</v>
        <stp/>
        <stp>BDP|7950961222367017157</stp>
        <tr r="L45" s="2"/>
      </tp>
      <tp t="s">
        <v>#N/A N/A</v>
        <stp/>
        <stp>BDP|7290688051386425872</stp>
        <tr r="H163" s="2"/>
      </tp>
      <tp t="s">
        <v>#N/A N/A</v>
        <stp/>
        <stp>BDP|6586149503544310990</stp>
        <tr r="T99" s="2"/>
      </tp>
      <tp t="s">
        <v>#N/A N/A</v>
        <stp/>
        <stp>BDP|2630269381824850613</stp>
        <tr r="F146" s="2"/>
      </tp>
      <tp t="s">
        <v>#N/A N/A</v>
        <stp/>
        <stp>BDP|4920001233874773947</stp>
        <tr r="E208" s="2"/>
      </tp>
      <tp t="s">
        <v>#N/A N/A</v>
        <stp/>
        <stp>BDP|3288041806371060897</stp>
        <tr r="AE70" s="2"/>
      </tp>
      <tp t="s">
        <v>#N/A N/A</v>
        <stp/>
        <stp>BDP|5919271668209900268</stp>
        <tr r="M59" s="2"/>
      </tp>
      <tp t="s">
        <v>#N/A N/A</v>
        <stp/>
        <stp>BDP|5374070114639062799</stp>
        <tr r="AA63" s="2"/>
      </tp>
      <tp t="s">
        <v>#N/A N/A</v>
        <stp/>
        <stp>BDP|6103037792067070295</stp>
        <tr r="H9" s="2"/>
      </tp>
      <tp t="s">
        <v>#N/A N/A</v>
        <stp/>
        <stp>BDP|5937847356574700654</stp>
        <tr r="M196" s="2"/>
      </tp>
      <tp t="s">
        <v>#N/A N/A</v>
        <stp/>
        <stp>BDP|4556660381380959027</stp>
        <tr r="Z124" s="2"/>
      </tp>
      <tp t="s">
        <v>#N/A N/A</v>
        <stp/>
        <stp>BDP|8464027801936869469</stp>
        <tr r="S89" s="2"/>
      </tp>
      <tp t="s">
        <v>#N/A N/A</v>
        <stp/>
        <stp>BDP|8358910404153611892</stp>
        <tr r="S50" s="2"/>
      </tp>
      <tp t="s">
        <v>#N/A N/A</v>
        <stp/>
        <stp>BDP|1886500723904196843</stp>
        <tr r="AB142" s="2"/>
      </tp>
      <tp t="s">
        <v>#N/A N/A</v>
        <stp/>
        <stp>BDP|8696482819045078297</stp>
        <tr r="AD51" s="2"/>
      </tp>
      <tp t="s">
        <v>#N/A N/A</v>
        <stp/>
        <stp>BDP|7735828348472418374</stp>
        <tr r="F210" s="2"/>
      </tp>
      <tp t="s">
        <v>#N/A N/A</v>
        <stp/>
        <stp>BDP|4939668944158579401</stp>
        <tr r="B30" s="2"/>
      </tp>
      <tp t="s">
        <v>#N/A N/A</v>
        <stp/>
        <stp>BDP|5070173044032582883</stp>
        <tr r="AB61" s="2"/>
      </tp>
      <tp t="s">
        <v>#N/A N/A</v>
        <stp/>
        <stp>BDP|8055088968205796198</stp>
        <tr r="AA94" s="2"/>
      </tp>
      <tp t="s">
        <v>#N/A N/A</v>
        <stp/>
        <stp>BDP|5757231699863692754</stp>
        <tr r="AA108" s="2"/>
      </tp>
      <tp t="s">
        <v>#N/A N/A</v>
        <stp/>
        <stp>BDP|1349133713669436293</stp>
        <tr r="P231" s="2"/>
      </tp>
      <tp t="s">
        <v>#N/A N/A</v>
        <stp/>
        <stp>BDP|8470304677252961447</stp>
        <tr r="T202" s="2"/>
      </tp>
      <tp t="s">
        <v>#N/A N/A</v>
        <stp/>
        <stp>BDP|9161763258011743062</stp>
        <tr r="Y128" s="2"/>
      </tp>
      <tp t="s">
        <v>#N/A N/A</v>
        <stp/>
        <stp>BDP|9702742524474878212</stp>
        <tr r="M108" s="2"/>
      </tp>
      <tp t="s">
        <v>#N/A N/A</v>
        <stp/>
        <stp>BDP|7313740044759846750</stp>
        <tr r="Z131" s="2"/>
      </tp>
      <tp t="s">
        <v>#N/A N/A</v>
        <stp/>
        <stp>BDP|4444992524717509223</stp>
        <tr r="D33" s="2"/>
      </tp>
      <tp t="s">
        <v>#N/A N/A</v>
        <stp/>
        <stp>BDP|5805445292465226726</stp>
        <tr r="Z129" s="2"/>
      </tp>
      <tp t="s">
        <v>#N/A N/A</v>
        <stp/>
        <stp>BDP|3734233324561950877</stp>
        <tr r="P171" s="2"/>
      </tp>
      <tp t="s">
        <v>#N/A N/A</v>
        <stp/>
        <stp>BDP|7865741976154294977</stp>
        <tr r="M66" s="2"/>
      </tp>
      <tp t="s">
        <v>#N/A N/A</v>
        <stp/>
        <stp>BDP|7443709541156311896</stp>
        <tr r="X171" s="2"/>
      </tp>
      <tp t="s">
        <v>#N/A N/A</v>
        <stp/>
        <stp>BDP|1877760306704656818</stp>
        <tr r="S75" s="2"/>
      </tp>
      <tp t="s">
        <v>#N/A N/A</v>
        <stp/>
        <stp>BDP|1262957562402985632</stp>
        <tr r="Z212" s="2"/>
      </tp>
      <tp t="s">
        <v>#N/A N/A</v>
        <stp/>
        <stp>BDP|8090259718830268101</stp>
        <tr r="K28" s="2"/>
        <tr r="R28" s="2"/>
        <tr r="W28" s="2"/>
      </tp>
      <tp t="s">
        <v>#N/A N/A</v>
        <stp/>
        <stp>BDP|8497264819352571317</stp>
        <tr r="P102" s="2"/>
      </tp>
      <tp t="s">
        <v>#N/A N/A</v>
        <stp/>
        <stp>BDP|8131527748270104355</stp>
        <tr r="AE185" s="2"/>
      </tp>
      <tp t="s">
        <v>#N/A N/A</v>
        <stp/>
        <stp>BDP|3334490457110386819</stp>
        <tr r="AB119" s="2"/>
      </tp>
      <tp t="s">
        <v>#N/A N/A</v>
        <stp/>
        <stp>BDP|6699856352194791595</stp>
        <tr r="P158" s="2"/>
      </tp>
      <tp t="s">
        <v>#N/A N/A</v>
        <stp/>
        <stp>BDP|1424985132455552442</stp>
        <tr r="U201" s="2"/>
      </tp>
      <tp t="s">
        <v>#N/A N/A</v>
        <stp/>
        <stp>BDP|7198446078856226801</stp>
        <tr r="AA199" s="2"/>
      </tp>
      <tp t="s">
        <v>#N/A N/A</v>
        <stp/>
        <stp>BDP|9486169907653331190</stp>
        <tr r="U172" s="2"/>
      </tp>
      <tp t="s">
        <v>#N/A N/A</v>
        <stp/>
        <stp>BDP|7653656471938481495</stp>
        <tr r="B162" s="2"/>
      </tp>
      <tp t="s">
        <v>#N/A N/A</v>
        <stp/>
        <stp>BDP|3381718579151706808</stp>
        <tr r="T191" s="2"/>
      </tp>
      <tp t="s">
        <v>#N/A N/A</v>
        <stp/>
        <stp>BDP|5618148996054864306</stp>
        <tr r="M178" s="2"/>
      </tp>
      <tp t="s">
        <v>#N/A N/A</v>
        <stp/>
        <stp>BDP|3591584423467466964</stp>
        <tr r="Z156" s="2"/>
      </tp>
      <tp t="s">
        <v>#N/A N/A</v>
        <stp/>
        <stp>BDP|9234940627938410090</stp>
        <tr r="E127" s="2"/>
      </tp>
      <tp t="s">
        <v>#N/A N/A</v>
        <stp/>
        <stp>BDP|1236199695650368310</stp>
        <tr r="N126" s="2"/>
      </tp>
      <tp t="s">
        <v>#N/A N/A</v>
        <stp/>
        <stp>BDP|8785817199084290719</stp>
        <tr r="Q92" s="2"/>
      </tp>
      <tp t="s">
        <v>#N/A N/A</v>
        <stp/>
        <stp>BDP|4616420787482748080</stp>
        <tr r="P196" s="2"/>
      </tp>
      <tp t="s">
        <v>#N/A N/A</v>
        <stp/>
        <stp>BDP|8378510610141816766</stp>
        <tr r="AC174" s="2"/>
      </tp>
      <tp t="s">
        <v>#N/A N/A</v>
        <stp/>
        <stp>BDP|1274499177428992093</stp>
        <tr r="X146" s="2"/>
      </tp>
      <tp t="s">
        <v>#N/A N/A</v>
        <stp/>
        <stp>BDP|1647555651579806264</stp>
        <tr r="AC54" s="2"/>
      </tp>
      <tp t="s">
        <v>#N/A N/A</v>
        <stp/>
        <stp>BDP|1957017746137663845</stp>
        <tr r="AA226" s="2"/>
      </tp>
      <tp t="s">
        <v>#N/A N/A</v>
        <stp/>
        <stp>BDP|7489310554502544989</stp>
        <tr r="X77" s="2"/>
      </tp>
      <tp t="s">
        <v>#N/A N/A</v>
        <stp/>
        <stp>BDP|5045664786211941053</stp>
        <tr r="E5" s="2"/>
      </tp>
      <tp t="s">
        <v>#N/A N/A</v>
        <stp/>
        <stp>BDP|7436872225282878520</stp>
        <tr r="C57" s="2"/>
      </tp>
      <tp t="s">
        <v>#N/A N/A</v>
        <stp/>
        <stp>BDP|8318504751913616189</stp>
        <tr r="U54" s="2"/>
      </tp>
      <tp t="s">
        <v>#N/A N/A</v>
        <stp/>
        <stp>BDP|7437898257667149762</stp>
        <tr r="M231" s="2"/>
      </tp>
      <tp t="s">
        <v>#N/A N/A</v>
        <stp/>
        <stp>BDP|2168668671780351981</stp>
        <tr r="V106" s="2"/>
      </tp>
      <tp t="s">
        <v>#N/A N/A</v>
        <stp/>
        <stp>BDP|2943551150039891193</stp>
        <tr r="M33" s="2"/>
      </tp>
      <tp t="s">
        <v>#N/A N/A</v>
        <stp/>
        <stp>BDP|5063228151128964079</stp>
        <tr r="AC225" s="2"/>
      </tp>
      <tp t="s">
        <v>#N/A N/A</v>
        <stp/>
        <stp>BDP|6843019615114949988</stp>
        <tr r="V4" s="2"/>
      </tp>
      <tp t="s">
        <v>#N/A N/A</v>
        <stp/>
        <stp>BDP|9049973793237051493</stp>
        <tr r="B77" s="2"/>
      </tp>
      <tp t="s">
        <v>#N/A N/A</v>
        <stp/>
        <stp>BDP|9675238194500508898</stp>
        <tr r="O29" s="2"/>
      </tp>
      <tp t="s">
        <v>#N/A N/A</v>
        <stp/>
        <stp>BDP|2717939281980840901</stp>
        <tr r="AB217" s="2"/>
      </tp>
      <tp t="s">
        <v>#N/A N/A</v>
        <stp/>
        <stp>BDP|9582911739899884070</stp>
        <tr r="K47" s="2"/>
        <tr r="R47" s="2"/>
        <tr r="W47" s="2"/>
      </tp>
      <tp t="s">
        <v>#N/A N/A</v>
        <stp/>
        <stp>BDP|8988204709235149530</stp>
        <tr r="N17" s="2"/>
      </tp>
      <tp t="s">
        <v>#N/A N/A</v>
        <stp/>
        <stp>BDP|9206617309922902714</stp>
        <tr r="L144" s="2"/>
      </tp>
      <tp t="s">
        <v>#N/A N/A</v>
        <stp/>
        <stp>BDP|5411067122844020921</stp>
        <tr r="B156" s="2"/>
      </tp>
      <tp t="s">
        <v>#N/A N/A</v>
        <stp/>
        <stp>BDP|3032873658697531384</stp>
        <tr r="Q103" s="2"/>
      </tp>
      <tp t="s">
        <v>#N/A N/A</v>
        <stp/>
        <stp>BDP|5250167255549773240</stp>
        <tr r="B7" s="2"/>
      </tp>
      <tp t="s">
        <v>#N/A N/A</v>
        <stp/>
        <stp>BDP|9054460573772059275</stp>
        <tr r="N150" s="2"/>
      </tp>
      <tp t="s">
        <v>#N/A N/A</v>
        <stp/>
        <stp>BDP|8895292057933457602</stp>
        <tr r="X102" s="2"/>
      </tp>
      <tp t="s">
        <v>#N/A N/A</v>
        <stp/>
        <stp>BDP|5876018498623146529</stp>
        <tr r="B223" s="2"/>
      </tp>
      <tp t="s">
        <v>#N/A N/A</v>
        <stp/>
        <stp>BDP|8815193613377477540</stp>
        <tr r="P230" s="2"/>
      </tp>
      <tp t="s">
        <v>#N/A N/A</v>
        <stp/>
        <stp>BDP|8442309302780495105</stp>
        <tr r="S92" s="2"/>
      </tp>
      <tp t="s">
        <v>#N/A N/A</v>
        <stp/>
        <stp>BDP|9726147407826771403</stp>
        <tr r="O75" s="2"/>
      </tp>
      <tp t="s">
        <v>#N/A N/A</v>
        <stp/>
        <stp>BDP|6323733814952287859</stp>
        <tr r="F116" s="2"/>
      </tp>
      <tp t="s">
        <v>#N/A N/A</v>
        <stp/>
        <stp>BDP|3561883793511858959</stp>
        <tr r="Q202" s="2"/>
      </tp>
      <tp t="s">
        <v>#N/A N/A</v>
        <stp/>
        <stp>BDP|4739336904095182822</stp>
        <tr r="S154" s="2"/>
      </tp>
      <tp t="s">
        <v>#N/A N/A</v>
        <stp/>
        <stp>BDP|7352508799383091297</stp>
        <tr r="D127" s="2"/>
      </tp>
      <tp t="s">
        <v>#N/A N/A</v>
        <stp/>
        <stp>BDP|9797746750422319338</stp>
        <tr r="L64" s="2"/>
      </tp>
      <tp t="s">
        <v>#N/A N/A</v>
        <stp/>
        <stp>BDP|3875728832114886932</stp>
        <tr r="P29" s="2"/>
      </tp>
      <tp t="s">
        <v>#N/A N/A</v>
        <stp/>
        <stp>BDP|7032269960919274073</stp>
        <tr r="AC201" s="2"/>
      </tp>
      <tp t="s">
        <v>#N/A N/A</v>
        <stp/>
        <stp>BDP|4956333972382273894</stp>
        <tr r="AD143" s="2"/>
      </tp>
      <tp t="s">
        <v>#N/A N/A</v>
        <stp/>
        <stp>BDP|6940752499223166174</stp>
        <tr r="K17" s="2"/>
        <tr r="R17" s="2"/>
        <tr r="W17" s="2"/>
      </tp>
      <tp t="s">
        <v>#N/A N/A</v>
        <stp/>
        <stp>BDP|8232437947211266376</stp>
        <tr r="K98" s="2"/>
        <tr r="R98" s="2"/>
        <tr r="W98" s="2"/>
      </tp>
      <tp t="s">
        <v>#N/A N/A</v>
        <stp/>
        <stp>BDP|3315885269875300214</stp>
        <tr r="Q55" s="2"/>
      </tp>
      <tp t="s">
        <v>#N/A N/A</v>
        <stp/>
        <stp>BDP|1792703296521470450</stp>
        <tr r="E144" s="2"/>
      </tp>
      <tp t="s">
        <v>#N/A N/A</v>
        <stp/>
        <stp>BDP|8536875703763505949</stp>
        <tr r="AC94" s="2"/>
      </tp>
      <tp t="s">
        <v>#N/A N/A</v>
        <stp/>
        <stp>BDP|8255449870795076460</stp>
        <tr r="AD177" s="2"/>
      </tp>
      <tp t="s">
        <v>#N/A N/A</v>
        <stp/>
        <stp>BDP|9592102221494221463</stp>
        <tr r="F234" s="2"/>
      </tp>
      <tp t="s">
        <v>#N/A N/A</v>
        <stp/>
        <stp>BDP|4546101316117504965</stp>
        <tr r="E217" s="2"/>
      </tp>
      <tp t="s">
        <v>#N/A N/A</v>
        <stp/>
        <stp>BDP|1691964460047641369</stp>
        <tr r="I190" s="2"/>
      </tp>
      <tp t="s">
        <v>#N/A N/A</v>
        <stp/>
        <stp>BDP|2128865167130675661</stp>
        <tr r="V82" s="2"/>
      </tp>
      <tp t="s">
        <v>#N/A N/A</v>
        <stp/>
        <stp>BDP|3243239012568635258</stp>
        <tr r="V85" s="2"/>
      </tp>
      <tp t="s">
        <v>#N/A N/A</v>
        <stp/>
        <stp>BDP|5782070751843641977</stp>
        <tr r="C36" s="2"/>
      </tp>
      <tp t="s">
        <v>#N/A N/A</v>
        <stp/>
        <stp>BDP|4581066631919123432</stp>
        <tr r="T174" s="2"/>
      </tp>
      <tp t="s">
        <v>#N/A N/A</v>
        <stp/>
        <stp>BDP|6506465064549032774</stp>
        <tr r="P191" s="2"/>
      </tp>
      <tp t="s">
        <v>#N/A N/A</v>
        <stp/>
        <stp>BDP|8234942162615396878</stp>
        <tr r="B121" s="2"/>
      </tp>
      <tp t="s">
        <v>#N/A N/A</v>
        <stp/>
        <stp>BDP|9431887809378189357</stp>
        <tr r="M109" s="2"/>
      </tp>
      <tp t="s">
        <v>#N/A N/A</v>
        <stp/>
        <stp>BDP|6682440189207310790</stp>
        <tr r="H223" s="2"/>
      </tp>
      <tp t="s">
        <v>#N/A N/A</v>
        <stp/>
        <stp>BDP|5953431923919852005</stp>
        <tr r="E234" s="2"/>
      </tp>
      <tp t="s">
        <v>#N/A N/A</v>
        <stp/>
        <stp>BDP|8317316372026517049</stp>
        <tr r="Q19" s="2"/>
      </tp>
      <tp t="s">
        <v>#N/A N/A</v>
        <stp/>
        <stp>BDP|5392644449334817971</stp>
        <tr r="Q114" s="2"/>
      </tp>
      <tp t="s">
        <v>#N/A N/A</v>
        <stp/>
        <stp>BDP|8203754928421837662</stp>
        <tr r="AC240" s="2"/>
      </tp>
      <tp t="s">
        <v>#N/A N/A</v>
        <stp/>
        <stp>BDP|9708944175289227454</stp>
        <tr r="M236" s="2"/>
      </tp>
      <tp t="s">
        <v>#N/A N/A</v>
        <stp/>
        <stp>BDP|2473465543599376130</stp>
        <tr r="S235" s="2"/>
      </tp>
      <tp t="s">
        <v>#N/A N/A</v>
        <stp/>
        <stp>BDP|8162161071092127667</stp>
        <tr r="F128" s="2"/>
      </tp>
      <tp t="s">
        <v>#N/A N/A</v>
        <stp/>
        <stp>BDP|3392077993783596334</stp>
        <tr r="C98" s="2"/>
      </tp>
      <tp t="s">
        <v>#N/A N/A</v>
        <stp/>
        <stp>BDP|1794410416777496953</stp>
        <tr r="C234" s="2"/>
      </tp>
      <tp t="s">
        <v>#N/A N/A</v>
        <stp/>
        <stp>BDP|1465928353702683526</stp>
        <tr r="H58" s="2"/>
      </tp>
      <tp t="s">
        <v>#N/A N/A</v>
        <stp/>
        <stp>BDP|4158759882761745008</stp>
        <tr r="F133" s="2"/>
      </tp>
      <tp t="s">
        <v>#N/A N/A</v>
        <stp/>
        <stp>BDP|4272346983205311009</stp>
        <tr r="G38" s="2"/>
      </tp>
      <tp t="s">
        <v>#N/A N/A</v>
        <stp/>
        <stp>BDP|7448452820908671314</stp>
        <tr r="AE8" s="2"/>
      </tp>
      <tp t="s">
        <v>#N/A N/A</v>
        <stp/>
        <stp>BDP|9560638229904114389</stp>
        <tr r="Y156" s="2"/>
      </tp>
      <tp t="s">
        <v>#N/A N/A</v>
        <stp/>
        <stp>BDP|8249184479943265771</stp>
        <tr r="S152" s="2"/>
      </tp>
      <tp t="s">
        <v>#N/A N/A</v>
        <stp/>
        <stp>BDP|5017076137889005561</stp>
        <tr r="V238" s="2"/>
      </tp>
      <tp t="s">
        <v>#N/A N/A</v>
        <stp/>
        <stp>BDP|9037647259253977320</stp>
        <tr r="K93" s="2"/>
        <tr r="R93" s="2"/>
        <tr r="W93" s="2"/>
      </tp>
      <tp t="s">
        <v>#N/A N/A</v>
        <stp/>
        <stp>BDP|4335190974370043884</stp>
        <tr r="AA194" s="2"/>
      </tp>
      <tp t="s">
        <v>#N/A N/A</v>
        <stp/>
        <stp>BDP|7221830331457332156</stp>
        <tr r="C43" s="2"/>
      </tp>
      <tp t="s">
        <v>#N/A N/A</v>
        <stp/>
        <stp>BDP|8593270385391691970</stp>
        <tr r="P214" s="2"/>
      </tp>
      <tp t="s">
        <v>#N/A N/A</v>
        <stp/>
        <stp>BDP|8919695987855671979</stp>
        <tr r="D206" s="2"/>
      </tp>
      <tp t="s">
        <v>#N/A N/A</v>
        <stp/>
        <stp>BDP|3722507539079034683</stp>
        <tr r="Q141" s="2"/>
      </tp>
      <tp t="s">
        <v>#N/A N/A</v>
        <stp/>
        <stp>BDP|5406978927853474762</stp>
        <tr r="P229" s="2"/>
      </tp>
      <tp t="s">
        <v>#N/A N/A</v>
        <stp/>
        <stp>BDP|6439242192221720637</stp>
        <tr r="X156" s="2"/>
      </tp>
      <tp t="s">
        <v>#N/A N/A</v>
        <stp/>
        <stp>BDP|4694767683317339676</stp>
        <tr r="H222" s="2"/>
      </tp>
      <tp t="s">
        <v>#N/A N/A</v>
        <stp/>
        <stp>BDP|9123702838926957177</stp>
        <tr r="AD31" s="2"/>
      </tp>
      <tp t="s">
        <v>#N/A N/A</v>
        <stp/>
        <stp>BDP|2084727265030013902</stp>
        <tr r="D238" s="2"/>
      </tp>
      <tp t="s">
        <v>#N/A N/A</v>
        <stp/>
        <stp>BDP|6378273824578022473</stp>
        <tr r="AE212" s="2"/>
      </tp>
      <tp t="s">
        <v>#N/A N/A</v>
        <stp/>
        <stp>BDP|8256967084606665512</stp>
        <tr r="D29" s="2"/>
      </tp>
      <tp t="s">
        <v>#N/A N/A</v>
        <stp/>
        <stp>BDP|9270101971543414601</stp>
        <tr r="B70" s="2"/>
      </tp>
      <tp t="s">
        <v>#N/A N/A</v>
        <stp/>
        <stp>BDP|7132876157946764618</stp>
        <tr r="E23" s="2"/>
      </tp>
      <tp t="s">
        <v>#N/A N/A</v>
        <stp/>
        <stp>BDP|5663968736142838799</stp>
        <tr r="O113" s="2"/>
      </tp>
      <tp t="s">
        <v>#N/A N/A</v>
        <stp/>
        <stp>BDP|7462465816930042839</stp>
        <tr r="D69" s="2"/>
      </tp>
      <tp t="s">
        <v>#N/A N/A</v>
        <stp/>
        <stp>BDP|8107847677058509501</stp>
        <tr r="Z178" s="2"/>
      </tp>
      <tp t="s">
        <v>#N/A N/A</v>
        <stp/>
        <stp>BDP|8029324003989163841</stp>
        <tr r="U85" s="2"/>
      </tp>
      <tp t="s">
        <v>#N/A N/A</v>
        <stp/>
        <stp>BDP|9041679954463457337</stp>
        <tr r="Z59" s="2"/>
      </tp>
      <tp t="s">
        <v>#N/A N/A</v>
        <stp/>
        <stp>BDP|4813902138621780531</stp>
        <tr r="O179" s="2"/>
      </tp>
      <tp t="s">
        <v>#N/A N/A</v>
        <stp/>
        <stp>BDP|8312161314890743223</stp>
        <tr r="X229" s="2"/>
      </tp>
      <tp t="s">
        <v>#N/A N/A</v>
        <stp/>
        <stp>BDP|5601938771758948995</stp>
        <tr r="G173" s="2"/>
      </tp>
      <tp t="s">
        <v>#N/A N/A</v>
        <stp/>
        <stp>BDP|9039453277292032262</stp>
        <tr r="Y168" s="2"/>
      </tp>
      <tp t="s">
        <v>#N/A N/A</v>
        <stp/>
        <stp>BDP|4421503111593618976</stp>
        <tr r="AC88" s="2"/>
      </tp>
      <tp t="s">
        <v>#N/A N/A</v>
        <stp/>
        <stp>BDP|2459764196106863081</stp>
        <tr r="AA213" s="2"/>
      </tp>
      <tp t="s">
        <v>#N/A N/A</v>
        <stp/>
        <stp>BDP|5776060081305366274</stp>
        <tr r="D43" s="2"/>
      </tp>
      <tp t="s">
        <v>#N/A N/A</v>
        <stp/>
        <stp>BDP|2881012977389379687</stp>
        <tr r="P238" s="2"/>
      </tp>
      <tp t="s">
        <v>#N/A N/A</v>
        <stp/>
        <stp>BDP|8349606255802564367</stp>
        <tr r="Y199" s="2"/>
      </tp>
      <tp t="s">
        <v>#N/A N/A</v>
        <stp/>
        <stp>BDP|9638995359337374808</stp>
        <tr r="K231" s="2"/>
        <tr r="R231" s="2"/>
        <tr r="W231" s="2"/>
      </tp>
      <tp t="s">
        <v>#N/A N/A</v>
        <stp/>
        <stp>BDP|1199074696761767321</stp>
        <tr r="X225" s="2"/>
      </tp>
      <tp t="s">
        <v>#N/A N/A</v>
        <stp/>
        <stp>BDP|5567900031010556543</stp>
        <tr r="Q144" s="2"/>
      </tp>
      <tp t="s">
        <v>#N/A N/A</v>
        <stp/>
        <stp>BDP|1374961837189213855</stp>
        <tr r="C172" s="2"/>
      </tp>
      <tp t="s">
        <v>#N/A N/A</v>
        <stp/>
        <stp>BDP|4820875043035009791</stp>
        <tr r="K100" s="2"/>
        <tr r="R100" s="2"/>
        <tr r="W100" s="2"/>
      </tp>
      <tp t="s">
        <v>#N/A N/A</v>
        <stp/>
        <stp>BDP|5058258645259240186</stp>
        <tr r="AD86" s="2"/>
      </tp>
      <tp t="s">
        <v>#N/A N/A</v>
        <stp/>
        <stp>BDP|9511107243715823244</stp>
        <tr r="AC26" s="2"/>
      </tp>
      <tp t="s">
        <v>#N/A N/A</v>
        <stp/>
        <stp>BDP|9680111320865859453</stp>
        <tr r="N98" s="2"/>
      </tp>
      <tp t="s">
        <v>#N/A N/A</v>
        <stp/>
        <stp>BDP|3237132145409957469</stp>
        <tr r="V178" s="2"/>
      </tp>
      <tp t="s">
        <v>#N/A N/A</v>
        <stp/>
        <stp>BDP|6815075172698599233</stp>
        <tr r="C224" s="2"/>
      </tp>
      <tp t="s">
        <v>#N/A N/A</v>
        <stp/>
        <stp>BDP|1685048598995698678</stp>
        <tr r="Q72" s="2"/>
      </tp>
      <tp t="s">
        <v>#N/A N/A</v>
        <stp/>
        <stp>BDP|4786338571042624989</stp>
        <tr r="D73" s="2"/>
      </tp>
      <tp t="s">
        <v>#N/A N/A</v>
        <stp/>
        <stp>BDP|2369542348469683123</stp>
        <tr r="E50" s="2"/>
      </tp>
      <tp t="s">
        <v>#N/A N/A</v>
        <stp/>
        <stp>BDP|5844255523078599602</stp>
        <tr r="C229" s="2"/>
      </tp>
      <tp t="s">
        <v>#N/A N/A</v>
        <stp/>
        <stp>BDP|3580562589367716264</stp>
        <tr r="E156" s="2"/>
      </tp>
      <tp t="s">
        <v>#N/A N/A</v>
        <stp/>
        <stp>BDP|8567532263906947676</stp>
        <tr r="O58" s="2"/>
      </tp>
      <tp t="s">
        <v>#N/A N/A</v>
        <stp/>
        <stp>BDP|9409436268960518010</stp>
        <tr r="L9" s="2"/>
      </tp>
      <tp t="s">
        <v>#N/A N/A</v>
        <stp/>
        <stp>BDP|5155265680797880341</stp>
        <tr r="G210" s="2"/>
      </tp>
      <tp t="s">
        <v>#N/A N/A</v>
        <stp/>
        <stp>BDP|1443887147263276526</stp>
        <tr r="X30" s="2"/>
      </tp>
      <tp t="s">
        <v>#N/A N/A</v>
        <stp/>
        <stp>BDP|2596767044058896244</stp>
        <tr r="H221" s="2"/>
      </tp>
      <tp t="s">
        <v>#N/A N/A</v>
        <stp/>
        <stp>BDP|2210979071581998667</stp>
        <tr r="K20" s="2"/>
        <tr r="R20" s="2"/>
        <tr r="W20" s="2"/>
      </tp>
      <tp t="s">
        <v>#N/A N/A</v>
        <stp/>
        <stp>BDP|3873960212739479934</stp>
        <tr r="AE233" s="2"/>
      </tp>
      <tp t="s">
        <v>#N/A N/A</v>
        <stp/>
        <stp>BDP|3119886786209054142</stp>
        <tr r="Z117" s="2"/>
      </tp>
      <tp t="s">
        <v>#N/A N/A</v>
        <stp/>
        <stp>BDP|3264805657384663181</stp>
        <tr r="X149" s="2"/>
      </tp>
      <tp t="s">
        <v>#N/A N/A</v>
        <stp/>
        <stp>BDP|8292195056770150778</stp>
        <tr r="AE102" s="2"/>
      </tp>
      <tp t="s">
        <v>#N/A N/A</v>
        <stp/>
        <stp>BDP|9171963495670921206</stp>
        <tr r="AA81" s="2"/>
      </tp>
      <tp t="s">
        <v>#N/A N/A</v>
        <stp/>
        <stp>BDP|2486570412828097599</stp>
        <tr r="Q224" s="2"/>
      </tp>
      <tp t="s">
        <v>#N/A N/A</v>
        <stp/>
        <stp>BDP|9351136438203379336</stp>
        <tr r="K192" s="2"/>
        <tr r="R192" s="2"/>
        <tr r="W192" s="2"/>
      </tp>
      <tp t="s">
        <v>#N/A N/A</v>
        <stp/>
        <stp>BDP|7310995546017475601</stp>
        <tr r="O32" s="2"/>
      </tp>
      <tp t="s">
        <v>#N/A N/A</v>
        <stp/>
        <stp>BDP|6025270575298376091</stp>
        <tr r="V167" s="2"/>
      </tp>
      <tp t="s">
        <v>#N/A N/A</v>
        <stp/>
        <stp>BDP|2980483199523807797</stp>
        <tr r="D68" s="2"/>
      </tp>
      <tp t="s">
        <v>#N/A N/A</v>
        <stp/>
        <stp>BDP|3222589431939128739</stp>
        <tr r="O218" s="2"/>
      </tp>
      <tp t="s">
        <v>#N/A N/A</v>
        <stp/>
        <stp>BDP|4827888538041003510</stp>
        <tr r="E78" s="2"/>
      </tp>
      <tp t="s">
        <v>#N/A N/A</v>
        <stp/>
        <stp>BDP|4200836320146839309</stp>
        <tr r="B184" s="2"/>
      </tp>
      <tp t="s">
        <v>#N/A N/A</v>
        <stp/>
        <stp>BDP|8813389794441816851</stp>
        <tr r="V138" s="2"/>
      </tp>
      <tp t="s">
        <v>#N/A N/A</v>
        <stp/>
        <stp>BDP|8919719646614328442</stp>
        <tr r="Q110" s="2"/>
      </tp>
      <tp t="s">
        <v>#N/A N/A</v>
        <stp/>
        <stp>BDP|6972950053772615301</stp>
        <tr r="K5" s="2"/>
        <tr r="R5" s="2"/>
        <tr r="W5" s="2"/>
      </tp>
      <tp t="s">
        <v>#N/A N/A</v>
        <stp/>
        <stp>BDP|2521087454605007901</stp>
        <tr r="D5" s="2"/>
      </tp>
      <tp t="s">
        <v>#N/A N/A</v>
        <stp/>
        <stp>BDP|8079458008184726339</stp>
        <tr r="Y182" s="2"/>
      </tp>
      <tp t="s">
        <v>#N/A N/A</v>
        <stp/>
        <stp>BDP|8850381409950400048</stp>
        <tr r="M226" s="2"/>
      </tp>
      <tp t="s">
        <v>#N/A N/A</v>
        <stp/>
        <stp>BDP|4357754689717259747</stp>
        <tr r="F213" s="2"/>
      </tp>
      <tp t="s">
        <v>#N/A N/A</v>
        <stp/>
        <stp>BDP|2930948726407701558</stp>
        <tr r="C101" s="2"/>
      </tp>
      <tp t="s">
        <v>#N/A N/A</v>
        <stp/>
        <stp>BDP|9428364823990633395</stp>
        <tr r="K216" s="2"/>
        <tr r="R216" s="2"/>
        <tr r="W216" s="2"/>
      </tp>
      <tp t="s">
        <v>#N/A N/A</v>
        <stp/>
        <stp>BDP|6599741419182010964</stp>
        <tr r="H33" s="2"/>
      </tp>
      <tp t="s">
        <v>#N/A N/A</v>
        <stp/>
        <stp>BDP|6421290910536429879</stp>
        <tr r="C193" s="2"/>
      </tp>
      <tp t="s">
        <v>#N/A N/A</v>
        <stp/>
        <stp>BDP|4335081470600782820</stp>
        <tr r="U231" s="2"/>
      </tp>
      <tp t="s">
        <v>#N/A N/A</v>
        <stp/>
        <stp>BDP|4332206283404846165</stp>
        <tr r="E117" s="2"/>
      </tp>
      <tp t="s">
        <v>#N/A N/A</v>
        <stp/>
        <stp>BDP|4466075975729001186</stp>
        <tr r="I51" s="2"/>
      </tp>
      <tp t="s">
        <v>#N/A N/A</v>
        <stp/>
        <stp>BDP|7995558550755533970</stp>
        <tr r="H77" s="2"/>
      </tp>
      <tp t="s">
        <v>#N/A N/A</v>
        <stp/>
        <stp>BDP|5591660089831773132</stp>
        <tr r="L147" s="2"/>
      </tp>
      <tp t="s">
        <v>#N/A N/A</v>
        <stp/>
        <stp>BDP|2356278991792273085</stp>
        <tr r="G135" s="2"/>
      </tp>
      <tp t="s">
        <v>#N/A N/A</v>
        <stp/>
        <stp>BDP|7320804953336980765</stp>
        <tr r="E238" s="2"/>
      </tp>
      <tp t="s">
        <v>#N/A N/A</v>
        <stp/>
        <stp>BDP|1882274781409276934</stp>
        <tr r="L29" s="2"/>
      </tp>
      <tp t="s">
        <v>#N/A N/A</v>
        <stp/>
        <stp>BDP|9835577078921862107</stp>
        <tr r="Q25" s="2"/>
      </tp>
      <tp t="s">
        <v>#N/A N/A</v>
        <stp/>
        <stp>BDP|9547042458814400321</stp>
        <tr r="K97" s="2"/>
        <tr r="R97" s="2"/>
        <tr r="W97" s="2"/>
      </tp>
      <tp t="s">
        <v>#N/A N/A</v>
        <stp/>
        <stp>BDP|5601479657249038696</stp>
        <tr r="V233" s="2"/>
      </tp>
      <tp t="s">
        <v>#N/A N/A</v>
        <stp/>
        <stp>BDP|4845644480079040834</stp>
        <tr r="Y37" s="2"/>
      </tp>
      <tp t="s">
        <v>#N/A N/A</v>
        <stp/>
        <stp>BDP|8682074233190885056</stp>
        <tr r="X176" s="2"/>
      </tp>
      <tp t="s">
        <v>#N/A N/A</v>
        <stp/>
        <stp>BDP|8979421620304575111</stp>
        <tr r="Q161" s="2"/>
      </tp>
      <tp t="s">
        <v>#N/A N/A</v>
        <stp/>
        <stp>BDP|6414428060358987700</stp>
        <tr r="C141" s="2"/>
      </tp>
      <tp t="s">
        <v>#N/A N/A</v>
        <stp/>
        <stp>BDP|6854807917035020105</stp>
        <tr r="U16" s="2"/>
      </tp>
      <tp t="s">
        <v>#N/A N/A</v>
        <stp/>
        <stp>BDP|8850599110823889468</stp>
        <tr r="AE182" s="2"/>
      </tp>
      <tp t="s">
        <v>#N/A N/A</v>
        <stp/>
        <stp>BDP|8282678218631333513</stp>
        <tr r="AA205" s="2"/>
      </tp>
      <tp t="s">
        <v>#N/A N/A</v>
        <stp/>
        <stp>BDP|1616121488287469472</stp>
        <tr r="I37" s="2"/>
      </tp>
      <tp t="s">
        <v>#N/A N/A</v>
        <stp/>
        <stp>BDP|7911307881970471702</stp>
        <tr r="C131" s="2"/>
      </tp>
      <tp t="s">
        <v>#N/A N/A</v>
        <stp/>
        <stp>BDP|9807338167655536250</stp>
        <tr r="Q66" s="2"/>
      </tp>
      <tp t="s">
        <v>#N/A N/A</v>
        <stp/>
        <stp>BDP|8900029973251254561</stp>
        <tr r="G4" s="2"/>
      </tp>
      <tp t="s">
        <v>#N/A N/A</v>
        <stp/>
        <stp>BDP|2513960218964425534</stp>
        <tr r="I14" s="2"/>
      </tp>
      <tp t="s">
        <v>#N/A N/A</v>
        <stp/>
        <stp>BDP|8984743622292496471</stp>
        <tr r="AD152" s="2"/>
      </tp>
      <tp t="s">
        <v>#N/A N/A</v>
        <stp/>
        <stp>BDP|9103045441045858301</stp>
        <tr r="T228" s="2"/>
      </tp>
      <tp t="s">
        <v>#N/A N/A</v>
        <stp/>
        <stp>BDP|6505338378451558879</stp>
        <tr r="K6" s="2"/>
        <tr r="R6" s="2"/>
        <tr r="W6" s="2"/>
      </tp>
      <tp t="s">
        <v>#N/A N/A</v>
        <stp/>
        <stp>BDP|8837480457505353780</stp>
        <tr r="AB45" s="2"/>
      </tp>
      <tp t="s">
        <v>#N/A N/A</v>
        <stp/>
        <stp>BDP|6110147773152203981</stp>
        <tr r="V199" s="2"/>
      </tp>
      <tp t="s">
        <v>#N/A N/A</v>
        <stp/>
        <stp>BDP|1114381685407438641</stp>
        <tr r="P34" s="2"/>
      </tp>
      <tp t="s">
        <v>#N/A N/A</v>
        <stp/>
        <stp>BDP|2933037579938757695</stp>
        <tr r="AE91" s="2"/>
      </tp>
      <tp t="s">
        <v>#N/A N/A</v>
        <stp/>
        <stp>BDP|1037914920163598290</stp>
        <tr r="AD110" s="2"/>
      </tp>
      <tp t="s">
        <v>#N/A N/A</v>
        <stp/>
        <stp>BDP|5018940663729393891</stp>
        <tr r="I34" s="2"/>
      </tp>
      <tp t="s">
        <v>#N/A N/A</v>
        <stp/>
        <stp>BDP|5341250509938298404</stp>
        <tr r="O39" s="2"/>
      </tp>
      <tp t="s">
        <v>#N/A N/A</v>
        <stp/>
        <stp>BDP|2178746462209243183</stp>
        <tr r="K19" s="2"/>
        <tr r="R19" s="2"/>
        <tr r="W19" s="2"/>
      </tp>
      <tp t="s">
        <v>#N/A N/A</v>
        <stp/>
        <stp>BDP|6819989462542627099</stp>
        <tr r="AD209" s="2"/>
      </tp>
      <tp t="s">
        <v>#N/A N/A</v>
        <stp/>
        <stp>BDP|8805795472485766691</stp>
        <tr r="B171" s="2"/>
      </tp>
      <tp t="s">
        <v>#N/A N/A</v>
        <stp/>
        <stp>BDP|9279049960721323572</stp>
        <tr r="AE108" s="2"/>
      </tp>
      <tp t="s">
        <v>#N/A N/A</v>
        <stp/>
        <stp>BDP|4860555599971393258</stp>
        <tr r="T168" s="2"/>
      </tp>
      <tp t="s">
        <v>#N/A N/A</v>
        <stp/>
        <stp>BDP|5579872027136495230</stp>
        <tr r="E91" s="2"/>
      </tp>
      <tp t="s">
        <v>#N/A N/A</v>
        <stp/>
        <stp>BDP|8549113159770689798</stp>
        <tr r="Y190" s="2"/>
      </tp>
      <tp t="s">
        <v>#N/A N/A</v>
        <stp/>
        <stp>BDP|3975490054451356855</stp>
        <tr r="Q136" s="2"/>
      </tp>
      <tp t="s">
        <v>#N/A N/A</v>
        <stp/>
        <stp>BDP|9693436311017556038</stp>
        <tr r="Y216" s="2"/>
      </tp>
      <tp t="s">
        <v>#N/A N/A</v>
        <stp/>
        <stp>BDP|1859204299107342606</stp>
        <tr r="X207" s="2"/>
      </tp>
      <tp t="s">
        <v>#N/A N/A</v>
        <stp/>
        <stp>BDP|3575211243329013751</stp>
        <tr r="T156" s="2"/>
      </tp>
      <tp t="s">
        <v>#N/A N/A</v>
        <stp/>
        <stp>BDP|6755839756070703078</stp>
        <tr r="Y175" s="2"/>
      </tp>
      <tp t="s">
        <v>#N/A N/A</v>
        <stp/>
        <stp>BDP|2133823544532579705</stp>
        <tr r="X61" s="2"/>
      </tp>
      <tp t="s">
        <v>#N/A N/A</v>
        <stp/>
        <stp>BDP|9322636641393260316</stp>
        <tr r="P57" s="2"/>
      </tp>
      <tp t="s">
        <v>#N/A N/A</v>
        <stp/>
        <stp>BDP|8724722453494519513</stp>
        <tr r="E229" s="2"/>
      </tp>
      <tp t="s">
        <v>#N/A N/A</v>
        <stp/>
        <stp>BDP|1734809875073495658</stp>
        <tr r="K141" s="2"/>
        <tr r="R141" s="2"/>
        <tr r="W141" s="2"/>
      </tp>
      <tp t="s">
        <v>#N/A N/A</v>
        <stp/>
        <stp>BDP|5901088520204359815</stp>
        <tr r="G88" s="2"/>
      </tp>
      <tp t="s">
        <v>#N/A N/A</v>
        <stp/>
        <stp>BDP|8460059570255300113</stp>
        <tr r="C34" s="2"/>
      </tp>
      <tp t="s">
        <v>#N/A N/A</v>
        <stp/>
        <stp>BDP|3720335620350032979</stp>
        <tr r="H143" s="2"/>
      </tp>
      <tp t="s">
        <v>#N/A N/A</v>
        <stp/>
        <stp>BDP|6672861196825122942</stp>
        <tr r="F227" s="2"/>
      </tp>
      <tp t="s">
        <v>#N/A N/A</v>
        <stp/>
        <stp>BDP|3179271991981586216</stp>
        <tr r="AC197" s="2"/>
      </tp>
      <tp t="s">
        <v>#N/A N/A</v>
        <stp/>
        <stp>BDP|5472227780784149040</stp>
        <tr r="I36" s="2"/>
      </tp>
      <tp t="s">
        <v>#N/A N/A</v>
        <stp/>
        <stp>BDP|6660655707483702804</stp>
        <tr r="U100" s="2"/>
      </tp>
      <tp t="s">
        <v>#N/A N/A</v>
        <stp/>
        <stp>BDP|2309714494613093459</stp>
        <tr r="B86" s="2"/>
      </tp>
      <tp t="s">
        <v>#N/A N/A</v>
        <stp/>
        <stp>BDP|8918214811725372591</stp>
        <tr r="F178" s="2"/>
      </tp>
      <tp t="s">
        <v>#N/A N/A</v>
        <stp/>
        <stp>BDP|4374720792479246820</stp>
        <tr r="D78" s="2"/>
      </tp>
      <tp t="s">
        <v>#N/A N/A</v>
        <stp/>
        <stp>BDP|5731535583745591620</stp>
        <tr r="L128" s="2"/>
      </tp>
      <tp t="s">
        <v>#N/A N/A</v>
        <stp/>
        <stp>BDP|9432252684849126140</stp>
        <tr r="C185" s="2"/>
      </tp>
      <tp t="s">
        <v>#N/A N/A</v>
        <stp/>
        <stp>BDP|7151469720423607915</stp>
        <tr r="Q137" s="2"/>
      </tp>
      <tp t="s">
        <v>#N/A N/A</v>
        <stp/>
        <stp>BDP|2992209468214976989</stp>
        <tr r="G197" s="2"/>
      </tp>
      <tp t="s">
        <v>#N/A N/A</v>
        <stp/>
        <stp>BDP|6674206146422725978</stp>
        <tr r="N78" s="2"/>
      </tp>
      <tp t="s">
        <v>#N/A N/A</v>
        <stp/>
        <stp>BDP|8014559004732704460</stp>
        <tr r="P107" s="2"/>
      </tp>
      <tp t="s">
        <v>#N/A N/A</v>
        <stp/>
        <stp>BDP|9770343545482657706</stp>
        <tr r="Q93" s="2"/>
      </tp>
      <tp t="s">
        <v>#N/A N/A</v>
        <stp/>
        <stp>BDP|8244384264272830463</stp>
        <tr r="V75" s="2"/>
      </tp>
      <tp t="s">
        <v>#N/A N/A</v>
        <stp/>
        <stp>BDP|4406000965501955885</stp>
        <tr r="P164" s="2"/>
      </tp>
      <tp t="s">
        <v>#N/A N/A</v>
        <stp/>
        <stp>BDP|6527956544196624621</stp>
        <tr r="AB198" s="2"/>
      </tp>
      <tp t="s">
        <v>#N/A N/A</v>
        <stp/>
        <stp>BDP|3291053196929297822</stp>
        <tr r="F222" s="2"/>
      </tp>
      <tp t="s">
        <v>#N/A N/A</v>
        <stp/>
        <stp>BDP|2336121902979338110</stp>
        <tr r="H71" s="2"/>
      </tp>
      <tp t="s">
        <v>#N/A N/A</v>
        <stp/>
        <stp>BDP|8186030650900598662</stp>
        <tr r="AB153" s="2"/>
      </tp>
      <tp t="s">
        <v>#N/A N/A</v>
        <stp/>
        <stp>BDP|7405368290630035630</stp>
        <tr r="AC151" s="2"/>
      </tp>
      <tp t="s">
        <v>#N/A N/A</v>
        <stp/>
        <stp>BDP|2856598545291132941</stp>
        <tr r="I42" s="2"/>
      </tp>
      <tp t="s">
        <v>#N/A N/A</v>
        <stp/>
        <stp>BDP|4397918642384491656</stp>
        <tr r="D83" s="2"/>
      </tp>
      <tp t="s">
        <v>#N/A N/A</v>
        <stp/>
        <stp>BDP|2360803036287794532</stp>
        <tr r="AA183" s="2"/>
      </tp>
      <tp t="s">
        <v>#N/A N/A</v>
        <stp/>
        <stp>BDP|1036098293733841037</stp>
        <tr r="D135" s="2"/>
      </tp>
      <tp t="s">
        <v>#N/A N/A</v>
        <stp/>
        <stp>BDP|2896400906779657495</stp>
        <tr r="G100" s="2"/>
      </tp>
      <tp t="s">
        <v>#N/A N/A</v>
        <stp/>
        <stp>BDP|7468452124432547817</stp>
        <tr r="O66" s="2"/>
      </tp>
      <tp t="s">
        <v>#N/A N/A</v>
        <stp/>
        <stp>BDP|8320701406983780737</stp>
        <tr r="AB77" s="2"/>
      </tp>
      <tp t="s">
        <v>#N/A N/A</v>
        <stp/>
        <stp>BDP|5248765243358535534</stp>
        <tr r="C219" s="2"/>
      </tp>
      <tp t="s">
        <v>#N/A N/A</v>
        <stp/>
        <stp>BDP|1159927675387374342</stp>
        <tr r="T114" s="2"/>
      </tp>
      <tp t="s">
        <v>#N/A N/A</v>
        <stp/>
        <stp>BDP|8394279967915694246</stp>
        <tr r="AA77" s="2"/>
      </tp>
      <tp t="s">
        <v>#N/A N/A</v>
        <stp/>
        <stp>BDP|3778499967379632397</stp>
        <tr r="O71" s="2"/>
      </tp>
      <tp t="s">
        <v>#N/A N/A</v>
        <stp/>
        <stp>BDP|6405948254774346513</stp>
        <tr r="Q217" s="2"/>
      </tp>
      <tp t="s">
        <v>#N/A N/A</v>
        <stp/>
        <stp>BDP|9792600770462713167</stp>
        <tr r="Y104" s="2"/>
      </tp>
      <tp t="s">
        <v>#N/A N/A</v>
        <stp/>
        <stp>BDP|8325475133015287132</stp>
        <tr r="H128" s="2"/>
      </tp>
      <tp t="s">
        <v>#N/A N/A</v>
        <stp/>
        <stp>BDP|4316114865990128803</stp>
        <tr r="B114" s="2"/>
      </tp>
      <tp t="s">
        <v>#N/A N/A</v>
        <stp/>
        <stp>BDP|3434819441041128534</stp>
        <tr r="M159" s="2"/>
      </tp>
      <tp t="s">
        <v>#N/A N/A</v>
        <stp/>
        <stp>BDP|2728249846567668854</stp>
        <tr r="B208" s="2"/>
      </tp>
      <tp t="s">
        <v>#N/A N/A</v>
        <stp/>
        <stp>BDP|4270662570879444766</stp>
        <tr r="F171" s="2"/>
      </tp>
      <tp t="s">
        <v>#N/A N/A</v>
        <stp/>
        <stp>BDP|6912887217611441544</stp>
        <tr r="E219" s="2"/>
      </tp>
      <tp t="s">
        <v>#N/A N/A</v>
        <stp/>
        <stp>BDP|1446665035118561743</stp>
        <tr r="V147" s="2"/>
      </tp>
      <tp t="s">
        <v>#N/A N/A</v>
        <stp/>
        <stp>BDP|7983693306053756978</stp>
        <tr r="T203" s="2"/>
      </tp>
      <tp t="s">
        <v>#N/A N/A</v>
        <stp/>
        <stp>BDP|4439632705088383161</stp>
        <tr r="Z119" s="2"/>
      </tp>
      <tp t="s">
        <v>#N/A N/A</v>
        <stp/>
        <stp>BDP|1358851224189795924</stp>
        <tr r="S240" s="2"/>
      </tp>
      <tp t="s">
        <v>#N/A N/A</v>
        <stp/>
        <stp>BDP|4599959765770580077</stp>
        <tr r="G123" s="2"/>
      </tp>
      <tp t="s">
        <v>#N/A N/A</v>
        <stp/>
        <stp>BDP|9337709281048596508</stp>
        <tr r="P144" s="2"/>
      </tp>
      <tp t="s">
        <v>#N/A N/A</v>
        <stp/>
        <stp>BDP|9096419302984554217</stp>
        <tr r="C109" s="2"/>
      </tp>
      <tp t="s">
        <v>#N/A N/A</v>
        <stp/>
        <stp>BDP|5178191262118494193</stp>
        <tr r="I225" s="2"/>
      </tp>
      <tp t="s">
        <v>#N/A N/A</v>
        <stp/>
        <stp>BDP|3376403387876230210</stp>
        <tr r="U205" s="2"/>
      </tp>
      <tp t="s">
        <v>#N/A N/A</v>
        <stp/>
        <stp>BDP|9378555843282417160</stp>
        <tr r="L19" s="2"/>
      </tp>
      <tp t="s">
        <v>#N/A N/A</v>
        <stp/>
        <stp>BDP|3757884820214937613</stp>
        <tr r="V36" s="2"/>
      </tp>
      <tp t="s">
        <v>#N/A N/A</v>
        <stp/>
        <stp>BDP|5541940947404374725</stp>
        <tr r="AD43" s="2"/>
      </tp>
      <tp t="s">
        <v>#N/A N/A</v>
        <stp/>
        <stp>BDP|2156061670878695660</stp>
        <tr r="U112" s="2"/>
      </tp>
      <tp t="s">
        <v>#N/A N/A</v>
        <stp/>
        <stp>BDP|6399584589653700313</stp>
        <tr r="U115" s="2"/>
      </tp>
      <tp t="s">
        <v>#N/A N/A</v>
        <stp/>
        <stp>BDP|2874482505405037819</stp>
        <tr r="S83" s="2"/>
      </tp>
      <tp t="s">
        <v>#N/A N/A</v>
        <stp/>
        <stp>BDP|3193907464630042711</stp>
        <tr r="H181" s="2"/>
      </tp>
      <tp t="s">
        <v>#N/A N/A</v>
        <stp/>
        <stp>BDP|5752228297020309550</stp>
        <tr r="AA18" s="2"/>
      </tp>
      <tp t="s">
        <v>#N/A N/A</v>
        <stp/>
        <stp>BDP|5526204968032001899</stp>
        <tr r="X107" s="2"/>
      </tp>
      <tp t="s">
        <v>#N/A N/A</v>
        <stp/>
        <stp>BDP|7345047213919108414</stp>
        <tr r="AD61" s="2"/>
      </tp>
      <tp t="s">
        <v>#N/A N/A</v>
        <stp/>
        <stp>BDP|6586897106422720798</stp>
        <tr r="V122" s="2"/>
      </tp>
      <tp t="s">
        <v>#N/A N/A</v>
        <stp/>
        <stp>BDP|8470423743954193705</stp>
        <tr r="N9" s="2"/>
      </tp>
      <tp t="s">
        <v>#N/A N/A</v>
        <stp/>
        <stp>BDP|1504994817387849573</stp>
        <tr r="H73" s="2"/>
      </tp>
      <tp t="s">
        <v>#N/A N/A</v>
        <stp/>
        <stp>BDP|9657964687227175427</stp>
        <tr r="E32" s="2"/>
      </tp>
      <tp t="s">
        <v>#N/A N/A</v>
        <stp/>
        <stp>BDP|4943423389825585634</stp>
        <tr r="AD9" s="2"/>
      </tp>
      <tp t="s">
        <v>#N/A N/A</v>
        <stp/>
        <stp>BDP|8530887499562048006</stp>
        <tr r="Y166" s="2"/>
      </tp>
      <tp t="s">
        <v>#N/A N/A</v>
        <stp/>
        <stp>BDP|6633804079197280587</stp>
        <tr r="B63" s="2"/>
      </tp>
      <tp t="s">
        <v>#N/A N/A</v>
        <stp/>
        <stp>BDP|9669984895207988570</stp>
        <tr r="B128" s="2"/>
      </tp>
      <tp t="s">
        <v>#N/A N/A</v>
        <stp/>
        <stp>BDP|7388253151962798956</stp>
        <tr r="B79" s="2"/>
      </tp>
      <tp t="s">
        <v>#N/A N/A</v>
        <stp/>
        <stp>BDP|2537929670744515371</stp>
        <tr r="AA224" s="2"/>
      </tp>
      <tp t="s">
        <v>#N/A N/A</v>
        <stp/>
        <stp>BDP|3167015464946566841</stp>
        <tr r="B225" s="2"/>
      </tp>
      <tp t="s">
        <v>#N/A N/A</v>
        <stp/>
        <stp>BDP|7152107744128176119</stp>
        <tr r="E184" s="2"/>
      </tp>
      <tp t="s">
        <v>#N/A N/A</v>
        <stp/>
        <stp>BDP|7369748868614372990</stp>
        <tr r="AB174" s="2"/>
      </tp>
      <tp t="s">
        <v>#N/A N/A</v>
        <stp/>
        <stp>BDP|9329765850799328930</stp>
        <tr r="B124" s="2"/>
      </tp>
      <tp t="s">
        <v>#N/A N/A</v>
        <stp/>
        <stp>BDP|3705824056501214445</stp>
        <tr r="T220" s="2"/>
      </tp>
      <tp t="s">
        <v>#N/A N/A</v>
        <stp/>
        <stp>BDP|8125656172093650155</stp>
        <tr r="F159" s="2"/>
      </tp>
      <tp t="s">
        <v>#N/A N/A</v>
        <stp/>
        <stp>BDP|2639715119873577312</stp>
        <tr r="Q59" s="2"/>
      </tp>
      <tp t="s">
        <v>#N/A N/A</v>
        <stp/>
        <stp>BDP|5096264919373664137</stp>
        <tr r="P98" s="2"/>
      </tp>
      <tp t="s">
        <v>#N/A N/A</v>
        <stp/>
        <stp>BDP|7131241519983677303</stp>
        <tr r="P190" s="2"/>
      </tp>
      <tp t="s">
        <v>#N/A N/A</v>
        <stp/>
        <stp>BDP|7773418090466899841</stp>
        <tr r="Y198" s="2"/>
      </tp>
      <tp t="s">
        <v>#N/A N/A</v>
        <stp/>
        <stp>BDP|6528465829316250223</stp>
        <tr r="K142" s="2"/>
        <tr r="R142" s="2"/>
        <tr r="W142" s="2"/>
      </tp>
      <tp t="s">
        <v>#N/A N/A</v>
        <stp/>
        <stp>BDP|5801438627451716618</stp>
        <tr r="E17" s="2"/>
      </tp>
      <tp t="s">
        <v>#N/A N/A</v>
        <stp/>
        <stp>BDP|2579929299811653726</stp>
        <tr r="U3" s="2"/>
      </tp>
      <tp t="s">
        <v>#N/A N/A</v>
        <stp/>
        <stp>BDP|8355572309639753003</stp>
        <tr r="C195" s="2"/>
      </tp>
      <tp t="s">
        <v>#N/A N/A</v>
        <stp/>
        <stp>BDP|1705417468575705235</stp>
        <tr r="T162" s="2"/>
      </tp>
      <tp t="s">
        <v>#N/A N/A</v>
        <stp/>
        <stp>BDP|8474198997301756561</stp>
        <tr r="K203" s="2"/>
        <tr r="R203" s="2"/>
        <tr r="W203" s="2"/>
      </tp>
      <tp t="s">
        <v>#N/A N/A</v>
        <stp/>
        <stp>BDP|6587390938700951261</stp>
        <tr r="U232" s="2"/>
      </tp>
      <tp t="s">
        <v>#N/A N/A</v>
        <stp/>
        <stp>BDP|1229866097422062688</stp>
        <tr r="C84" s="2"/>
      </tp>
      <tp t="s">
        <v>#N/A N/A</v>
        <stp/>
        <stp>BDP|2049311066492985158</stp>
        <tr r="Y51" s="2"/>
      </tp>
      <tp t="s">
        <v>#N/A N/A</v>
        <stp/>
        <stp>BDP|6973171642656152167</stp>
        <tr r="N41" s="2"/>
      </tp>
      <tp t="s">
        <v>#N/A N/A</v>
        <stp/>
        <stp>BDP|5091675519504042258</stp>
        <tr r="V97" s="2"/>
      </tp>
      <tp t="s">
        <v>#N/A N/A</v>
        <stp/>
        <stp>BDP|6777773225322960549</stp>
        <tr r="S171" s="2"/>
      </tp>
      <tp t="s">
        <v>#N/A N/A</v>
        <stp/>
        <stp>BDP|4634028209308501805</stp>
        <tr r="AD129" s="2"/>
      </tp>
      <tp t="s">
        <v>#N/A N/A</v>
        <stp/>
        <stp>BDP|9998867971371766316</stp>
        <tr r="AB4" s="2"/>
      </tp>
      <tp t="s">
        <v>#N/A N/A</v>
        <stp/>
        <stp>BDP|1385184777104781738</stp>
        <tr r="N10" s="2"/>
      </tp>
      <tp t="s">
        <v>#N/A N/A</v>
        <stp/>
        <stp>BDP|1900618513751583368</stp>
        <tr r="Y174" s="2"/>
      </tp>
      <tp t="s">
        <v>#N/A N/A</v>
        <stp/>
        <stp>BDP|9251464609158295177</stp>
        <tr r="AB206" s="2"/>
      </tp>
      <tp t="s">
        <v>#N/A N/A</v>
        <stp/>
        <stp>BDP|2944609699201140895</stp>
        <tr r="H99" s="2"/>
      </tp>
      <tp t="s">
        <v>#N/A N/A</v>
        <stp/>
        <stp>BDP|7346660530386984041</stp>
        <tr r="E76" s="2"/>
      </tp>
      <tp t="s">
        <v>#N/A N/A</v>
        <stp/>
        <stp>BDP|9866223303006075913</stp>
        <tr r="I48" s="2"/>
      </tp>
      <tp t="s">
        <v>#N/A N/A</v>
        <stp/>
        <stp>BDP|9977388229974626867</stp>
        <tr r="T175" s="2"/>
      </tp>
      <tp t="s">
        <v>#N/A N/A</v>
        <stp/>
        <stp>BDP|5314160713005644487</stp>
        <tr r="N228" s="2"/>
      </tp>
      <tp t="s">
        <v>#N/A N/A</v>
        <stp/>
        <stp>BDP|7451660709355554067</stp>
        <tr r="S228" s="2"/>
      </tp>
      <tp t="s">
        <v>#N/A N/A</v>
        <stp/>
        <stp>BDP|7603285983109020051</stp>
        <tr r="E52" s="2"/>
      </tp>
      <tp t="s">
        <v>#N/A N/A</v>
        <stp/>
        <stp>BDP|6107533358644170634</stp>
        <tr r="Y117" s="2"/>
      </tp>
      <tp t="s">
        <v>#N/A N/A</v>
        <stp/>
        <stp>BDP|8776002627187112993</stp>
        <tr r="Z89" s="2"/>
      </tp>
      <tp t="s">
        <v>#N/A N/A</v>
        <stp/>
        <stp>BDP|9204199192927812288</stp>
        <tr r="AE235" s="2"/>
      </tp>
      <tp t="s">
        <v>#N/A N/A</v>
        <stp/>
        <stp>BDP|8672859944744910475</stp>
        <tr r="D19" s="2"/>
      </tp>
      <tp t="s">
        <v>#N/A N/A</v>
        <stp/>
        <stp>BDP|7179783855836455717</stp>
        <tr r="F27" s="2"/>
      </tp>
      <tp t="s">
        <v>#N/A N/A</v>
        <stp/>
        <stp>BDP|5036060008506474730</stp>
        <tr r="P233" s="2"/>
      </tp>
      <tp t="s">
        <v>#N/A N/A</v>
        <stp/>
        <stp>BDP|7649697717722669672</stp>
        <tr r="O188" s="2"/>
      </tp>
      <tp t="s">
        <v>#N/A N/A</v>
        <stp/>
        <stp>BDP|6092549308301426612</stp>
        <tr r="E21" s="2"/>
      </tp>
      <tp t="s">
        <v>#N/A N/A</v>
        <stp/>
        <stp>BDP|3490497731160589005</stp>
        <tr r="I179" s="2"/>
      </tp>
      <tp t="s">
        <v>#N/A N/A</v>
        <stp/>
        <stp>BDP|1588673559184371218</stp>
        <tr r="AD83" s="2"/>
      </tp>
      <tp t="s">
        <v>#N/A N/A</v>
        <stp/>
        <stp>BDP|7091104307031911379</stp>
        <tr r="S188" s="2"/>
      </tp>
      <tp t="s">
        <v>#N/A N/A</v>
        <stp/>
        <stp>BDP|3722225235422150482</stp>
        <tr r="C51" s="2"/>
      </tp>
      <tp t="s">
        <v>#N/A N/A</v>
        <stp/>
        <stp>BDP|1730483471375558322</stp>
        <tr r="V107" s="2"/>
      </tp>
      <tp t="s">
        <v>#N/A N/A</v>
        <stp/>
        <stp>BDP|3646297034362531474</stp>
        <tr r="C9" s="2"/>
      </tp>
      <tp t="s">
        <v>#N/A N/A</v>
        <stp/>
        <stp>BDP|4139411472592995129</stp>
        <tr r="I235" s="2"/>
      </tp>
      <tp t="s">
        <v>#N/A N/A</v>
        <stp/>
        <stp>BDP|5078827088301361002</stp>
        <tr r="L53" s="2"/>
      </tp>
      <tp t="s">
        <v>#N/A N/A</v>
        <stp/>
        <stp>BDP|2060682438536928505</stp>
        <tr r="C7" s="2"/>
      </tp>
      <tp t="s">
        <v>#N/A N/A</v>
        <stp/>
        <stp>BDP|7042744366944444680</stp>
        <tr r="Y170" s="2"/>
      </tp>
      <tp t="s">
        <v>#N/A N/A</v>
        <stp/>
        <stp>BDP|8326627395805801621</stp>
        <tr r="V67" s="2"/>
      </tp>
      <tp t="s">
        <v>#N/A N/A</v>
        <stp/>
        <stp>BDP|5342238219035783708</stp>
        <tr r="B214" s="2"/>
      </tp>
      <tp t="s">
        <v>#N/A N/A</v>
        <stp/>
        <stp>BDP|2258375455650898060</stp>
        <tr r="E134" s="2"/>
      </tp>
      <tp t="s">
        <v>#N/A N/A</v>
        <stp/>
        <stp>BDP|6000395919906633681</stp>
        <tr r="Q172" s="2"/>
      </tp>
      <tp t="s">
        <v>#N/A N/A</v>
        <stp/>
        <stp>BDP|8867405717350519941</stp>
        <tr r="Q102" s="2"/>
      </tp>
      <tp t="s">
        <v>#N/A N/A</v>
        <stp/>
        <stp>BDP|4564350441201818675</stp>
        <tr r="S100" s="2"/>
      </tp>
      <tp t="s">
        <v>#N/A N/A</v>
        <stp/>
        <stp>BDP|4660752840427940444</stp>
        <tr r="AD115" s="2"/>
      </tp>
      <tp t="s">
        <v>#N/A N/A</v>
        <stp/>
        <stp>BDP|3800870024394546905</stp>
        <tr r="Y97" s="2"/>
      </tp>
      <tp t="s">
        <v>#N/A N/A</v>
        <stp/>
        <stp>BDP|4316902799897191756</stp>
        <tr r="T139" s="2"/>
      </tp>
      <tp t="s">
        <v>#N/A N/A</v>
        <stp/>
        <stp>BDP|3997796110662969379</stp>
        <tr r="N81" s="2"/>
      </tp>
      <tp t="s">
        <v>#N/A N/A</v>
        <stp/>
        <stp>BDP|6788331461732972530</stp>
        <tr r="N161" s="2"/>
      </tp>
      <tp t="s">
        <v>#N/A N/A</v>
        <stp/>
        <stp>BDP|8003999582825413808</stp>
        <tr r="O132" s="2"/>
      </tp>
      <tp t="s">
        <v>#N/A N/A</v>
        <stp/>
        <stp>BDP|7478206379257701158</stp>
        <tr r="X70" s="2"/>
      </tp>
      <tp t="s">
        <v>#N/A N/A</v>
        <stp/>
        <stp>BDP|2588222452625320494</stp>
        <tr r="V119" s="2"/>
      </tp>
      <tp t="s">
        <v>#N/A N/A</v>
        <stp/>
        <stp>BDP|8371104197986906227</stp>
        <tr r="AB127" s="2"/>
      </tp>
      <tp t="s">
        <v>#N/A N/A</v>
        <stp/>
        <stp>BDP|6187436602907994162</stp>
        <tr r="S29" s="2"/>
      </tp>
      <tp t="s">
        <v>#N/A N/A</v>
        <stp/>
        <stp>BDP|3906840785015051279</stp>
        <tr r="G58" s="2"/>
      </tp>
      <tp t="s">
        <v>#N/A N/A</v>
        <stp/>
        <stp>BDP|9581606076228405483</stp>
        <tr r="V166" s="2"/>
      </tp>
      <tp t="s">
        <v>#N/A N/A</v>
        <stp/>
        <stp>BDP|6836288198588226153</stp>
        <tr r="Q191" s="2"/>
      </tp>
      <tp t="s">
        <v>#N/A N/A</v>
        <stp/>
        <stp>BDP|8767948777567805535</stp>
        <tr r="N94" s="2"/>
      </tp>
      <tp t="s">
        <v>#N/A N/A</v>
        <stp/>
        <stp>BDP|6238603532676806178</stp>
        <tr r="L86" s="2"/>
      </tp>
      <tp t="s">
        <v>#N/A N/A</v>
        <stp/>
        <stp>BDP|7404028859672779478</stp>
        <tr r="B180" s="2"/>
      </tp>
      <tp t="s">
        <v>#N/A N/A</v>
        <stp/>
        <stp>BDP|1779006963306334582</stp>
        <tr r="P117" s="2"/>
      </tp>
      <tp t="s">
        <v>#N/A N/A</v>
        <stp/>
        <stp>BDP|2338790533061476327</stp>
        <tr r="H149" s="2"/>
      </tp>
      <tp t="s">
        <v>#N/A N/A</v>
        <stp/>
        <stp>BDP|3118086276536439643</stp>
        <tr r="G131" s="2"/>
      </tp>
      <tp t="s">
        <v>#N/A N/A</v>
        <stp/>
        <stp>BDP|1532791902611759367</stp>
        <tr r="Q56" s="2"/>
      </tp>
      <tp t="s">
        <v>#N/A N/A</v>
        <stp/>
        <stp>BDP|1467499307211206044</stp>
        <tr r="B165" s="2"/>
      </tp>
      <tp t="s">
        <v>#N/A N/A</v>
        <stp/>
        <stp>BDP|8087470196718535984</stp>
        <tr r="V236" s="2"/>
      </tp>
      <tp t="s">
        <v>#N/A N/A</v>
        <stp/>
        <stp>BDP|8490182713938503469</stp>
        <tr r="T30" s="2"/>
      </tp>
      <tp t="s">
        <v>#N/A N/A</v>
        <stp/>
        <stp>BDP|9938894426641892623</stp>
        <tr r="E179" s="2"/>
      </tp>
      <tp t="s">
        <v>#N/A N/A</v>
        <stp/>
        <stp>BDP|5104459451947842719</stp>
        <tr r="L150" s="2"/>
      </tp>
      <tp t="s">
        <v>#N/A N/A</v>
        <stp/>
        <stp>BDP|5795997483657007715</stp>
        <tr r="N207" s="2"/>
      </tp>
      <tp t="s">
        <v>#N/A N/A</v>
        <stp/>
        <stp>BDP|3550630119651340108</stp>
        <tr r="U15" s="2"/>
      </tp>
      <tp t="s">
        <v>#N/A N/A</v>
        <stp/>
        <stp>BDP|1396618955404886232</stp>
        <tr r="K43" s="2"/>
        <tr r="R43" s="2"/>
        <tr r="W43" s="2"/>
      </tp>
      <tp t="s">
        <v>#N/A N/A</v>
        <stp/>
        <stp>BDP|6135412678181692026</stp>
        <tr r="P121" s="2"/>
      </tp>
      <tp t="s">
        <v>#N/A N/A</v>
        <stp/>
        <stp>BDP|4242668329630007414</stp>
        <tr r="K121" s="2"/>
        <tr r="R121" s="2"/>
        <tr r="W121" s="2"/>
      </tp>
      <tp t="s">
        <v>#N/A N/A</v>
        <stp/>
        <stp>BDP|1759855507178804512</stp>
        <tr r="N96" s="2"/>
      </tp>
      <tp t="s">
        <v>#N/A N/A</v>
        <stp/>
        <stp>BDP|2784790666326215168</stp>
        <tr r="L8" s="2"/>
      </tp>
      <tp t="s">
        <v>#N/A N/A</v>
        <stp/>
        <stp>BDP|3969270143558655974</stp>
        <tr r="I197" s="2"/>
      </tp>
      <tp t="s">
        <v>#N/A N/A</v>
        <stp/>
        <stp>BDP|2851812930049022451</stp>
        <tr r="Q132" s="2"/>
      </tp>
      <tp t="s">
        <v>#N/A N/A</v>
        <stp/>
        <stp>BDP|6126252305743893347</stp>
        <tr r="Y178" s="2"/>
      </tp>
      <tp t="s">
        <v>#N/A N/A</v>
        <stp/>
        <stp>BDP|3086225119611783519</stp>
        <tr r="H190" s="2"/>
      </tp>
      <tp t="s">
        <v>#N/A N/A</v>
        <stp/>
        <stp>BDP|9239432182260778198</stp>
        <tr r="AA31" s="2"/>
      </tp>
      <tp t="s">
        <v>#N/A N/A</v>
        <stp/>
        <stp>BDP|2955421904162198030</stp>
        <tr r="O130" s="2"/>
      </tp>
      <tp t="s">
        <v>#N/A N/A</v>
        <stp/>
        <stp>BDP|6542232409340597073</stp>
        <tr r="D219" s="2"/>
      </tp>
      <tp t="s">
        <v>#N/A N/A</v>
        <stp/>
        <stp>BDP|7064376412763006288</stp>
        <tr r="O68" s="2"/>
      </tp>
      <tp t="s">
        <v>#N/A N/A</v>
        <stp/>
        <stp>BDP|2663156625634892131</stp>
        <tr r="AC216" s="2"/>
      </tp>
      <tp t="s">
        <v>#N/A N/A</v>
        <stp/>
        <stp>BDP|2123772405031903070</stp>
        <tr r="X205" s="2"/>
      </tp>
      <tp t="s">
        <v>#N/A N/A</v>
        <stp/>
        <stp>BDP|8050470585807699794</stp>
        <tr r="O123" s="2"/>
      </tp>
      <tp t="s">
        <v>#N/A N/A</v>
        <stp/>
        <stp>BDP|4450681303742204400</stp>
        <tr r="AE180" s="2"/>
      </tp>
      <tp t="s">
        <v>#N/A N/A</v>
        <stp/>
        <stp>BDP|3631292701791215414</stp>
        <tr r="U144" s="2"/>
      </tp>
      <tp t="s">
        <v>#N/A N/A</v>
        <stp/>
        <stp>BDP|4136201919013139043</stp>
        <tr r="L95" s="2"/>
      </tp>
      <tp t="s">
        <v>#N/A N/A</v>
        <stp/>
        <stp>BDP|4072590063365274651</stp>
        <tr r="X32" s="2"/>
      </tp>
      <tp t="s">
        <v>#N/A N/A</v>
        <stp/>
        <stp>BDP|7960063131679439972</stp>
        <tr r="AC72" s="2"/>
      </tp>
      <tp t="s">
        <v>#N/A N/A</v>
        <stp/>
        <stp>BDP|9858851327363368447</stp>
        <tr r="L133" s="2"/>
      </tp>
      <tp t="s">
        <v>#N/A N/A</v>
        <stp/>
        <stp>BDP|2968552308355929603</stp>
        <tr r="AC8" s="2"/>
      </tp>
      <tp t="s">
        <v>#N/A N/A</v>
        <stp/>
        <stp>BDP|7812313604679631961</stp>
        <tr r="G127" s="2"/>
      </tp>
      <tp t="s">
        <v>#N/A N/A</v>
        <stp/>
        <stp>BDP|4495273953437304017</stp>
        <tr r="H18" s="2"/>
      </tp>
      <tp t="s">
        <v>#N/A N/A</v>
        <stp/>
        <stp>BDP|4434815764267385904</stp>
        <tr r="S90" s="2"/>
      </tp>
      <tp t="s">
        <v>#N/A N/A</v>
        <stp/>
        <stp>BDP|8489600889706954461</stp>
        <tr r="H195" s="2"/>
      </tp>
      <tp t="s">
        <v>#N/A N/A</v>
        <stp/>
        <stp>BDP|9316982616857907260</stp>
        <tr r="F8" s="2"/>
      </tp>
      <tp t="s">
        <v>#N/A N/A</v>
        <stp/>
        <stp>BDP|2539128462265008472</stp>
        <tr r="M225" s="2"/>
      </tp>
      <tp t="s">
        <v>#N/A N/A</v>
        <stp/>
        <stp>BDP|2180484865643841765</stp>
        <tr r="N71" s="2"/>
      </tp>
      <tp t="s">
        <v>#N/A N/A</v>
        <stp/>
        <stp>BDP|4596822193295465424</stp>
        <tr r="S8" s="2"/>
      </tp>
      <tp t="s">
        <v>#N/A N/A</v>
        <stp/>
        <stp>BDP|1509506300019585924</stp>
        <tr r="M232" s="2"/>
      </tp>
      <tp t="s">
        <v>#N/A N/A</v>
        <stp/>
        <stp>BDP|1496066156336310650</stp>
        <tr r="AB236" s="2"/>
      </tp>
      <tp t="s">
        <v>#N/A N/A</v>
        <stp/>
        <stp>BDP|2224857132105603819</stp>
        <tr r="H170" s="2"/>
      </tp>
      <tp t="s">
        <v>#N/A N/A</v>
        <stp/>
        <stp>BDP|5732538257116079710</stp>
        <tr r="AE195" s="2"/>
      </tp>
      <tp t="s">
        <v>#N/A N/A</v>
        <stp/>
        <stp>BDP|1343891873773885937</stp>
        <tr r="O135" s="2"/>
      </tp>
      <tp t="s">
        <v>#N/A N/A</v>
        <stp/>
        <stp>BDP|2358981379081492941</stp>
        <tr r="F153" s="2"/>
      </tp>
      <tp t="s">
        <v>#N/A N/A</v>
        <stp/>
        <stp>BDP|2797490979755300061</stp>
        <tr r="E198" s="2"/>
      </tp>
      <tp t="s">
        <v>#N/A N/A</v>
        <stp/>
        <stp>BDP|9341409667586364950</stp>
        <tr r="X187" s="2"/>
      </tp>
      <tp t="s">
        <v>#N/A N/A</v>
        <stp/>
        <stp>BDP|5778407067743311017</stp>
        <tr r="D118" s="2"/>
      </tp>
      <tp t="s">
        <v>#N/A N/A</v>
        <stp/>
        <stp>BDP|9798959411772161700</stp>
        <tr r="AA124" s="2"/>
      </tp>
      <tp t="s">
        <v>#N/A N/A</v>
        <stp/>
        <stp>BDP|9650165702054065806</stp>
        <tr r="D116" s="2"/>
      </tp>
      <tp t="s">
        <v>#N/A N/A</v>
        <stp/>
        <stp>BDP|2231188349170087311</stp>
        <tr r="E106" s="2"/>
      </tp>
      <tp t="s">
        <v>#N/A N/A</v>
        <stp/>
        <stp>BDP|7344165832982794324</stp>
        <tr r="O211" s="2"/>
      </tp>
      <tp t="s">
        <v>#N/A N/A</v>
        <stp/>
        <stp>BDP|5243778697928971796</stp>
        <tr r="Y111" s="2"/>
      </tp>
      <tp t="s">
        <v>#N/A N/A</v>
        <stp/>
        <stp>BDP|3405788085849306184</stp>
        <tr r="S118" s="2"/>
      </tp>
      <tp t="s">
        <v>#N/A N/A</v>
        <stp/>
        <stp>BDP|6914385653917792370</stp>
        <tr r="C8" s="2"/>
      </tp>
      <tp t="s">
        <v>#N/A N/A</v>
        <stp/>
        <stp>BDP|5545743530901379410</stp>
        <tr r="Z240" s="2"/>
      </tp>
      <tp t="s">
        <v>#N/A N/A</v>
        <stp/>
        <stp>BDP|2978295766893302167</stp>
        <tr r="AC135" s="2"/>
      </tp>
      <tp t="s">
        <v>#N/A N/A</v>
        <stp/>
        <stp>BDP|3404412530284455429</stp>
        <tr r="AC210" s="2"/>
      </tp>
      <tp t="s">
        <v>#N/A N/A</v>
        <stp/>
        <stp>BDP|9069234377239529122</stp>
        <tr r="T13" s="2"/>
      </tp>
      <tp t="s">
        <v>#N/A N/A</v>
        <stp/>
        <stp>BDP|7525953179629835424</stp>
        <tr r="P134" s="2"/>
      </tp>
      <tp t="s">
        <v>#N/A N/A</v>
        <stp/>
        <stp>BDP|3456139612337455029</stp>
        <tr r="N209" s="2"/>
      </tp>
      <tp t="s">
        <v>#N/A N/A</v>
        <stp/>
        <stp>BDP|6475896090266889569</stp>
        <tr r="K228" s="2"/>
        <tr r="R228" s="2"/>
        <tr r="W228" s="2"/>
      </tp>
      <tp t="s">
        <v>#N/A N/A</v>
        <stp/>
        <stp>BDP|4861642551326702592</stp>
        <tr r="T78" s="2"/>
      </tp>
      <tp t="s">
        <v>#N/A N/A</v>
        <stp/>
        <stp>BDP|6286689068877145508</stp>
        <tr r="P193" s="2"/>
      </tp>
      <tp t="s">
        <v>#N/A N/A</v>
        <stp/>
        <stp>BDP|7459028541853655425</stp>
        <tr r="AD22" s="2"/>
      </tp>
      <tp t="s">
        <v>#N/A N/A</v>
        <stp/>
        <stp>BDP|9205164616815198802</stp>
        <tr r="E225" s="2"/>
      </tp>
      <tp t="s">
        <v>#N/A N/A</v>
        <stp/>
        <stp>BDP|2913984474380633803</stp>
        <tr r="X194" s="2"/>
      </tp>
      <tp t="s">
        <v>#N/A N/A</v>
        <stp/>
        <stp>BDP|9229812664643565029</stp>
        <tr r="K239" s="2"/>
        <tr r="R239" s="2"/>
        <tr r="W239" s="2"/>
      </tp>
      <tp t="s">
        <v>#N/A N/A</v>
        <stp/>
        <stp>BDP|6381656646339551954</stp>
        <tr r="G3" s="2"/>
      </tp>
      <tp t="s">
        <v>#N/A N/A</v>
        <stp/>
        <stp>BDP|3032578624171721149</stp>
        <tr r="AB219" s="2"/>
      </tp>
      <tp t="s">
        <v>#N/A N/A</v>
        <stp/>
        <stp>BDP|3922166651190958372</stp>
        <tr r="C218" s="2"/>
      </tp>
      <tp t="s">
        <v>#N/A N/A</v>
        <stp/>
        <stp>BDP|3258451809730725393</stp>
        <tr r="D190" s="2"/>
      </tp>
      <tp t="s">
        <v>#N/A N/A</v>
        <stp/>
        <stp>BDP|7224246614742575270</stp>
        <tr r="F141" s="2"/>
      </tp>
      <tp t="s">
        <v>#N/A N/A</v>
        <stp/>
        <stp>BDP|2475665353022139705</stp>
        <tr r="U239" s="2"/>
      </tp>
      <tp t="s">
        <v>#N/A N/A</v>
        <stp/>
        <stp>BDP|7311544557835077613</stp>
        <tr r="AD90" s="2"/>
      </tp>
      <tp t="s">
        <v>#N/A N/A</v>
        <stp/>
        <stp>BDP|6650214442902330673</stp>
        <tr r="B224" s="2"/>
      </tp>
      <tp t="s">
        <v>#N/A N/A</v>
        <stp/>
        <stp>BDP|7064736752842675367</stp>
        <tr r="U211" s="2"/>
      </tp>
      <tp t="s">
        <v>#N/A N/A</v>
        <stp/>
        <stp>BDP|1052266801401062669</stp>
        <tr r="P18" s="2"/>
      </tp>
      <tp t="s">
        <v>#N/A N/A</v>
        <stp/>
        <stp>BDP|3693600572327613131</stp>
        <tr r="X131" s="2"/>
      </tp>
      <tp t="s">
        <v>#N/A N/A</v>
        <stp/>
        <stp>BDP|5656211858694987270</stp>
        <tr r="N64" s="2"/>
      </tp>
      <tp t="s">
        <v>#N/A N/A</v>
        <stp/>
        <stp>BDP|7023399011643065291</stp>
        <tr r="U17" s="2"/>
      </tp>
      <tp t="s">
        <v>#N/A N/A</v>
        <stp/>
        <stp>BDP|1953760006403075189</stp>
        <tr r="E228" s="2"/>
      </tp>
      <tp t="s">
        <v>#N/A N/A</v>
        <stp/>
        <stp>BDP|9395882292715011982</stp>
        <tr r="S95" s="2"/>
      </tp>
      <tp t="s">
        <v>#N/A N/A</v>
        <stp/>
        <stp>BDP|1722174440468256834</stp>
        <tr r="K194" s="2"/>
        <tr r="R194" s="2"/>
        <tr r="W194" s="2"/>
      </tp>
      <tp t="s">
        <v>#N/A N/A</v>
        <stp/>
        <stp>BDP|8314453954545042830</stp>
        <tr r="U151" s="2"/>
      </tp>
      <tp t="s">
        <v>#N/A N/A</v>
        <stp/>
        <stp>BDP|6990643779750603338</stp>
        <tr r="AC46" s="2"/>
      </tp>
      <tp t="s">
        <v>#N/A N/A</v>
        <stp/>
        <stp>BDP|7626975081390371227</stp>
        <tr r="Y44" s="2"/>
      </tp>
      <tp t="s">
        <v>#N/A N/A</v>
        <stp/>
        <stp>BDP|7774952865155070964</stp>
        <tr r="E49" s="2"/>
      </tp>
      <tp t="s">
        <v>#N/A N/A</v>
        <stp/>
        <stp>BDP|3882637907566557788</stp>
        <tr r="L55" s="2"/>
      </tp>
      <tp t="s">
        <v>#N/A N/A</v>
        <stp/>
        <stp>BDP|3108809783251244619</stp>
        <tr r="E108" s="2"/>
      </tp>
      <tp t="s">
        <v>#N/A N/A</v>
        <stp/>
        <stp>BDP|2751467153140088740</stp>
        <tr r="I123" s="2"/>
      </tp>
      <tp t="s">
        <v>#N/A N/A</v>
        <stp/>
        <stp>BDP|1385616460092361773</stp>
        <tr r="AC95" s="2"/>
      </tp>
      <tp t="s">
        <v>#N/A N/A</v>
        <stp/>
        <stp>BDP|1964228522701835474</stp>
        <tr r="G194" s="2"/>
      </tp>
      <tp t="s">
        <v>#N/A N/A</v>
        <stp/>
        <stp>BDP|9046713632861310860</stp>
        <tr r="I172" s="2"/>
      </tp>
      <tp t="s">
        <v>#N/A N/A</v>
        <stp/>
        <stp>BDP|6370855016889145270</stp>
        <tr r="Z65" s="2"/>
      </tp>
      <tp t="s">
        <v>#N/A N/A</v>
        <stp/>
        <stp>BDP|5697665061534088570</stp>
        <tr r="H7" s="2"/>
      </tp>
      <tp t="s">
        <v>#N/A N/A</v>
        <stp/>
        <stp>BDP|5620047626232401163</stp>
        <tr r="AC164" s="2"/>
      </tp>
      <tp t="s">
        <v>#N/A N/A</v>
        <stp/>
        <stp>BDP|9270469551835475975</stp>
        <tr r="C154" s="2"/>
      </tp>
      <tp t="s">
        <v>#N/A N/A</v>
        <stp/>
        <stp>BDP|4149542740168754946</stp>
        <tr r="D26" s="2"/>
      </tp>
      <tp t="s">
        <v>#N/A N/A</v>
        <stp/>
        <stp>BDP|6155927633329765111</stp>
        <tr r="F24" s="2"/>
      </tp>
      <tp t="s">
        <v>#N/A N/A</v>
        <stp/>
        <stp>BDP|6275168735305263543</stp>
        <tr r="Z190" s="2"/>
      </tp>
      <tp t="s">
        <v>#N/A N/A</v>
        <stp/>
        <stp>BDP|5787056908584524580</stp>
        <tr r="AC42" s="2"/>
      </tp>
      <tp t="s">
        <v>#N/A N/A</v>
        <stp/>
        <stp>BDP|5349569389318862431</stp>
        <tr r="H118" s="2"/>
      </tp>
      <tp t="s">
        <v>#N/A N/A</v>
        <stp/>
        <stp>BDP|4022971080544193514</stp>
        <tr r="AE173" s="2"/>
      </tp>
      <tp t="s">
        <v>#N/A N/A</v>
        <stp/>
        <stp>BDP|7855042466953522681</stp>
        <tr r="X88" s="2"/>
      </tp>
      <tp t="s">
        <v>#N/A N/A</v>
        <stp/>
        <stp>BDP|5390777970421132024</stp>
        <tr r="F123" s="2"/>
      </tp>
      <tp t="s">
        <v>#N/A N/A</v>
        <stp/>
        <stp>BDP|6934399724677414472</stp>
        <tr r="Z58" s="2"/>
      </tp>
      <tp t="s">
        <v>#N/A N/A</v>
        <stp/>
        <stp>BDP|8770885529137616173</stp>
        <tr r="T9" s="2"/>
      </tp>
      <tp t="s">
        <v>#N/A N/A</v>
        <stp/>
        <stp>BDP|7316892197087345596</stp>
        <tr r="AD122" s="2"/>
      </tp>
      <tp t="s">
        <v>#N/A N/A</v>
        <stp/>
        <stp>BDP|7626456176456186638</stp>
        <tr r="AA100" s="2"/>
      </tp>
      <tp t="s">
        <v>#N/A N/A</v>
        <stp/>
        <stp>BDP|2766762291289138166</stp>
        <tr r="D143" s="2"/>
      </tp>
      <tp t="s">
        <v>#N/A N/A</v>
        <stp/>
        <stp>BDP|2979570085373939854</stp>
        <tr r="M106" s="2"/>
      </tp>
      <tp t="s">
        <v>#N/A N/A</v>
        <stp/>
        <stp>BDP|8121773794856725429</stp>
        <tr r="C114" s="2"/>
      </tp>
      <tp t="s">
        <v>#N/A N/A</v>
        <stp/>
        <stp>BDP|6348252502917394703</stp>
        <tr r="N204" s="2"/>
      </tp>
      <tp t="s">
        <v>#N/A N/A</v>
        <stp/>
        <stp>BDP|9098548795760789123</stp>
        <tr r="C191" s="2"/>
      </tp>
      <tp t="s">
        <v>#N/A N/A</v>
        <stp/>
        <stp>BDP|5192201251527143154</stp>
        <tr r="Q184" s="2"/>
      </tp>
      <tp t="s">
        <v>#N/A N/A</v>
        <stp/>
        <stp>BDP|7417942587501303309</stp>
        <tr r="P12" s="2"/>
      </tp>
      <tp t="s">
        <v>#N/A N/A</v>
        <stp/>
        <stp>BDP|6955942437840911870</stp>
        <tr r="Z144" s="2"/>
      </tp>
      <tp t="s">
        <v>#N/A N/A</v>
        <stp/>
        <stp>BDP|5020305403624074678</stp>
        <tr r="P146" s="2"/>
      </tp>
      <tp t="s">
        <v>#N/A N/A</v>
        <stp/>
        <stp>BDP|8991330596891981717</stp>
        <tr r="AD68" s="2"/>
      </tp>
      <tp t="s">
        <v>#N/A N/A</v>
        <stp/>
        <stp>BDP|5131567452167864692</stp>
        <tr r="Z179" s="2"/>
      </tp>
      <tp t="s">
        <v>#N/A N/A</v>
        <stp/>
        <stp>BDP|4033163182459044001</stp>
        <tr r="V227" s="2"/>
      </tp>
      <tp t="s">
        <v>#N/A N/A</v>
        <stp/>
        <stp>BDP|3760144217755239227</stp>
        <tr r="V237" s="2"/>
      </tp>
      <tp t="s">
        <v>#N/A N/A</v>
        <stp/>
        <stp>BDP|8488977277056996497</stp>
        <tr r="AC196" s="2"/>
      </tp>
      <tp t="s">
        <v>#N/A N/A</v>
        <stp/>
        <stp>BDP|6956691010162113751</stp>
        <tr r="T107" s="2"/>
      </tp>
      <tp t="s">
        <v>#N/A N/A</v>
        <stp/>
        <stp>BDP|9413110953210368910</stp>
        <tr r="X34" s="2"/>
      </tp>
      <tp t="s">
        <v>#N/A N/A</v>
        <stp/>
        <stp>BDP|2049343723647542060</stp>
        <tr r="AA227" s="2"/>
      </tp>
      <tp t="s">
        <v>#N/A N/A</v>
        <stp/>
        <stp>BDP|5005579154049507831</stp>
        <tr r="N110" s="2"/>
      </tp>
      <tp t="s">
        <v>#N/A N/A</v>
        <stp/>
        <stp>BDP|2854545441070896701</stp>
        <tr r="AC38" s="2"/>
      </tp>
      <tp t="s">
        <v>#N/A N/A</v>
        <stp/>
        <stp>BDP|7617755931526306149</stp>
        <tr r="AA233" s="2"/>
      </tp>
      <tp t="s">
        <v>#N/A N/A</v>
        <stp/>
        <stp>BDP|3091217465935343628</stp>
        <tr r="I231" s="2"/>
      </tp>
      <tp t="s">
        <v>#N/A N/A</v>
        <stp/>
        <stp>BDP|6996885082502754017</stp>
        <tr r="B228" s="2"/>
      </tp>
      <tp t="s">
        <v>#N/A N/A</v>
        <stp/>
        <stp>BDP|9271561657469161479</stp>
        <tr r="V59" s="2"/>
      </tp>
      <tp t="s">
        <v>#N/A N/A</v>
        <stp/>
        <stp>BDP|4970286430840626124</stp>
        <tr r="Y78" s="2"/>
      </tp>
      <tp t="s">
        <v>#N/A N/A</v>
        <stp/>
        <stp>BDP|1402532342595005109</stp>
        <tr r="C145" s="2"/>
      </tp>
      <tp t="s">
        <v>#N/A N/A</v>
        <stp/>
        <stp>BDP|6549326462355167219</stp>
        <tr r="I26" s="2"/>
      </tp>
      <tp t="s">
        <v>#N/A N/A</v>
        <stp/>
        <stp>BDP|7361373625560250264</stp>
        <tr r="P6" s="2"/>
      </tp>
      <tp t="s">
        <v>#N/A N/A</v>
        <stp/>
        <stp>BDP|4758828694422315379</stp>
        <tr r="K207" s="2"/>
        <tr r="R207" s="2"/>
        <tr r="W207" s="2"/>
      </tp>
      <tp t="s">
        <v>#N/A N/A</v>
        <stp/>
        <stp>BDP|5821421721511801665</stp>
        <tr r="X214" s="2"/>
      </tp>
      <tp t="s">
        <v>#N/A N/A</v>
        <stp/>
        <stp>BDP|9547620713069949383</stp>
        <tr r="AD114" s="2"/>
      </tp>
      <tp t="s">
        <v>#N/A N/A</v>
        <stp/>
        <stp>BDP|5656195877450823755</stp>
        <tr r="AC129" s="2"/>
      </tp>
      <tp t="s">
        <v>#N/A N/A</v>
        <stp/>
        <stp>BDP|8806943777602751094</stp>
        <tr r="B109" s="2"/>
      </tp>
      <tp t="s">
        <v>#N/A N/A</v>
        <stp/>
        <stp>BDP|9692934571960588348</stp>
        <tr r="E168" s="2"/>
      </tp>
      <tp t="s">
        <v>#N/A N/A</v>
        <stp/>
        <stp>BDP|5346192426906316556</stp>
        <tr r="X96" s="2"/>
      </tp>
      <tp t="s">
        <v>#N/A N/A</v>
        <stp/>
        <stp>BDP|5241831398983237217</stp>
        <tr r="E97" s="2"/>
      </tp>
      <tp t="s">
        <v>#N/A N/A</v>
        <stp/>
        <stp>BDP|5572791052202693026</stp>
        <tr r="F66" s="2"/>
      </tp>
      <tp t="s">
        <v>#N/A N/A</v>
        <stp/>
        <stp>BDP|6457355378882505563</stp>
        <tr r="Q147" s="2"/>
      </tp>
      <tp t="s">
        <v>#N/A N/A</v>
        <stp/>
        <stp>BDP|4340103489639293125</stp>
        <tr r="Y24" s="2"/>
      </tp>
      <tp t="s">
        <v>#N/A N/A</v>
        <stp/>
        <stp>BDP|6037169901454957647</stp>
        <tr r="T152" s="2"/>
      </tp>
      <tp t="s">
        <v>#N/A N/A</v>
        <stp/>
        <stp>BDP|5425884287420757069</stp>
        <tr r="AD35" s="2"/>
      </tp>
      <tp t="s">
        <v>#N/A N/A</v>
        <stp/>
        <stp>BDP|4668458759906822684</stp>
        <tr r="Z88" s="2"/>
      </tp>
      <tp t="s">
        <v>#N/A N/A</v>
        <stp/>
        <stp>BDP|4736475844116740793</stp>
        <tr r="V66" s="2"/>
      </tp>
      <tp t="s">
        <v>#N/A N/A</v>
        <stp/>
        <stp>BDP|3643394695575149911</stp>
        <tr r="S237" s="2"/>
      </tp>
      <tp t="s">
        <v>#N/A N/A</v>
        <stp/>
        <stp>BDP|2810665711078504806</stp>
        <tr r="U227" s="2"/>
      </tp>
      <tp t="s">
        <v>#N/A N/A</v>
        <stp/>
        <stp>BDP|2784743627713775199</stp>
        <tr r="B25" s="2"/>
      </tp>
      <tp t="s">
        <v>#N/A N/A</v>
        <stp/>
        <stp>BDP|8716721908503214951</stp>
        <tr r="I95" s="2"/>
      </tp>
      <tp t="s">
        <v>#N/A N/A</v>
        <stp/>
        <stp>BDP|7381202128165852799</stp>
        <tr r="N136" s="2"/>
      </tp>
      <tp t="s">
        <v>#N/A N/A</v>
        <stp/>
        <stp>BDP|9223711198467811590</stp>
        <tr r="C74" s="2"/>
      </tp>
      <tp t="s">
        <v>#N/A N/A</v>
        <stp/>
        <stp>BDP|1310474831133756087</stp>
        <tr r="O103" s="2"/>
      </tp>
      <tp t="s">
        <v>#N/A N/A</v>
        <stp/>
        <stp>BDP|2063153138667688202</stp>
        <tr r="O54" s="2"/>
      </tp>
      <tp t="s">
        <v>#N/A N/A</v>
        <stp/>
        <stp>BDP|4829643944034575769</stp>
        <tr r="F200" s="2"/>
      </tp>
      <tp t="s">
        <v>#N/A N/A</v>
        <stp/>
        <stp>BDP|9431815102010882440</stp>
        <tr r="L225" s="2"/>
      </tp>
      <tp t="s">
        <v>#N/A N/A</v>
        <stp/>
        <stp>BDP|1951226404671644720</stp>
        <tr r="L233" s="2"/>
      </tp>
      <tp t="s">
        <v>#N/A N/A</v>
        <stp/>
        <stp>BDP|4245588973702338118</stp>
        <tr r="S227" s="2"/>
      </tp>
      <tp t="s">
        <v>#N/A N/A</v>
        <stp/>
        <stp>BDP|2769494587723059820</stp>
        <tr r="C95" s="2"/>
      </tp>
      <tp t="s">
        <v>#N/A N/A</v>
        <stp/>
        <stp>BDP|9195690636831065850</stp>
        <tr r="B192" s="2"/>
      </tp>
      <tp t="s">
        <v>#N/A N/A</v>
        <stp/>
        <stp>BDP|3449179735135889152</stp>
        <tr r="D184" s="2"/>
      </tp>
      <tp t="s">
        <v>#N/A N/A</v>
        <stp/>
        <stp>BDP|1928125302785681071</stp>
        <tr r="Q138" s="2"/>
      </tp>
      <tp t="s">
        <v>#N/A N/A</v>
        <stp/>
        <stp>BDP|9793547679628446664</stp>
        <tr r="F59" s="2"/>
      </tp>
      <tp t="s">
        <v>#N/A N/A</v>
        <stp/>
        <stp>BDP|8619488460547136874</stp>
        <tr r="O11" s="2"/>
      </tp>
      <tp t="s">
        <v>#N/A N/A</v>
        <stp/>
        <stp>BDP|6624576796736686994</stp>
        <tr r="AE211" s="2"/>
      </tp>
      <tp t="s">
        <v>#N/A N/A</v>
        <stp/>
        <stp>BDP|3816459640762072458</stp>
        <tr r="AE158" s="2"/>
      </tp>
      <tp t="s">
        <v>#N/A N/A</v>
        <stp/>
        <stp>BDP|9658456884884890472</stp>
        <tr r="D174" s="2"/>
      </tp>
      <tp t="s">
        <v>#N/A N/A</v>
        <stp/>
        <stp>BDP|5939149686861188829</stp>
        <tr r="T127" s="2"/>
      </tp>
      <tp t="s">
        <v>#N/A N/A</v>
        <stp/>
        <stp>BDP|5374883993918100919</stp>
        <tr r="AC136" s="2"/>
      </tp>
      <tp t="s">
        <v>#N/A N/A</v>
        <stp/>
        <stp>BDP|1626160118236470240</stp>
        <tr r="E183" s="2"/>
      </tp>
      <tp t="s">
        <v>#N/A N/A</v>
        <stp/>
        <stp>BDP|1666745167521481498</stp>
        <tr r="G199" s="2"/>
      </tp>
      <tp t="s">
        <v>#N/A N/A</v>
        <stp/>
        <stp>BDP|8421902208590500413</stp>
        <tr r="B40" s="2"/>
      </tp>
      <tp t="s">
        <v>#N/A N/A</v>
        <stp/>
        <stp>BDP|1800873644831766954</stp>
        <tr r="S194" s="2"/>
      </tp>
      <tp t="s">
        <v>#N/A N/A</v>
        <stp/>
        <stp>BDP|4390571945104842407</stp>
        <tr r="X202" s="2"/>
      </tp>
      <tp t="s">
        <v>#N/A N/A</v>
        <stp/>
        <stp>BDP|2738428568666151354</stp>
        <tr r="Z217" s="2"/>
      </tp>
      <tp t="s">
        <v>#N/A N/A</v>
        <stp/>
        <stp>BDP|3892777316600265020</stp>
        <tr r="B152" s="2"/>
      </tp>
      <tp t="s">
        <v>#N/A N/A</v>
        <stp/>
        <stp>BDP|7967405297958325746</stp>
        <tr r="C215" s="2"/>
      </tp>
      <tp t="s">
        <v>#N/A N/A</v>
        <stp/>
        <stp>BDP|6252616155698823879</stp>
        <tr r="AC82" s="2"/>
      </tp>
      <tp t="s">
        <v>#N/A N/A</v>
        <stp/>
        <stp>BDP|4001227046353915440</stp>
        <tr r="Y186" s="2"/>
      </tp>
      <tp t="s">
        <v>#N/A N/A</v>
        <stp/>
        <stp>BDP|5078001849461756571</stp>
        <tr r="F99" s="2"/>
      </tp>
      <tp t="s">
        <v>#N/A N/A</v>
        <stp/>
        <stp>BDP|7340032720949960970</stp>
        <tr r="U164" s="2"/>
      </tp>
      <tp t="s">
        <v>#N/A N/A</v>
        <stp/>
        <stp>BDP|9397151610755025985</stp>
        <tr r="P62" s="2"/>
      </tp>
      <tp t="s">
        <v>#N/A N/A</v>
        <stp/>
        <stp>BDP|4373889297361437165</stp>
        <tr r="L154" s="2"/>
      </tp>
      <tp t="s">
        <v>#N/A N/A</v>
        <stp/>
        <stp>BDP|6085345637241930246</stp>
        <tr r="D162" s="2"/>
      </tp>
      <tp t="s">
        <v>#N/A N/A</v>
        <stp/>
        <stp>BDP|9714567688909645816</stp>
        <tr r="AE20" s="2"/>
      </tp>
      <tp t="s">
        <v>#N/A N/A</v>
        <stp/>
        <stp>BDP|9656979711431941571</stp>
        <tr r="V128" s="2"/>
      </tp>
      <tp t="s">
        <v>#N/A N/A</v>
        <stp/>
        <stp>BDP|4286166115608978961</stp>
        <tr r="AB125" s="2"/>
      </tp>
      <tp t="s">
        <v>#N/A N/A</v>
        <stp/>
        <stp>BDP|4879679122614694150</stp>
        <tr r="AC119" s="2"/>
      </tp>
      <tp t="s">
        <v>#N/A N/A</v>
        <stp/>
        <stp>BDP|7058278820933960102</stp>
        <tr r="K172" s="2"/>
        <tr r="R172" s="2"/>
        <tr r="W172" s="2"/>
      </tp>
      <tp t="s">
        <v>#N/A N/A</v>
        <stp/>
        <stp>BDP|3218412031122402382</stp>
        <tr r="AA218" s="2"/>
      </tp>
      <tp t="s">
        <v>#N/A N/A</v>
        <stp/>
        <stp>BDP|5050437604675045193</stp>
        <tr r="AC226" s="2"/>
      </tp>
      <tp t="s">
        <v>#N/A N/A</v>
        <stp/>
        <stp>BDP|4235561848787156737</stp>
        <tr r="L54" s="2"/>
      </tp>
      <tp t="s">
        <v>#N/A N/A</v>
        <stp/>
        <stp>BDP|5512385703291003200</stp>
        <tr r="AD84" s="2"/>
      </tp>
      <tp t="s">
        <v>#N/A N/A</v>
        <stp/>
        <stp>BDP|5416701928992521763</stp>
        <tr r="D197" s="2"/>
      </tp>
      <tp t="s">
        <v>#N/A N/A</v>
        <stp/>
        <stp>BDP|6037198026693606361</stp>
        <tr r="H2" s="2"/>
      </tp>
      <tp t="s">
        <v>#N/A N/A</v>
        <stp/>
        <stp>BDP|5834073426432036068</stp>
        <tr r="D136" s="2"/>
      </tp>
      <tp t="s">
        <v>#N/A N/A</v>
        <stp/>
        <stp>BDP|4069376173131869439</stp>
        <tr r="AB42" s="2"/>
      </tp>
      <tp t="s">
        <v>#N/A N/A</v>
        <stp/>
        <stp>BDP|7690863494691377285</stp>
        <tr r="AB138" s="2"/>
      </tp>
      <tp t="s">
        <v>#N/A N/A</v>
        <stp/>
        <stp>BDP|7742629942751131199</stp>
        <tr r="F229" s="2"/>
      </tp>
      <tp t="s">
        <v>#N/A N/A</v>
        <stp/>
        <stp>BDP|6460061809572447106</stp>
        <tr r="N84" s="2"/>
      </tp>
      <tp t="s">
        <v>#N/A N/A</v>
        <stp/>
        <stp>BDP|5074038974931110694</stp>
        <tr r="Y221" s="2"/>
      </tp>
      <tp t="s">
        <v>#N/A N/A</v>
        <stp/>
        <stp>BDP|3942889891250890775</stp>
        <tr r="C152" s="2"/>
      </tp>
      <tp t="s">
        <v>#N/A N/A</v>
        <stp/>
        <stp>BDP|5307783708277813042</stp>
        <tr r="AD113" s="2"/>
      </tp>
      <tp t="s">
        <v>#N/A N/A</v>
        <stp/>
        <stp>BDP|2201044650391934301</stp>
        <tr r="AC73" s="2"/>
      </tp>
      <tp t="s">
        <v>#N/A N/A</v>
        <stp/>
        <stp>BDP|4374165590929381095</stp>
        <tr r="X185" s="2"/>
      </tp>
      <tp t="s">
        <v>#N/A N/A</v>
        <stp/>
        <stp>BDP|4718883385417270648</stp>
        <tr r="E177" s="2"/>
      </tp>
      <tp t="s">
        <v>#N/A N/A</v>
        <stp/>
        <stp>BDP|6148751796975639885</stp>
        <tr r="U221" s="2"/>
      </tp>
      <tp t="s">
        <v>#N/A N/A</v>
        <stp/>
        <stp>BDP|3330102150191981362</stp>
        <tr r="G116" s="2"/>
      </tp>
      <tp t="s">
        <v>#N/A N/A</v>
        <stp/>
        <stp>BDP|3796290749996894635</stp>
        <tr r="AB146" s="2"/>
      </tp>
      <tp t="s">
        <v>#N/A N/A</v>
        <stp/>
        <stp>BDP|8322732022081767996</stp>
        <tr r="C225" s="2"/>
      </tp>
      <tp t="s">
        <v>#N/A N/A</v>
        <stp/>
        <stp>BDP|3946328786374293935</stp>
        <tr r="O162" s="2"/>
      </tp>
      <tp t="s">
        <v>#N/A N/A</v>
        <stp/>
        <stp>BDP|2793038349034976783</stp>
        <tr r="X196" s="2"/>
      </tp>
      <tp t="s">
        <v>#N/A N/A</v>
        <stp/>
        <stp>BDP|4570947907100279883</stp>
        <tr r="Y18" s="2"/>
      </tp>
      <tp t="s">
        <v>#N/A N/A</v>
        <stp/>
        <stp>BDP|2069204373051773380</stp>
        <tr r="K37" s="2"/>
        <tr r="R37" s="2"/>
        <tr r="W37" s="2"/>
      </tp>
      <tp t="s">
        <v>#N/A N/A</v>
        <stp/>
        <stp>BDP|8497798149296031885</stp>
        <tr r="B90" s="2"/>
      </tp>
      <tp t="s">
        <v>#N/A N/A</v>
        <stp/>
        <stp>BDP|5167944834142801856</stp>
        <tr r="AA228" s="2"/>
      </tp>
      <tp t="s">
        <v>#N/A N/A</v>
        <stp/>
        <stp>BDP|5733684676826417706</stp>
        <tr r="Y212" s="2"/>
      </tp>
      <tp t="s">
        <v>#N/A N/A</v>
        <stp/>
        <stp>BDP|7815939487993683077</stp>
        <tr r="N191" s="2"/>
      </tp>
      <tp t="s">
        <v>#N/A N/A</v>
        <stp/>
        <stp>BDP|6052680402272637715</stp>
        <tr r="D44" s="2"/>
      </tp>
      <tp t="s">
        <v>#N/A N/A</v>
        <stp/>
        <stp>BDP|2712061730663514797</stp>
        <tr r="AE137" s="2"/>
      </tp>
      <tp t="s">
        <v>#N/A N/A</v>
        <stp/>
        <stp>BDP|3796211150911299098</stp>
        <tr r="T37" s="2"/>
      </tp>
      <tp t="s">
        <v>#N/A N/A</v>
        <stp/>
        <stp>BDP|2729865084331117696</stp>
        <tr r="T26" s="2"/>
      </tp>
      <tp t="s">
        <v>#N/A N/A</v>
        <stp/>
        <stp>BDP|8321849842724003588</stp>
        <tr r="U145" s="2"/>
      </tp>
      <tp t="s">
        <v>#N/A N/A</v>
        <stp/>
        <stp>BDP|6973993867579200586</stp>
        <tr r="N80" s="2"/>
      </tp>
      <tp t="s">
        <v>#N/A N/A</v>
        <stp/>
        <stp>BDP|9485861017973395640</stp>
        <tr r="AE152" s="2"/>
      </tp>
      <tp t="s">
        <v>#N/A N/A</v>
        <stp/>
        <stp>BDP|5261690857642799192</stp>
        <tr r="AA19" s="2"/>
      </tp>
      <tp t="s">
        <v>#N/A N/A</v>
        <stp/>
        <stp>BDP|8039408248594200982</stp>
        <tr r="U75" s="2"/>
      </tp>
      <tp t="s">
        <v>#N/A N/A</v>
        <stp/>
        <stp>BDP|1997982929656312990</stp>
        <tr r="AA215" s="2"/>
      </tp>
      <tp t="s">
        <v>#N/A N/A</v>
        <stp/>
        <stp>BDP|5583761921933690668</stp>
        <tr r="AB168" s="2"/>
      </tp>
      <tp t="s">
        <v>#N/A N/A</v>
        <stp/>
        <stp>BDP|9654741396044315655</stp>
        <tr r="AB239" s="2"/>
      </tp>
      <tp t="s">
        <v>#N/A N/A</v>
        <stp/>
        <stp>BDP|3974323440056819715</stp>
        <tr r="T134" s="2"/>
      </tp>
      <tp t="s">
        <v>#N/A N/A</v>
        <stp/>
        <stp>BDP|7341854846666258801</stp>
        <tr r="X23" s="2"/>
      </tp>
      <tp t="s">
        <v>#N/A N/A</v>
        <stp/>
        <stp>BDP|9545342290553791548</stp>
        <tr r="AE63" s="2"/>
      </tp>
      <tp t="s">
        <v>#N/A N/A</v>
        <stp/>
        <stp>BDP|6073332834244254777</stp>
        <tr r="Y88" s="2"/>
      </tp>
      <tp t="s">
        <v>#N/A N/A</v>
        <stp/>
        <stp>BDP|3292467962987267365</stp>
        <tr r="C144" s="2"/>
      </tp>
      <tp t="s">
        <v>#N/A N/A</v>
        <stp/>
        <stp>BDP|1659349166104762502</stp>
        <tr r="M131" s="2"/>
      </tp>
      <tp t="s">
        <v>#N/A N/A</v>
        <stp/>
        <stp>BDP|7196352436430367221</stp>
        <tr r="C88" s="2"/>
      </tp>
      <tp t="s">
        <v>#N/A N/A</v>
        <stp/>
        <stp>BDP|8740741864195560919</stp>
        <tr r="E42" s="2"/>
      </tp>
      <tp t="s">
        <v>#N/A N/A</v>
        <stp/>
        <stp>BDP|2188539153071581672</stp>
        <tr r="M7" s="2"/>
      </tp>
      <tp t="s">
        <v>#N/A N/A</v>
        <stp/>
        <stp>BDP|6636767111366458368</stp>
        <tr r="O36" s="2"/>
      </tp>
      <tp t="s">
        <v>#N/A N/A</v>
        <stp/>
        <stp>BDP|7651858430021496845</stp>
        <tr r="M220" s="2"/>
      </tp>
      <tp t="s">
        <v>#N/A N/A</v>
        <stp/>
        <stp>BDP|5042014429597912525</stp>
        <tr r="G105" s="2"/>
      </tp>
      <tp t="s">
        <v>#N/A N/A</v>
        <stp/>
        <stp>BDP|4523036321674440706</stp>
        <tr r="AB106" s="2"/>
      </tp>
      <tp t="s">
        <v>#N/A N/A</v>
        <stp/>
        <stp>BDP|3153520601696926581</stp>
        <tr r="B24" s="2"/>
      </tp>
      <tp t="s">
        <v>#N/A N/A</v>
        <stp/>
        <stp>BDP|7066918112738636269</stp>
        <tr r="AE221" s="2"/>
      </tp>
      <tp t="s">
        <v>#N/A N/A</v>
        <stp/>
        <stp>BDP|2725376605520109472</stp>
        <tr r="V125" s="2"/>
      </tp>
      <tp t="s">
        <v>#N/A N/A</v>
        <stp/>
        <stp>BDP|5598045432411052208</stp>
        <tr r="D138" s="2"/>
      </tp>
      <tp t="s">
        <v>#N/A N/A</v>
        <stp/>
        <stp>BDP|9097064392014083171</stp>
        <tr r="E196" s="2"/>
      </tp>
      <tp t="s">
        <v>#N/A N/A</v>
        <stp/>
        <stp>BDP|4112640947931944288</stp>
        <tr r="X91" s="2"/>
      </tp>
      <tp t="s">
        <v>#N/A N/A</v>
        <stp/>
        <stp>BDP|2833055615816980021</stp>
        <tr r="Z163" s="2"/>
      </tp>
      <tp t="s">
        <v>#N/A N/A</v>
        <stp/>
        <stp>BDP|5476926297757767757</stp>
        <tr r="O146" s="2"/>
      </tp>
      <tp t="s">
        <v>#N/A N/A</v>
        <stp/>
        <stp>BDP|7583667053752576369</stp>
        <tr r="X3" s="2"/>
      </tp>
      <tp t="s">
        <v>#N/A N/A</v>
        <stp/>
        <stp>BDP|8854251925229091484</stp>
        <tr r="S40" s="2"/>
      </tp>
      <tp t="s">
        <v>#N/A N/A</v>
        <stp/>
        <stp>BDP|8199854463665206657</stp>
        <tr r="AC221" s="2"/>
      </tp>
      <tp t="s">
        <v>#N/A N/A</v>
        <stp/>
        <stp>BDP|5399467881338456407</stp>
        <tr r="AE127" s="2"/>
      </tp>
      <tp t="s">
        <v>#N/A N/A</v>
        <stp/>
        <stp>BDP|5773151630821328313</stp>
        <tr r="V144" s="2"/>
      </tp>
      <tp t="s">
        <v>#N/A N/A</v>
        <stp/>
        <stp>BDP|7454617755484511558</stp>
        <tr r="AC17" s="2"/>
      </tp>
      <tp t="s">
        <v>#N/A N/A</v>
        <stp/>
        <stp>BDP|7012442646333106131</stp>
        <tr r="O18" s="2"/>
      </tp>
      <tp t="s">
        <v>#N/A N/A</v>
        <stp/>
        <stp>BDP|2757804483670170750</stp>
        <tr r="C104" s="2"/>
      </tp>
      <tp t="s">
        <v>#N/A N/A</v>
        <stp/>
        <stp>BDP|5663588170873860163</stp>
        <tr r="O176" s="2"/>
      </tp>
      <tp t="s">
        <v>#N/A N/A</v>
        <stp/>
        <stp>BDP|1326715854863283542</stp>
        <tr r="N37" s="2"/>
      </tp>
      <tp t="s">
        <v>#N/A N/A</v>
        <stp/>
        <stp>BDP|3373110676374232463</stp>
        <tr r="E218" s="2"/>
      </tp>
      <tp t="s">
        <v>#N/A N/A</v>
        <stp/>
        <stp>BDP|5805581637574508223</stp>
        <tr r="AC187" s="2"/>
      </tp>
      <tp t="s">
        <v>#N/A N/A</v>
        <stp/>
        <stp>BDP|6610076201687851483</stp>
        <tr r="C212" s="2"/>
      </tp>
      <tp t="s">
        <v>#N/A N/A</v>
        <stp/>
        <stp>BDP|3309551799052816876</stp>
        <tr r="V63" s="2"/>
      </tp>
      <tp t="s">
        <v>#N/A N/A</v>
        <stp/>
        <stp>BDP|2261790844320793494</stp>
        <tr r="AD46" s="2"/>
      </tp>
      <tp t="s">
        <v>#N/A N/A</v>
        <stp/>
        <stp>BDP|4997314978860497557</stp>
        <tr r="AE9" s="2"/>
      </tp>
      <tp t="s">
        <v>#N/A N/A</v>
        <stp/>
        <stp>BDP|6744146930950293108</stp>
        <tr r="U234" s="2"/>
      </tp>
      <tp t="s">
        <v>#N/A N/A</v>
        <stp/>
        <stp>BDP|1236872487191197524</stp>
        <tr r="U42" s="2"/>
      </tp>
      <tp t="s">
        <v>#N/A N/A</v>
        <stp/>
        <stp>BDP|3244511537517241778</stp>
        <tr r="AC20" s="2"/>
      </tp>
      <tp t="s">
        <v>#N/A N/A</v>
        <stp/>
        <stp>BDP|5695368100443795063</stp>
        <tr r="N91" s="2"/>
      </tp>
      <tp t="s">
        <v>#N/A N/A</v>
        <stp/>
        <stp>BDP|6256684553716013689</stp>
        <tr r="E180" s="2"/>
      </tp>
      <tp t="s">
        <v>#N/A N/A</v>
        <stp/>
        <stp>BDP|3488062729742304693</stp>
        <tr r="X125" s="2"/>
      </tp>
      <tp t="s">
        <v>#N/A N/A</v>
        <stp/>
        <stp>BDP|8169880238914940295</stp>
        <tr r="T71" s="2"/>
      </tp>
      <tp t="s">
        <v>#N/A N/A</v>
        <stp/>
        <stp>BDP|9079299751912958901</stp>
        <tr r="G163" s="2"/>
      </tp>
      <tp t="s">
        <v>#N/A N/A</v>
        <stp/>
        <stp>BDP|2857340673630913371</stp>
        <tr r="K129" s="2"/>
        <tr r="R129" s="2"/>
        <tr r="W129" s="2"/>
      </tp>
      <tp t="s">
        <v>#N/A N/A</v>
        <stp/>
        <stp>BDP|2328682724026725591</stp>
        <tr r="H155" s="2"/>
      </tp>
      <tp t="s">
        <v>#N/A N/A</v>
        <stp/>
        <stp>BDP|1823070222053937554</stp>
        <tr r="AE136" s="2"/>
      </tp>
      <tp t="s">
        <v>#N/A N/A</v>
        <stp/>
        <stp>BDP|1505881496562308791</stp>
        <tr r="T224" s="2"/>
      </tp>
      <tp t="s">
        <v>#N/A N/A</v>
        <stp/>
        <stp>BDP|6435656414236274264</stp>
        <tr r="P96" s="2"/>
      </tp>
      <tp t="s">
        <v>#N/A N/A</v>
        <stp/>
        <stp>BDP|5331741432331267563</stp>
        <tr r="S19" s="2"/>
      </tp>
      <tp t="s">
        <v>#N/A N/A</v>
        <stp/>
        <stp>BDP|5937293427220345050</stp>
        <tr r="V84" s="2"/>
      </tp>
      <tp t="s">
        <v>#N/A N/A</v>
        <stp/>
        <stp>BDP|2006347629925860331</stp>
        <tr r="G130" s="2"/>
      </tp>
      <tp t="s">
        <v>#N/A N/A</v>
        <stp/>
        <stp>BDP|2438764137133186027</stp>
        <tr r="B2" s="2"/>
      </tp>
      <tp t="s">
        <v>#N/A N/A</v>
        <stp/>
        <stp>BDP|3709638166564668223</stp>
        <tr r="Z127" s="2"/>
      </tp>
      <tp t="s">
        <v>#N/A N/A</v>
        <stp/>
        <stp>BDP|2453437709396086582</stp>
        <tr r="V23" s="2"/>
      </tp>
      <tp t="s">
        <v>#N/A N/A</v>
        <stp/>
        <stp>BDP|6351991858669600628</stp>
        <tr r="S68" s="2"/>
      </tp>
      <tp t="s">
        <v>#N/A N/A</v>
        <stp/>
        <stp>BDP|2233229627030369723</stp>
        <tr r="V162" s="2"/>
      </tp>
      <tp t="s">
        <v>#N/A N/A</v>
        <stp/>
        <stp>BDP|3112746615049746912</stp>
        <tr r="AC134" s="2"/>
      </tp>
      <tp t="s">
        <v>#N/A N/A</v>
        <stp/>
        <stp>BDP|1419192455734950471</stp>
        <tr r="H188" s="2"/>
      </tp>
      <tp t="s">
        <v>#N/A N/A</v>
        <stp/>
        <stp>BDP|3301247981045132911</stp>
        <tr r="P43" s="2"/>
      </tp>
      <tp t="s">
        <v>#N/A N/A</v>
        <stp/>
        <stp>BDP|2347198119787082057</stp>
        <tr r="AB33" s="2"/>
      </tp>
      <tp t="s">
        <v>#N/A N/A</v>
        <stp/>
        <stp>BDP|9304941389285896812</stp>
        <tr r="O153" s="2"/>
      </tp>
      <tp t="s">
        <v>#N/A N/A</v>
        <stp/>
        <stp>BDP|2785558205810107213</stp>
        <tr r="D144" s="2"/>
      </tp>
      <tp t="s">
        <v>#N/A N/A</v>
        <stp/>
        <stp>BDP|4096248795078171278</stp>
        <tr r="F25" s="2"/>
      </tp>
      <tp t="s">
        <v>#N/A N/A</v>
        <stp/>
        <stp>BDP|9041047159961817825</stp>
        <tr r="AA180" s="2"/>
      </tp>
      <tp t="s">
        <v>#N/A N/A</v>
        <stp/>
        <stp>BDP|2958502782968800240</stp>
        <tr r="AA97" s="2"/>
      </tp>
      <tp t="s">
        <v>#N/A N/A</v>
        <stp/>
        <stp>BDP|5889527374776037495</stp>
        <tr r="AA202" s="2"/>
      </tp>
      <tp t="s">
        <v>#N/A N/A</v>
        <stp/>
        <stp>BDP|3013324755035630567</stp>
        <tr r="H10" s="2"/>
      </tp>
      <tp t="s">
        <v>#N/A N/A</v>
        <stp/>
        <stp>BDP|8222068802239505449</stp>
        <tr r="AA52" s="2"/>
      </tp>
      <tp t="s">
        <v>#N/A N/A</v>
        <stp/>
        <stp>BDP|7157506317880284632</stp>
        <tr r="Y224" s="2"/>
      </tp>
      <tp t="s">
        <v>#N/A N/A</v>
        <stp/>
        <stp>BDP|3989470365750586496</stp>
        <tr r="M25" s="2"/>
      </tp>
      <tp t="s">
        <v>#N/A N/A</v>
        <stp/>
        <stp>BDP|2950641609506268717</stp>
        <tr r="AA23" s="2"/>
      </tp>
      <tp t="s">
        <v>#N/A N/A</v>
        <stp/>
        <stp>BDP|5070507815474039022</stp>
        <tr r="AC114" s="2"/>
      </tp>
      <tp t="s">
        <v>#N/A N/A</v>
        <stp/>
        <stp>BDP|1831023422262912466</stp>
        <tr r="G155" s="2"/>
      </tp>
      <tp t="s">
        <v>#N/A N/A</v>
        <stp/>
        <stp>BDP|4345495877281948332</stp>
        <tr r="C201" s="2"/>
      </tp>
      <tp t="s">
        <v>#N/A N/A</v>
        <stp/>
        <stp>BDP|1333042262774635641</stp>
        <tr r="O219" s="2"/>
      </tp>
      <tp t="s">
        <v>#N/A N/A</v>
        <stp/>
        <stp>BDP|1438005534255390249</stp>
        <tr r="Y135" s="2"/>
      </tp>
      <tp t="s">
        <v>#N/A N/A</v>
        <stp/>
        <stp>BDP|8094320230474198940</stp>
        <tr r="H218" s="2"/>
      </tp>
      <tp t="s">
        <v>#N/A N/A</v>
        <stp/>
        <stp>BDP|4025970652275279800</stp>
        <tr r="O34" s="2"/>
      </tp>
      <tp t="s">
        <v>#N/A N/A</v>
        <stp/>
        <stp>BDP|4239141122590305201</stp>
        <tr r="AE217" s="2"/>
      </tp>
      <tp t="s">
        <v>#N/A N/A</v>
        <stp/>
        <stp>BDP|5037470541384678471</stp>
        <tr r="P35" s="2"/>
      </tp>
      <tp t="s">
        <v>#N/A N/A</v>
        <stp/>
        <stp>BDP|5266488128954775219</stp>
        <tr r="E59" s="2"/>
      </tp>
      <tp t="s">
        <v>#N/A N/A</v>
        <stp/>
        <stp>BDP|9466574817111026908</stp>
        <tr r="AA27" s="2"/>
      </tp>
      <tp t="s">
        <v>#N/A N/A</v>
        <stp/>
        <stp>BDP|7751013709984914627</stp>
        <tr r="H142" s="2"/>
      </tp>
      <tp t="s">
        <v>#N/A N/A</v>
        <stp/>
        <stp>BDP|6607508903431950781</stp>
        <tr r="Y5" s="2"/>
      </tp>
      <tp t="s">
        <v>#N/A N/A</v>
        <stp/>
        <stp>BDP|3840486007600669258</stp>
        <tr r="C96" s="2"/>
      </tp>
      <tp t="s">
        <v>#N/A N/A</v>
        <stp/>
        <stp>BDP|4718514165165665718</stp>
        <tr r="Y120" s="2"/>
      </tp>
      <tp t="s">
        <v>#N/A N/A</v>
        <stp/>
        <stp>BDP|6497427075146233651</stp>
        <tr r="Z16" s="2"/>
      </tp>
      <tp t="s">
        <v>#N/A N/A</v>
        <stp/>
        <stp>BDP|1758364098946929846</stp>
        <tr r="I186" s="2"/>
      </tp>
      <tp t="s">
        <v>#N/A N/A</v>
        <stp/>
        <stp>BDP|3396113653565075757</stp>
        <tr r="AB40" s="2"/>
      </tp>
      <tp t="s">
        <v>#N/A N/A</v>
        <stp/>
        <stp>BDP|6592398787570835879</stp>
        <tr r="AD27" s="2"/>
      </tp>
      <tp t="s">
        <v>#N/A N/A</v>
        <stp/>
        <stp>BDP|3705150972408224866</stp>
        <tr r="AB6" s="2"/>
      </tp>
      <tp t="s">
        <v>#N/A N/A</v>
        <stp/>
        <stp>BDP|2001096478351417117</stp>
        <tr r="U228" s="2"/>
      </tp>
      <tp t="s">
        <v>#N/A N/A</v>
        <stp/>
        <stp>BDP|9266131481166653321</stp>
        <tr r="I115" s="2"/>
      </tp>
      <tp t="s">
        <v>#N/A N/A</v>
        <stp/>
        <stp>BDP|5203825821729359362</stp>
        <tr r="Q94" s="2"/>
      </tp>
      <tp t="s">
        <v>#N/A N/A</v>
        <stp/>
        <stp>BDP|9199476849899829531</stp>
        <tr r="T44" s="2"/>
      </tp>
      <tp t="s">
        <v>#N/A N/A</v>
        <stp/>
        <stp>BDP|4871129419334223543</stp>
        <tr r="O114" s="2"/>
      </tp>
      <tp t="s">
        <v>#N/A N/A</v>
        <stp/>
        <stp>BDP|2488291270894191698</stp>
        <tr r="P104" s="2"/>
      </tp>
      <tp t="s">
        <v>#N/A N/A</v>
        <stp/>
        <stp>BDP|2986288911326565206</stp>
        <tr r="I221" s="2"/>
      </tp>
      <tp t="s">
        <v>#N/A N/A</v>
        <stp/>
        <stp>BDP|5273367306747721401</stp>
        <tr r="H105" s="2"/>
      </tp>
      <tp t="s">
        <v>#N/A N/A</v>
        <stp/>
        <stp>BDP|1902101553414837471</stp>
        <tr r="I222" s="2"/>
      </tp>
      <tp t="s">
        <v>#N/A N/A</v>
        <stp/>
        <stp>BDP|7114883402969846096</stp>
        <tr r="I63" s="2"/>
      </tp>
      <tp t="s">
        <v>#N/A N/A</v>
        <stp/>
        <stp>BDP|9922140478810825970</stp>
        <tr r="AA22" s="2"/>
      </tp>
      <tp t="s">
        <v>#N/A N/A</v>
        <stp/>
        <stp>BDP|8123489337231642826</stp>
        <tr r="C217" s="2"/>
      </tp>
      <tp t="s">
        <v>#N/A N/A</v>
        <stp/>
        <stp>BDP|2553577413963999329</stp>
        <tr r="Q164" s="2"/>
      </tp>
      <tp t="s">
        <v>#N/A N/A</v>
        <stp/>
        <stp>BDP|7580501209395093169</stp>
        <tr r="N93" s="2"/>
      </tp>
      <tp t="s">
        <v>#N/A N/A</v>
        <stp/>
        <stp>BDP|4439238055566914315</stp>
        <tr r="S108" s="2"/>
      </tp>
      <tp t="s">
        <v>#N/A N/A</v>
        <stp/>
        <stp>BDP|2278312059867900591</stp>
        <tr r="L141" s="2"/>
      </tp>
      <tp t="s">
        <v>#N/A N/A</v>
        <stp/>
        <stp>BDP|3043592660146516068</stp>
        <tr r="AB28" s="2"/>
      </tp>
      <tp t="s">
        <v>#N/A N/A</v>
        <stp/>
        <stp>BDP|7543668232164254096</stp>
        <tr r="C203" s="2"/>
      </tp>
      <tp t="s">
        <v>#N/A N/A</v>
        <stp/>
        <stp>BDP|6912692440110303292</stp>
        <tr r="X7" s="2"/>
      </tp>
      <tp t="s">
        <v>#N/A N/A</v>
        <stp/>
        <stp>BDP|5438705647208160882</stp>
        <tr r="O129" s="2"/>
      </tp>
      <tp t="s">
        <v>#N/A N/A</v>
        <stp/>
        <stp>BDP|5719316839025150646</stp>
        <tr r="D180" s="2"/>
      </tp>
      <tp t="s">
        <v>#N/A N/A</v>
        <stp/>
        <stp>BDP|6273745576472249286</stp>
        <tr r="L106" s="2"/>
      </tp>
      <tp t="s">
        <v>#N/A N/A</v>
        <stp/>
        <stp>BDP|1730291319010437497</stp>
        <tr r="H11" s="2"/>
      </tp>
      <tp t="s">
        <v>#N/A N/A</v>
        <stp/>
        <stp>BDP|6930917291290364019</stp>
        <tr r="S164" s="2"/>
      </tp>
      <tp t="s">
        <v>#N/A N/A</v>
        <stp/>
        <stp>BDP|3947019724760790708</stp>
        <tr r="AE116" s="2"/>
      </tp>
      <tp t="s">
        <v>#N/A N/A</v>
        <stp/>
        <stp>BDP|5864009424747613612</stp>
        <tr r="O23" s="2"/>
      </tp>
      <tp t="s">
        <v>#N/A N/A</v>
        <stp/>
        <stp>BDP|7312738929762042620</stp>
        <tr r="Z7" s="2"/>
      </tp>
      <tp t="s">
        <v>#N/A N/A</v>
        <stp/>
        <stp>BDP|1219515666936856265</stp>
        <tr r="S52" s="2"/>
      </tp>
      <tp t="s">
        <v>#N/A N/A</v>
        <stp/>
        <stp>BDP|7730698840341654231</stp>
        <tr r="V216" s="2"/>
      </tp>
      <tp t="s">
        <v>#N/A N/A</v>
        <stp/>
        <stp>BDP|9889929708816034096</stp>
        <tr r="AB36" s="2"/>
      </tp>
      <tp t="s">
        <v>#N/A N/A</v>
        <stp/>
        <stp>BDP|5759198138070931141</stp>
        <tr r="F92" s="2"/>
      </tp>
      <tp t="s">
        <v>#N/A N/A</v>
        <stp/>
        <stp>BDP|4900236339670085386</stp>
        <tr r="N163" s="2"/>
      </tp>
      <tp t="s">
        <v>#N/A N/A</v>
        <stp/>
        <stp>BDP|2336715202645824630</stp>
        <tr r="P72" s="2"/>
      </tp>
      <tp t="s">
        <v>#N/A N/A</v>
        <stp/>
        <stp>BDP|2267996817308163467</stp>
        <tr r="G126" s="2"/>
      </tp>
      <tp t="s">
        <v>#N/A N/A</v>
        <stp/>
        <stp>BDP|8085995705854407331</stp>
        <tr r="T208" s="2"/>
      </tp>
      <tp t="s">
        <v>#N/A N/A</v>
        <stp/>
        <stp>BDP|8345319689984544154</stp>
        <tr r="L164" s="2"/>
      </tp>
      <tp t="s">
        <v>#N/A N/A</v>
        <stp/>
        <stp>BDP|5666056358592631461</stp>
        <tr r="I69" s="2"/>
      </tp>
      <tp t="s">
        <v>#N/A N/A</v>
        <stp/>
        <stp>BDP|1958857606198513744</stp>
        <tr r="M194" s="2"/>
      </tp>
      <tp t="s">
        <v>#N/A N/A</v>
        <stp/>
        <stp>BDP|7649047411919259994</stp>
        <tr r="U204" s="2"/>
      </tp>
      <tp t="s">
        <v>#N/A N/A</v>
        <stp/>
        <stp>BDP|9522171840162999830</stp>
        <tr r="D237" s="2"/>
      </tp>
      <tp t="s">
        <v>#N/A N/A</v>
        <stp/>
        <stp>BDP|1731432944592880507</stp>
        <tr r="AC160" s="2"/>
      </tp>
      <tp t="s">
        <v>#N/A N/A</v>
        <stp/>
        <stp>BDP|5577542479321249029</stp>
        <tr r="U84" s="2"/>
      </tp>
      <tp t="s">
        <v>#N/A N/A</v>
        <stp/>
        <stp>BDP|2704683085638563279</stp>
        <tr r="AB80" s="2"/>
      </tp>
      <tp t="s">
        <v>#N/A N/A</v>
        <stp/>
        <stp>BDP|3699927515448999509</stp>
        <tr r="Y32" s="2"/>
      </tp>
      <tp t="s">
        <v>#N/A N/A</v>
        <stp/>
        <stp>BDP|5924119024843188351</stp>
        <tr r="AC23" s="2"/>
      </tp>
      <tp t="s">
        <v>#N/A N/A</v>
        <stp/>
        <stp>BDP|5713430692277881965</stp>
        <tr r="Y23" s="2"/>
      </tp>
      <tp t="s">
        <v>#N/A N/A</v>
        <stp/>
        <stp>BDP|8019500909182165908</stp>
        <tr r="S70" s="2"/>
      </tp>
      <tp t="s">
        <v>#N/A N/A</v>
        <stp/>
        <stp>BDP|7931287233164820426</stp>
        <tr r="AA84" s="2"/>
      </tp>
      <tp t="s">
        <v>#N/A N/A</v>
        <stp/>
        <stp>BDP|7960846283661372052</stp>
        <tr r="T215" s="2"/>
      </tp>
      <tp t="s">
        <v>#N/A N/A</v>
        <stp/>
        <stp>BDP|7905437915197733300</stp>
        <tr r="Z234" s="2"/>
      </tp>
      <tp t="s">
        <v>#N/A N/A</v>
        <stp/>
        <stp>BDP|5897606724957754034</stp>
        <tr r="C37" s="2"/>
      </tp>
      <tp t="s">
        <v>#N/A N/A</v>
        <stp/>
        <stp>BDP|3416716515863889000</stp>
        <tr r="U132" s="2"/>
      </tp>
      <tp t="s">
        <v>#N/A N/A</v>
        <stp/>
        <stp>BDP|1576718376941890636</stp>
        <tr r="B163" s="2"/>
      </tp>
      <tp t="s">
        <v>#N/A N/A</v>
        <stp/>
        <stp>BDP|5199065949913345449</stp>
        <tr r="K144" s="2"/>
        <tr r="R144" s="2"/>
        <tr r="W144" s="2"/>
      </tp>
      <tp t="s">
        <v>#N/A N/A</v>
        <stp/>
        <stp>BDP|4280409874797670699</stp>
        <tr r="AC177" s="2"/>
      </tp>
      <tp t="s">
        <v>#N/A N/A</v>
        <stp/>
        <stp>BDP|6086124379827593176</stp>
        <tr r="Q46" s="2"/>
      </tp>
      <tp t="s">
        <v>#N/A N/A</v>
        <stp/>
        <stp>BDP|6198511662111222290</stp>
        <tr r="T161" s="2"/>
      </tp>
      <tp t="s">
        <v>#N/A N/A</v>
        <stp/>
        <stp>BDP|9495835959377485539</stp>
        <tr r="D63" s="2"/>
      </tp>
      <tp t="s">
        <v>#N/A N/A</v>
        <stp/>
        <stp>BDP|2989891397761863466</stp>
        <tr r="H14" s="2"/>
      </tp>
      <tp t="s">
        <v>#N/A N/A</v>
        <stp/>
        <stp>BDP|4423466644880698294</stp>
        <tr r="M218" s="2"/>
      </tp>
      <tp t="s">
        <v>#N/A N/A</v>
        <stp/>
        <stp>BDP|7254576818372747735</stp>
        <tr r="AC13" s="2"/>
      </tp>
      <tp t="s">
        <v>#N/A N/A</v>
        <stp/>
        <stp>BDP|8549250151111861800</stp>
        <tr r="V32" s="2"/>
      </tp>
      <tp t="s">
        <v>#N/A N/A</v>
        <stp/>
        <stp>BDP|1499391130057751038</stp>
        <tr r="E167" s="2"/>
      </tp>
      <tp t="s">
        <v>#N/A N/A</v>
        <stp/>
        <stp>BDP|4614227211097400682</stp>
        <tr r="V129" s="2"/>
      </tp>
      <tp t="s">
        <v>#N/A N/A</v>
        <stp/>
        <stp>BDP|9704356202188801413</stp>
        <tr r="B16" s="2"/>
      </tp>
      <tp t="s">
        <v>#N/A N/A</v>
        <stp/>
        <stp>BDP|3222126052551927024</stp>
        <tr r="AE7" s="2"/>
      </tp>
      <tp t="s">
        <v>#N/A N/A</v>
        <stp/>
        <stp>BDP|4968259026835209710</stp>
        <tr r="X234" s="2"/>
      </tp>
      <tp t="s">
        <v>#N/A N/A</v>
        <stp/>
        <stp>BDP|6314238465880912457</stp>
        <tr r="Y136" s="2"/>
      </tp>
      <tp t="s">
        <v>#N/A N/A</v>
        <stp/>
        <stp>BDP|2133609493403545891</stp>
        <tr r="C32" s="2"/>
      </tp>
      <tp t="s">
        <v>#N/A N/A</v>
        <stp/>
        <stp>BDP|7552509119333647641</stp>
        <tr r="AA212" s="2"/>
      </tp>
      <tp t="s">
        <v>#N/A N/A</v>
        <stp/>
        <stp>BDP|8632110284900915744</stp>
        <tr r="C30" s="2"/>
      </tp>
      <tp t="s">
        <v>#N/A N/A</v>
        <stp/>
        <stp>BDP|8347393188144501199</stp>
        <tr r="AD186" s="2"/>
      </tp>
      <tp t="s">
        <v>#N/A N/A</v>
        <stp/>
        <stp>BDP|5929187522917840758</stp>
        <tr r="M195" s="2"/>
      </tp>
      <tp t="s">
        <v>#N/A N/A</v>
        <stp/>
        <stp>BDP|8068567486456742591</stp>
        <tr r="G115" s="2"/>
      </tp>
      <tp t="s">
        <v>#N/A N/A</v>
        <stp/>
        <stp>BDP|1688554568802345664</stp>
        <tr r="F145" s="2"/>
      </tp>
      <tp t="s">
        <v>#N/A N/A</v>
        <stp/>
        <stp>BDP|2321994187871708457</stp>
        <tr r="B168" s="2"/>
      </tp>
      <tp t="s">
        <v>#N/A N/A</v>
        <stp/>
        <stp>BDP|7415316407655543788</stp>
        <tr r="I12" s="2"/>
      </tp>
      <tp t="s">
        <v>#N/A N/A</v>
        <stp/>
        <stp>BDP|4388099766946605258</stp>
        <tr r="D170" s="2"/>
      </tp>
      <tp t="s">
        <v>#N/A N/A</v>
        <stp/>
        <stp>BDP|5454136217043677097</stp>
        <tr r="X48" s="2"/>
      </tp>
      <tp t="s">
        <v>#N/A N/A</v>
        <stp/>
        <stp>BDP|8537603495361634093</stp>
        <tr r="C232" s="2"/>
      </tp>
      <tp t="s">
        <v>#N/A N/A</v>
        <stp/>
        <stp>BDP|6127116548496545327</stp>
        <tr r="T86" s="2"/>
      </tp>
      <tp t="s">
        <v>#N/A N/A</v>
        <stp/>
        <stp>BDP|1959803820449752411</stp>
        <tr r="U72" s="2"/>
      </tp>
      <tp t="s">
        <v>#N/A N/A</v>
        <stp/>
        <stp>BDP|1443971442913952940</stp>
        <tr r="Y40" s="2"/>
      </tp>
      <tp t="s">
        <v>#N/A N/A</v>
        <stp/>
        <stp>BDP|2272283835533680650</stp>
        <tr r="AE189" s="2"/>
      </tp>
      <tp t="s">
        <v>#N/A N/A</v>
        <stp/>
        <stp>BDP|3140887983450648508</stp>
        <tr r="D196" s="2"/>
      </tp>
      <tp t="s">
        <v>#N/A N/A</v>
        <stp/>
        <stp>BDP|4380237452950794595</stp>
        <tr r="H153" s="2"/>
      </tp>
      <tp t="s">
        <v>#N/A N/A</v>
        <stp/>
        <stp>BDP|3096427203849483894</stp>
        <tr r="S61" s="2"/>
      </tp>
      <tp t="s">
        <v>#N/A N/A</v>
        <stp/>
        <stp>BDP|9278587974869627446</stp>
        <tr r="M176" s="2"/>
      </tp>
      <tp t="s">
        <v>#N/A N/A</v>
        <stp/>
        <stp>BDP|8758813484517846968</stp>
        <tr r="P79" s="2"/>
      </tp>
      <tp t="s">
        <v>#N/A N/A</v>
        <stp/>
        <stp>BDP|9741452878859473527</stp>
        <tr r="V213" s="2"/>
      </tp>
      <tp t="s">
        <v>#N/A N/A</v>
        <stp/>
        <stp>BDP|8138013893074980369</stp>
        <tr r="AC202" s="2"/>
      </tp>
      <tp t="s">
        <v>#N/A N/A</v>
        <stp/>
        <stp>BDP|6926300036452546261</stp>
        <tr r="D134" s="2"/>
      </tp>
      <tp t="s">
        <v>#N/A N/A</v>
        <stp/>
        <stp>BDP|6629898557554652928</stp>
        <tr r="E220" s="2"/>
      </tp>
      <tp t="s">
        <v>#N/A N/A</v>
        <stp/>
        <stp>BDP|9768902353255166694</stp>
        <tr r="Q173" s="2"/>
      </tp>
      <tp t="s">
        <v>#N/A N/A</v>
        <stp/>
        <stp>BDP|1680066732397678393</stp>
        <tr r="AE92" s="2"/>
      </tp>
      <tp t="s">
        <v>#N/A N/A</v>
        <stp/>
        <stp>BDP|2456109068600121300</stp>
        <tr r="I88" s="2"/>
      </tp>
      <tp t="s">
        <v>#N/A N/A</v>
        <stp/>
        <stp>BDP|6105987711868316065</stp>
        <tr r="Q149" s="2"/>
      </tp>
      <tp t="s">
        <v>#N/A N/A</v>
        <stp/>
        <stp>BDP|6785861507260967827</stp>
        <tr r="Z197" s="2"/>
      </tp>
      <tp t="s">
        <v>#N/A N/A</v>
        <stp/>
        <stp>BDP|5603539379225061417</stp>
        <tr r="L231" s="2"/>
      </tp>
      <tp t="s">
        <v>#N/A N/A</v>
        <stp/>
        <stp>BDP|2968680582442797894</stp>
        <tr r="N21" s="2"/>
      </tp>
      <tp t="s">
        <v>#N/A N/A</v>
        <stp/>
        <stp>BDP|4003463559584500778</stp>
        <tr r="V168" s="2"/>
      </tp>
      <tp t="s">
        <v>#N/A N/A</v>
        <stp/>
        <stp>BDP|1040959605799929749</stp>
        <tr r="C186" s="2"/>
      </tp>
      <tp t="s">
        <v>#N/A N/A</v>
        <stp/>
        <stp>BDP|6358142429524038730</stp>
        <tr r="M171" s="2"/>
      </tp>
      <tp t="s">
        <v>#N/A N/A</v>
        <stp/>
        <stp>BDP|3301890382846096350</stp>
        <tr r="C93" s="2"/>
      </tp>
      <tp t="s">
        <v>#N/A N/A</v>
        <stp/>
        <stp>BDP|3711972829707265961</stp>
        <tr r="F137" s="2"/>
      </tp>
      <tp t="s">
        <v>#N/A N/A</v>
        <stp/>
        <stp>BDP|4873503364435374421</stp>
        <tr r="X86" s="2"/>
      </tp>
      <tp t="s">
        <v>#N/A N/A</v>
        <stp/>
        <stp>BDP|2945885638578259799</stp>
        <tr r="O25" s="2"/>
      </tp>
      <tp t="s">
        <v>#N/A N/A</v>
        <stp/>
        <stp>BDP|1889636600970058198</stp>
        <tr r="AE27" s="2"/>
      </tp>
      <tp t="s">
        <v>#N/A N/A</v>
        <stp/>
        <stp>BDP|7520921897414785552</stp>
        <tr r="C226" s="2"/>
      </tp>
      <tp t="s">
        <v>#N/A N/A</v>
        <stp/>
        <stp>BDP|5748859453207388909</stp>
        <tr r="M211" s="2"/>
      </tp>
      <tp t="s">
        <v>#N/A N/A</v>
        <stp/>
        <stp>BDP|3012968688032485681</stp>
        <tr r="Q133" s="2"/>
      </tp>
      <tp t="s">
        <v>#N/A N/A</v>
        <stp/>
        <stp>BDP|8148715682719474842</stp>
        <tr r="AD26" s="2"/>
      </tp>
      <tp t="s">
        <v>#N/A N/A</v>
        <stp/>
        <stp>BDP|8634377821437677845</stp>
        <tr r="L60" s="2"/>
      </tp>
      <tp t="s">
        <v>#N/A N/A</v>
        <stp/>
        <stp>BDP|1561304141756100671</stp>
        <tr r="B33" s="2"/>
      </tp>
      <tp t="s">
        <v>#N/A N/A</v>
        <stp/>
        <stp>BDP|3083041975293115131</stp>
        <tr r="AC109" s="2"/>
      </tp>
      <tp t="s">
        <v>#N/A N/A</v>
        <stp/>
        <stp>BDP|7689123804289634950</stp>
        <tr r="Z143" s="2"/>
      </tp>
      <tp t="s">
        <v>#N/A N/A</v>
        <stp/>
        <stp>BDP|2999661418061412203</stp>
        <tr r="M15" s="2"/>
      </tp>
      <tp t="s">
        <v>#N/A N/A</v>
        <stp/>
        <stp>BDP|6375959396270736042</stp>
        <tr r="E85" s="2"/>
      </tp>
      <tp t="s">
        <v>#N/A N/A</v>
        <stp/>
        <stp>BDP|3214970913645396863</stp>
        <tr r="AB53" s="2"/>
      </tp>
      <tp t="s">
        <v>#N/A N/A</v>
        <stp/>
        <stp>BDP|8681453074259326477</stp>
        <tr r="AA21" s="2"/>
      </tp>
      <tp t="s">
        <v>#N/A N/A</v>
        <stp/>
        <stp>BDP|1750266845688625919</stp>
        <tr r="E18" s="2"/>
      </tp>
      <tp t="s">
        <v>#N/A N/A</v>
        <stp/>
        <stp>BDP|3202346600200733629</stp>
        <tr r="I122" s="2"/>
      </tp>
      <tp t="s">
        <v>#N/A N/A</v>
        <stp/>
        <stp>BDP|5385741701232338666</stp>
        <tr r="Q196" s="2"/>
      </tp>
      <tp t="s">
        <v>#N/A N/A</v>
        <stp/>
        <stp>BDP|8535734663389245641</stp>
        <tr r="C5" s="2"/>
      </tp>
      <tp t="s">
        <v>#N/A N/A</v>
        <stp/>
        <stp>BDP|8113850107375852387</stp>
        <tr r="M118" s="2"/>
      </tp>
      <tp t="s">
        <v>#N/A N/A</v>
        <stp/>
        <stp>BDP|2176378060159155849</stp>
        <tr r="U216" s="2"/>
      </tp>
      <tp t="s">
        <v>#N/A N/A</v>
        <stp/>
        <stp>BDP|3043736582672106831</stp>
        <tr r="D31" s="2"/>
      </tp>
      <tp t="s">
        <v>#N/A N/A</v>
        <stp/>
        <stp>BDP|3352047246141551071</stp>
        <tr r="M26" s="2"/>
      </tp>
      <tp t="s">
        <v>#N/A N/A</v>
        <stp/>
        <stp>BDP|6961585939430272697</stp>
        <tr r="X42" s="2"/>
      </tp>
      <tp t="s">
        <v>#N/A N/A</v>
        <stp/>
        <stp>BDP|6971036577341772693</stp>
        <tr r="K147" s="2"/>
        <tr r="R147" s="2"/>
        <tr r="W147" s="2"/>
      </tp>
      <tp t="s">
        <v>#N/A N/A</v>
        <stp/>
        <stp>BDP|4642727397498185426</stp>
        <tr r="Q118" s="2"/>
      </tp>
      <tp t="s">
        <v>#N/A N/A</v>
        <stp/>
        <stp>BDP|2674552760934439376</stp>
        <tr r="G171" s="2"/>
      </tp>
      <tp t="s">
        <v>#N/A N/A</v>
        <stp/>
        <stp>BDP|6091015222316339405</stp>
        <tr r="G206" s="2"/>
      </tp>
      <tp t="s">
        <v>#N/A N/A</v>
        <stp/>
        <stp>BDP|7341674918086595092</stp>
        <tr r="AD107" s="2"/>
      </tp>
      <tp t="s">
        <v>#N/A N/A</v>
        <stp/>
        <stp>BDP|4940196213095382701</stp>
        <tr r="L84" s="2"/>
      </tp>
      <tp t="s">
        <v>#N/A N/A</v>
        <stp/>
        <stp>BDP|7014192670206846119</stp>
        <tr r="C137" s="2"/>
      </tp>
      <tp t="s">
        <v>#N/A N/A</v>
        <stp/>
        <stp>BDP|2729843796584132148</stp>
        <tr r="Z62" s="2"/>
      </tp>
      <tp t="s">
        <v>#N/A N/A</v>
        <stp/>
        <stp>BDP|4023625767652189046</stp>
        <tr r="B131" s="2"/>
      </tp>
      <tp t="s">
        <v>#N/A N/A</v>
        <stp/>
        <stp>BDP|1387378832932741513</stp>
        <tr r="Z216" s="2"/>
      </tp>
      <tp t="s">
        <v>#N/A N/A</v>
        <stp/>
        <stp>BDP|7416046722135727654</stp>
        <tr r="Z186" s="2"/>
      </tp>
      <tp t="s">
        <v>#N/A N/A</v>
        <stp/>
        <stp>BDP|8800250616214211990</stp>
        <tr r="H26" s="2"/>
      </tp>
      <tp t="s">
        <v>#N/A N/A</v>
        <stp/>
        <stp>BDP|7722554260543468166</stp>
        <tr r="U166" s="2"/>
      </tp>
      <tp t="s">
        <v>#N/A N/A</v>
        <stp/>
        <stp>BDP|7676535937224452360</stp>
        <tr r="Y105" s="2"/>
      </tp>
      <tp t="s">
        <v>#N/A N/A</v>
        <stp/>
        <stp>BDP|5341506004726564027</stp>
        <tr r="O190" s="2"/>
      </tp>
      <tp t="s">
        <v>#N/A N/A</v>
        <stp/>
        <stp>BDP|2195726129938897928</stp>
        <tr r="AB68" s="2"/>
      </tp>
      <tp t="s">
        <v>#N/A N/A</v>
        <stp/>
        <stp>BDP|1074620828502301194</stp>
        <tr r="AC167" s="2"/>
      </tp>
      <tp t="s">
        <v>#N/A N/A</v>
        <stp/>
        <stp>BDP|3693233354483276120</stp>
        <tr r="T12" s="2"/>
      </tp>
      <tp t="s">
        <v>#N/A N/A</v>
        <stp/>
        <stp>BDP|5598040895063398969</stp>
        <tr r="F3" s="2"/>
      </tp>
      <tp t="s">
        <v>#N/A N/A</v>
        <stp/>
        <stp>BDP|9852368698347119260</stp>
        <tr r="Q4" s="2"/>
      </tp>
      <tp t="s">
        <v>#N/A N/A</v>
        <stp/>
        <stp>BDP|8939999203665227201</stp>
        <tr r="AC207" s="2"/>
      </tp>
      <tp t="s">
        <v>#N/A N/A</v>
        <stp/>
        <stp>BDP|4978414564352510280</stp>
        <tr r="T65" s="2"/>
      </tp>
      <tp t="s">
        <v>#N/A N/A</v>
        <stp/>
        <stp>BDP|7116515527265234347</stp>
        <tr r="E119" s="2"/>
      </tp>
      <tp t="s">
        <v>#N/A N/A</v>
        <stp/>
        <stp>BDP|1999629084650651986</stp>
        <tr r="G207" s="2"/>
      </tp>
      <tp t="s">
        <v>#N/A N/A</v>
        <stp/>
        <stp>BDP|7670600152710025256</stp>
        <tr r="L221" s="2"/>
      </tp>
      <tp t="s">
        <v>#N/A N/A</v>
        <stp/>
        <stp>BDP|3106424068733361492</stp>
        <tr r="M92" s="2"/>
      </tp>
      <tp t="s">
        <v>#N/A N/A</v>
        <stp/>
        <stp>BDP|4296877053737066878</stp>
        <tr r="AC85" s="2"/>
      </tp>
      <tp t="s">
        <v>#N/A N/A</v>
        <stp/>
        <stp>BDP|1178202329190926700</stp>
        <tr r="X233" s="2"/>
      </tp>
      <tp t="s">
        <v>#N/A N/A</v>
        <stp/>
        <stp>BDP|4440901417602354810</stp>
        <tr r="Z101" s="2"/>
      </tp>
      <tp t="s">
        <v>#N/A N/A</v>
        <stp/>
        <stp>BDP|6147726000330127735</stp>
        <tr r="N45" s="2"/>
      </tp>
      <tp t="s">
        <v>#N/A N/A</v>
        <stp/>
        <stp>BDP|6066447108693902741</stp>
        <tr r="I204" s="2"/>
      </tp>
      <tp t="s">
        <v>#N/A N/A</v>
        <stp/>
        <stp>BDP|2726492305243482393</stp>
        <tr r="Y160" s="2"/>
      </tp>
      <tp t="s">
        <v>#N/A N/A</v>
        <stp/>
        <stp>BDP|4620742127755471278</stp>
        <tr r="T149" s="2"/>
      </tp>
      <tp t="s">
        <v>#N/A N/A</v>
        <stp/>
        <stp>BDP|4070804253286095950</stp>
        <tr r="V68" s="2"/>
      </tp>
      <tp t="s">
        <v>#N/A N/A</v>
        <stp/>
        <stp>BDP|9966972749607775568</stp>
        <tr r="I153" s="2"/>
      </tp>
      <tp t="s">
        <v>#N/A N/A</v>
        <stp/>
        <stp>BDP|4042218708987801779</stp>
        <tr r="E154" s="2"/>
      </tp>
      <tp t="s">
        <v>#N/A N/A</v>
        <stp/>
        <stp>BDP|2873829650269809040</stp>
        <tr r="N50" s="2"/>
      </tp>
      <tp t="s">
        <v>#N/A N/A</v>
        <stp/>
        <stp>BDP|5946127371560884541</stp>
        <tr r="AA33" s="2"/>
      </tp>
      <tp t="s">
        <v>#N/A N/A</v>
        <stp/>
        <stp>BDP|4211744111301521545</stp>
        <tr r="K104" s="2"/>
        <tr r="R104" s="2"/>
        <tr r="W104" s="2"/>
      </tp>
      <tp t="s">
        <v>#N/A N/A</v>
        <stp/>
        <stp>BDP|8608784297404787489</stp>
        <tr r="H75" s="2"/>
      </tp>
      <tp t="s">
        <v>#N/A N/A</v>
        <stp/>
        <stp>BDP|3713937327279103744</stp>
        <tr r="N231" s="2"/>
      </tp>
      <tp t="s">
        <v>#N/A N/A</v>
        <stp/>
        <stp>BDP|3551402336054340660</stp>
        <tr r="K75" s="2"/>
        <tr r="R75" s="2"/>
        <tr r="W75" s="2"/>
      </tp>
      <tp t="s">
        <v>#N/A N/A</v>
        <stp/>
        <stp>BDP|4697312803369085822</stp>
        <tr r="B170" s="2"/>
      </tp>
      <tp t="s">
        <v>#N/A N/A</v>
        <stp/>
        <stp>BDP|1271281379520364261</stp>
        <tr r="C115" s="2"/>
      </tp>
      <tp t="s">
        <v>#N/A N/A</v>
        <stp/>
        <stp>BDP|7078466910625873184</stp>
        <tr r="Z90" s="2"/>
      </tp>
      <tp t="s">
        <v>#N/A N/A</v>
        <stp/>
        <stp>BDP|1071317532240574702</stp>
        <tr r="AD105" s="2"/>
      </tp>
      <tp t="s">
        <v>#N/A N/A</v>
        <stp/>
        <stp>BDP|6067480562181968357</stp>
        <tr r="V43" s="2"/>
      </tp>
      <tp t="s">
        <v>#N/A N/A</v>
        <stp/>
        <stp>BDP|6696727480949255604</stp>
        <tr r="F113" s="2"/>
      </tp>
      <tp t="s">
        <v>#N/A N/A</v>
        <stp/>
        <stp>BDP|4867746822130023785</stp>
        <tr r="L114" s="2"/>
      </tp>
      <tp t="s">
        <v>#N/A N/A</v>
        <stp/>
        <stp>BDP|2285163966236096546</stp>
        <tr r="O63" s="2"/>
      </tp>
      <tp t="s">
        <v>#N/A N/A</v>
        <stp/>
        <stp>BDP|9498108893026819189</stp>
        <tr r="C149" s="2"/>
      </tp>
      <tp t="s">
        <v>#N/A N/A</v>
        <stp/>
        <stp>BDP|6399435087669500550</stp>
        <tr r="V94" s="2"/>
      </tp>
      <tp t="s">
        <v>#N/A N/A</v>
        <stp/>
        <stp>BDP|1109119419980647789</stp>
        <tr r="B35" s="2"/>
      </tp>
      <tp t="s">
        <v>#N/A N/A</v>
        <stp/>
        <stp>BDP|1854755589428024039</stp>
        <tr r="S20" s="2"/>
      </tp>
      <tp t="s">
        <v>#N/A N/A</v>
        <stp/>
        <stp>BDP|3793330402584140207</stp>
        <tr r="O173" s="2"/>
      </tp>
      <tp t="s">
        <v>#N/A N/A</v>
        <stp/>
        <stp>BDP|7075789169351177174</stp>
        <tr r="Z64" s="2"/>
      </tp>
      <tp t="s">
        <v>#N/A N/A</v>
        <stp/>
        <stp>BDP|5030162051713777471</stp>
        <tr r="P159" s="2"/>
      </tp>
      <tp t="s">
        <v>#N/A N/A</v>
        <stp/>
        <stp>BDP|8663943232327565323</stp>
        <tr r="B23" s="2"/>
      </tp>
      <tp t="s">
        <v>#N/A N/A</v>
        <stp/>
        <stp>BDP|9246238737846677875</stp>
        <tr r="O236" s="2"/>
      </tp>
      <tp t="s">
        <v>#N/A N/A</v>
        <stp/>
        <stp>BDP|9364498220448891155</stp>
        <tr r="AC100" s="2"/>
      </tp>
      <tp t="s">
        <v>#N/A N/A</v>
        <stp/>
        <stp>BDP|4094792428647201074</stp>
        <tr r="I96" s="2"/>
      </tp>
      <tp t="s">
        <v>#N/A N/A</v>
        <stp/>
        <stp>BDP|7656770046532314008</stp>
        <tr r="AD116" s="2"/>
      </tp>
      <tp t="s">
        <v>#N/A N/A</v>
        <stp/>
        <stp>BDP|9794471211289520301</stp>
        <tr r="T225" s="2"/>
      </tp>
      <tp t="s">
        <v>#N/A N/A</v>
        <stp/>
        <stp>BDP|3561585613954307592</stp>
        <tr r="V136" s="2"/>
      </tp>
      <tp t="s">
        <v>#N/A N/A</v>
        <stp/>
        <stp>BDP|9660906287918760627</stp>
        <tr r="AD54" s="2"/>
      </tp>
      <tp t="s">
        <v>#N/A N/A</v>
        <stp/>
        <stp>BDP|8126330974748684245</stp>
        <tr r="Z125" s="2"/>
      </tp>
      <tp t="s">
        <v>#N/A N/A</v>
        <stp/>
        <stp>BDP|2067468515511256053</stp>
        <tr r="P31" s="2"/>
      </tp>
      <tp t="s">
        <v>#N/A N/A</v>
        <stp/>
        <stp>BDP|4036373704489112868</stp>
        <tr r="U122" s="2"/>
      </tp>
      <tp t="s">
        <v>#N/A N/A</v>
        <stp/>
        <stp>BDP|7598065187198013100</stp>
        <tr r="U114" s="2"/>
      </tp>
      <tp t="s">
        <v>#N/A N/A</v>
        <stp/>
        <stp>BDP|4498591601573161495</stp>
        <tr r="AA119" s="2"/>
      </tp>
      <tp t="s">
        <v>#N/A N/A</v>
        <stp/>
        <stp>BDP|3125236227704250133</stp>
        <tr r="Z139" s="2"/>
      </tp>
      <tp t="s">
        <v>#N/A N/A</v>
        <stp/>
        <stp>BDP|9727411403513242836</stp>
        <tr r="T204" s="2"/>
      </tp>
      <tp t="s">
        <v>#N/A N/A</v>
        <stp/>
        <stp>BDP|8459862567043237333</stp>
        <tr r="T125" s="2"/>
      </tp>
      <tp t="s">
        <v>#N/A N/A</v>
        <stp/>
        <stp>BDP|4961845952456835933</stp>
        <tr r="S142" s="2"/>
      </tp>
      <tp t="s">
        <v>#N/A N/A</v>
        <stp/>
        <stp>BDP|9567634780199630847</stp>
        <tr r="Q171" s="2"/>
      </tp>
      <tp t="s">
        <v>#N/A N/A</v>
        <stp/>
        <stp>BDP|1794001131991488572</stp>
        <tr r="T185" s="2"/>
      </tp>
      <tp t="s">
        <v>#N/A N/A</v>
        <stp/>
        <stp>BDP|5302592799566153978</stp>
        <tr r="S37" s="2"/>
      </tp>
      <tp t="s">
        <v>#N/A N/A</v>
        <stp/>
        <stp>BDP|8771808628680360495</stp>
        <tr r="L160" s="2"/>
      </tp>
      <tp t="s">
        <v>#N/A N/A</v>
        <stp/>
        <stp>BDP|2211905732439347768</stp>
        <tr r="Q71" s="2"/>
      </tp>
      <tp t="s">
        <v>#N/A N/A</v>
        <stp/>
        <stp>BDP|6759380874297867361</stp>
        <tr r="P37" s="2"/>
      </tp>
      <tp t="s">
        <v>#N/A N/A</v>
        <stp/>
        <stp>BDP|2683827169862009885</stp>
        <tr r="V73" s="2"/>
      </tp>
      <tp t="s">
        <v>#N/A N/A</v>
        <stp/>
        <stp>BDP|2722547073535248376</stp>
        <tr r="I223" s="2"/>
      </tp>
      <tp t="s">
        <v>#N/A N/A</v>
        <stp/>
        <stp>BDP|3748946346479849187</stp>
        <tr r="T6" s="2"/>
      </tp>
      <tp t="s">
        <v>#N/A N/A</v>
        <stp/>
        <stp>BDP|3042074349108870933</stp>
        <tr r="O163" s="2"/>
      </tp>
      <tp t="s">
        <v>#N/A N/A</v>
        <stp/>
        <stp>BDP|2829368604270995764</stp>
        <tr r="H162" s="2"/>
      </tp>
      <tp t="s">
        <v>#N/A N/A</v>
        <stp/>
        <stp>BDP|5545202120200869385</stp>
        <tr r="T87" s="2"/>
      </tp>
      <tp t="s">
        <v>#N/A N/A</v>
        <stp/>
        <stp>BDP|2588139994209212554</stp>
        <tr r="Y99" s="2"/>
      </tp>
      <tp t="s">
        <v>#N/A N/A</v>
        <stp/>
        <stp>BDP|7773347170563557636</stp>
        <tr r="S58" s="2"/>
      </tp>
      <tp t="s">
        <v>#N/A N/A</v>
        <stp/>
        <stp>BDP|6057753548597088573</stp>
        <tr r="AE140" s="2"/>
      </tp>
      <tp t="s">
        <v>#N/A N/A</v>
        <stp/>
        <stp>BDP|5806428841701517346</stp>
        <tr r="I104" s="2"/>
      </tp>
      <tp t="s">
        <v>#N/A N/A</v>
        <stp/>
        <stp>BDP|2287136108535643152</stp>
        <tr r="AE14" s="2"/>
      </tp>
      <tp t="s">
        <v>#N/A N/A</v>
        <stp/>
        <stp>BDP|8956059017868612679</stp>
        <tr r="Z159" s="2"/>
      </tp>
      <tp t="s">
        <v>#N/A N/A</v>
        <stp/>
        <stp>BDP|3237201842240934230</stp>
        <tr r="K4" s="2"/>
        <tr r="R4" s="2"/>
        <tr r="W4" s="2"/>
      </tp>
      <tp t="s">
        <v>#N/A N/A</v>
        <stp/>
        <stp>BDP|5506784687954886987</stp>
        <tr r="E235" s="2"/>
      </tp>
      <tp t="s">
        <v>#N/A N/A</v>
        <stp/>
        <stp>BDP|7216182330445139713</stp>
        <tr r="H233" s="2"/>
      </tp>
      <tp t="s">
        <v>#N/A N/A</v>
        <stp/>
        <stp>BDP|1386424037242467391</stp>
        <tr r="N58" s="2"/>
      </tp>
      <tp t="s">
        <v>#N/A N/A</v>
        <stp/>
        <stp>BDP|4393602290854037889</stp>
        <tr r="Z86" s="2"/>
      </tp>
      <tp t="s">
        <v>#N/A N/A</v>
        <stp/>
        <stp>BDP|4034199841547620156</stp>
        <tr r="Z79" s="2"/>
      </tp>
      <tp t="s">
        <v>#N/A N/A</v>
        <stp/>
        <stp>BDP|6760317126825318583</stp>
        <tr r="V221" s="2"/>
      </tp>
      <tp t="s">
        <v>#N/A N/A</v>
        <stp/>
        <stp>BDP|3748380907280581764</stp>
        <tr r="AA99" s="2"/>
      </tp>
      <tp t="s">
        <v>#N/A N/A</v>
        <stp/>
        <stp>BDP|9392875888369723701</stp>
        <tr r="Q125" s="2"/>
      </tp>
      <tp t="s">
        <v>#N/A N/A</v>
        <stp/>
        <stp>BDP|3969563820025620628</stp>
        <tr r="Q231" s="2"/>
      </tp>
      <tp t="s">
        <v>#N/A N/A</v>
        <stp/>
        <stp>BDP|5421787071243316159</stp>
        <tr r="AA24" s="2"/>
      </tp>
      <tp t="s">
        <v>#N/A N/A</v>
        <stp/>
        <stp>BDP|1571227944060886007</stp>
        <tr r="N197" s="2"/>
      </tp>
      <tp t="s">
        <v>#N/A N/A</v>
        <stp/>
        <stp>BDP|2816045664914091734</stp>
        <tr r="E239" s="2"/>
      </tp>
      <tp t="s">
        <v>#N/A N/A</v>
        <stp/>
        <stp>BDP|9141233379942199917</stp>
        <tr r="M184" s="2"/>
      </tp>
      <tp t="s">
        <v>#N/A N/A</v>
        <stp/>
        <stp>BDP|6855459348430892162</stp>
        <tr r="S21" s="2"/>
      </tp>
      <tp t="s">
        <v>#N/A N/A</v>
        <stp/>
        <stp>BDP|9956976102187092078</stp>
        <tr r="E232" s="2"/>
      </tp>
      <tp t="s">
        <v>#N/A N/A</v>
        <stp/>
        <stp>BDP|3882167844728626979</stp>
        <tr r="Q203" s="2"/>
      </tp>
      <tp t="s">
        <v>#N/A N/A</v>
        <stp/>
        <stp>BDP|5261215724695871741</stp>
        <tr r="H34" s="2"/>
      </tp>
      <tp t="s">
        <v>#N/A N/A</v>
        <stp/>
        <stp>BDP|4456346900019217991</stp>
        <tr r="Z130" s="2"/>
      </tp>
      <tp t="s">
        <v>#N/A N/A</v>
        <stp/>
        <stp>BDP|9804041590191734601</stp>
        <tr r="M110" s="2"/>
      </tp>
      <tp t="s">
        <v>#N/A N/A</v>
        <stp/>
        <stp>BDP|1229294545175144541</stp>
        <tr r="D187" s="2"/>
      </tp>
      <tp t="s">
        <v>#N/A N/A</v>
        <stp/>
        <stp>BDP|4796046655547897154</stp>
        <tr r="Y11" s="2"/>
      </tp>
      <tp t="s">
        <v>#N/A N/A</v>
        <stp/>
        <stp>BDP|2978744776401840484</stp>
        <tr r="U208" s="2"/>
      </tp>
      <tp t="s">
        <v>#N/A N/A</v>
        <stp/>
        <stp>BDP|3332774038521065172</stp>
        <tr r="T42" s="2"/>
      </tp>
      <tp t="s">
        <v>#N/A N/A</v>
        <stp/>
        <stp>BDP|8112533080121849311</stp>
        <tr r="T216" s="2"/>
      </tp>
      <tp t="s">
        <v>#N/A N/A</v>
        <stp/>
        <stp>BDP|6681393517953884083</stp>
        <tr r="K99" s="2"/>
        <tr r="R99" s="2"/>
        <tr r="W99" s="2"/>
      </tp>
      <tp t="s">
        <v>#N/A N/A</v>
        <stp/>
        <stp>BDP|7220652751966660587</stp>
        <tr r="AB137" s="2"/>
      </tp>
      <tp t="s">
        <v>#N/A N/A</v>
        <stp/>
        <stp>BDP|4858569358721976274</stp>
        <tr r="M139" s="2"/>
      </tp>
      <tp t="s">
        <v>#N/A N/A</v>
        <stp/>
        <stp>BDP|6814558022100643616</stp>
        <tr r="M132" s="2"/>
      </tp>
      <tp t="s">
        <v>#N/A N/A</v>
        <stp/>
        <stp>BDP|2537138233485510281</stp>
        <tr r="Z83" s="2"/>
      </tp>
      <tp t="s">
        <v>#N/A N/A</v>
        <stp/>
        <stp>BDP|5803696118805904080</stp>
        <tr r="X135" s="2"/>
      </tp>
      <tp t="s">
        <v>#N/A N/A</v>
        <stp/>
        <stp>BDP|4036325485551658998</stp>
        <tr r="N189" s="2"/>
      </tp>
      <tp t="s">
        <v>#N/A N/A</v>
        <stp/>
        <stp>BDP|7539598836923775554</stp>
        <tr r="S239" s="2"/>
      </tp>
      <tp t="s">
        <v>#N/A N/A</v>
        <stp/>
        <stp>BDP|1475796442792522724</stp>
        <tr r="U213" s="2"/>
      </tp>
      <tp t="s">
        <v>#N/A N/A</v>
        <stp/>
        <stp>BDP|7201300746584925357</stp>
        <tr r="U160" s="2"/>
      </tp>
      <tp t="s">
        <v>#N/A N/A</v>
        <stp/>
        <stp>BDP|7855152410432645234</stp>
        <tr r="P150" s="2"/>
      </tp>
      <tp t="s">
        <v>#N/A N/A</v>
        <stp/>
        <stp>BDP|7594819336572821923</stp>
        <tr r="F197" s="2"/>
      </tp>
      <tp t="s">
        <v>#N/A N/A</v>
        <stp/>
        <stp>BDP|6779736249474164647</stp>
        <tr r="B38" s="2"/>
      </tp>
      <tp t="s">
        <v>#N/A N/A</v>
        <stp/>
        <stp>BDP|9693679199861689067</stp>
        <tr r="Y101" s="2"/>
      </tp>
      <tp t="s">
        <v>#N/A N/A</v>
        <stp/>
        <stp>BDP|4697953433288866117</stp>
        <tr r="L88" s="2"/>
      </tp>
      <tp t="s">
        <v>#N/A N/A</v>
        <stp/>
        <stp>BDP|3786702836104957417</stp>
        <tr r="T140" s="2"/>
      </tp>
      <tp t="s">
        <v>#N/A N/A</v>
        <stp/>
        <stp>BDP|8307185833828668570</stp>
        <tr r="P176" s="2"/>
      </tp>
      <tp t="s">
        <v>#N/A N/A</v>
        <stp/>
        <stp>BDP|6809439602391278427</stp>
        <tr r="V33" s="2"/>
      </tp>
      <tp t="s">
        <v>#N/A N/A</v>
        <stp/>
        <stp>BDP|5358348020256766595</stp>
        <tr r="AE121" s="2"/>
      </tp>
      <tp t="s">
        <v>#N/A N/A</v>
        <stp/>
        <stp>BDP|5587443439314466150</stp>
        <tr r="O43" s="2"/>
      </tp>
      <tp t="s">
        <v>#N/A N/A</v>
        <stp/>
        <stp>BDP|4761537019614575310</stp>
        <tr r="O124" s="2"/>
      </tp>
      <tp t="s">
        <v>#N/A N/A</v>
        <stp/>
        <stp>BDP|2384089473767147502</stp>
        <tr r="M70" s="2"/>
      </tp>
      <tp t="s">
        <v>#N/A N/A</v>
        <stp/>
        <stp>BDP|9630459797777497496</stp>
        <tr r="M80" s="2"/>
      </tp>
      <tp t="s">
        <v>#N/A N/A</v>
        <stp/>
        <stp>BDP|7973304146805087264</stp>
        <tr r="U21" s="2"/>
      </tp>
      <tp t="s">
        <v>#N/A N/A</v>
        <stp/>
        <stp>BDP|3790011258551734074</stp>
        <tr r="U49" s="2"/>
      </tp>
      <tp t="s">
        <v>#N/A N/A</v>
        <stp/>
        <stp>BDP|7999584345348330997</stp>
        <tr r="K159" s="2"/>
        <tr r="R159" s="2"/>
        <tr r="W159" s="2"/>
      </tp>
      <tp t="s">
        <v>#N/A N/A</v>
        <stp/>
        <stp>BDP|6639083631685520749</stp>
        <tr r="Z92" s="2"/>
      </tp>
      <tp t="s">
        <v>#N/A N/A</v>
        <stp/>
        <stp>BDP|5143926023298692188</stp>
        <tr r="E79" s="2"/>
      </tp>
      <tp t="s">
        <v>#N/A N/A</v>
        <stp/>
        <stp>BDP|1108584085279031225</stp>
        <tr r="Y75" s="2"/>
      </tp>
      <tp t="s">
        <v>#N/A N/A</v>
        <stp/>
        <stp>BDP|9364552820098809107</stp>
        <tr r="AE13" s="2"/>
      </tp>
      <tp t="s">
        <v>#N/A N/A</v>
        <stp/>
        <stp>BDP|9909206621589469726</stp>
        <tr r="Q225" s="2"/>
      </tp>
      <tp t="s">
        <v>#N/A N/A</v>
        <stp/>
        <stp>BDP|7039592620394071370</stp>
        <tr r="I229" s="2"/>
      </tp>
      <tp t="s">
        <v>#N/A N/A</v>
        <stp/>
        <stp>BDP|2491486463005720269</stp>
        <tr r="D25" s="2"/>
      </tp>
      <tp t="s">
        <v>#N/A N/A</v>
        <stp/>
        <stp>BDP|2985203606005141208</stp>
        <tr r="S67" s="2"/>
      </tp>
      <tp t="s">
        <v>#N/A N/A</v>
        <stp/>
        <stp>BDP|3853144631783515560</stp>
        <tr r="AB76" s="2"/>
      </tp>
      <tp t="s">
        <v>#N/A N/A</v>
        <stp/>
        <stp>BDP|7247522460115704691</stp>
        <tr r="E103" s="2"/>
      </tp>
      <tp t="s">
        <v>#N/A N/A</v>
        <stp/>
        <stp>BDP|2021949118099447469</stp>
        <tr r="C29" s="2"/>
      </tp>
      <tp t="s">
        <v>#N/A N/A</v>
        <stp/>
        <stp>BDP|2925407488508628189</stp>
        <tr r="O140" s="2"/>
      </tp>
      <tp t="s">
        <v>#N/A N/A</v>
        <stp/>
        <stp>BDP|5515737090349167589</stp>
        <tr r="S126" s="2"/>
      </tp>
      <tp t="s">
        <v>#N/A N/A</v>
        <stp/>
        <stp>BDP|4661720968211499377</stp>
        <tr r="G111" s="2"/>
      </tp>
      <tp t="s">
        <v>#N/A N/A</v>
        <stp/>
        <stp>BDP|9589096980544075231</stp>
        <tr r="AA96" s="2"/>
      </tp>
      <tp t="s">
        <v>#N/A N/A</v>
        <stp/>
        <stp>BDP|5171058113793805005</stp>
        <tr r="B236" s="2"/>
      </tp>
      <tp t="s">
        <v>#N/A N/A</v>
        <stp/>
        <stp>BDP|2917418715719311910</stp>
        <tr r="AA2" s="2"/>
      </tp>
      <tp t="s">
        <v>#N/A N/A</v>
        <stp/>
        <stp>BDP|1320059868553524342</stp>
        <tr r="O84" s="2"/>
      </tp>
      <tp t="s">
        <v>#N/A N/A</v>
        <stp/>
        <stp>BDP|5891539132431573532</stp>
        <tr r="AC111" s="2"/>
      </tp>
      <tp t="s">
        <v>#N/A N/A</v>
        <stp/>
        <stp>BDP|4322686563885081675</stp>
        <tr r="V98" s="2"/>
      </tp>
      <tp t="s">
        <v>#N/A N/A</v>
        <stp/>
        <stp>BDP|3004381829423822667</stp>
        <tr r="C210" s="2"/>
      </tp>
      <tp t="s">
        <v>#N/A N/A</v>
        <stp/>
        <stp>BDP|1235299777142583167</stp>
        <tr r="I133" s="2"/>
      </tp>
      <tp t="s">
        <v>#N/A N/A</v>
        <stp/>
        <stp>BDP|3895937920037592811</stp>
        <tr r="N130" s="2"/>
      </tp>
      <tp t="s">
        <v>#N/A N/A</v>
        <stp/>
        <stp>BDP|6875124043750054458</stp>
        <tr r="G224" s="2"/>
      </tp>
      <tp t="s">
        <v>#N/A N/A</v>
        <stp/>
        <stp>BDP|5684562967010837130</stp>
        <tr r="Y28" s="2"/>
      </tp>
      <tp t="s">
        <v>#N/A N/A</v>
        <stp/>
        <stp>BDP|7055682904037966199</stp>
        <tr r="O22" s="2"/>
      </tp>
      <tp t="s">
        <v>#N/A N/A</v>
        <stp/>
        <stp>BDP|8572812998807715976</stp>
        <tr r="I99" s="2"/>
      </tp>
      <tp t="s">
        <v>#N/A N/A</v>
        <stp/>
        <stp>BDP|2727012385588787587</stp>
        <tr r="B76" s="2"/>
      </tp>
      <tp t="s">
        <v>#N/A N/A</v>
        <stp/>
        <stp>BDP|2341563091518899106</stp>
        <tr r="I21" s="2"/>
      </tp>
      <tp t="s">
        <v>#N/A N/A</v>
        <stp/>
        <stp>BDP|1216395606540263538</stp>
        <tr r="D214" s="2"/>
      </tp>
      <tp t="s">
        <v>#N/A N/A</v>
        <stp/>
        <stp>BDP|2988502805331409147</stp>
        <tr r="F157" s="2"/>
      </tp>
      <tp t="s">
        <v>#N/A N/A</v>
        <stp/>
        <stp>BDP|1758798823032042118</stp>
        <tr r="C240" s="2"/>
      </tp>
      <tp t="s">
        <v>#N/A N/A</v>
        <stp/>
        <stp>BDP|9626397604609102463</stp>
        <tr r="T207" s="2"/>
      </tp>
      <tp t="s">
        <v>#N/A N/A</v>
        <stp/>
        <stp>BDP|9405902440177829402</stp>
        <tr r="U33" s="2"/>
      </tp>
      <tp t="s">
        <v>#N/A N/A</v>
        <stp/>
        <stp>BDP|7983341764173792623</stp>
        <tr r="T148" s="2"/>
      </tp>
      <tp t="s">
        <v>#N/A N/A</v>
        <stp/>
        <stp>BDP|1056087451601537202</stp>
        <tr r="K68" s="2"/>
        <tr r="R68" s="2"/>
        <tr r="W68" s="2"/>
      </tp>
      <tp t="s">
        <v>#N/A N/A</v>
        <stp/>
        <stp>BDP|9366046105397924975</stp>
        <tr r="AA231" s="2"/>
      </tp>
      <tp t="s">
        <v>#N/A N/A</v>
        <stp/>
        <stp>BDP|9265377879408454259</stp>
        <tr r="N28" s="2"/>
      </tp>
      <tp t="s">
        <v>#N/A N/A</v>
        <stp/>
        <stp>BDP|6470813446864652985</stp>
        <tr r="F82" s="2"/>
      </tp>
      <tp t="s">
        <v>#N/A N/A</v>
        <stp/>
        <stp>BDP|7445185458930922406</stp>
        <tr r="AE21" s="2"/>
      </tp>
      <tp t="s">
        <v>#N/A N/A</v>
        <stp/>
        <stp>BDP|6249592115400673559</stp>
        <tr r="AB165" s="2"/>
      </tp>
      <tp t="s">
        <v>#N/A N/A</v>
        <stp/>
        <stp>BDP|3624978849739768024</stp>
        <tr r="G225" s="2"/>
      </tp>
      <tp t="s">
        <v>#N/A N/A</v>
        <stp/>
        <stp>BDP|8619141430948629594</stp>
        <tr r="K226" s="2"/>
        <tr r="R226" s="2"/>
        <tr r="W226" s="2"/>
      </tp>
      <tp t="s">
        <v>#N/A N/A</v>
        <stp/>
        <stp>BDP|9611082131425498861</stp>
        <tr r="V83" s="2"/>
      </tp>
      <tp t="s">
        <v>#N/A N/A</v>
        <stp/>
        <stp>BDP|4020498754226891480</stp>
        <tr r="C138" s="2"/>
      </tp>
      <tp t="s">
        <v>#N/A N/A</v>
        <stp/>
        <stp>BDP|4211663877525923774</stp>
        <tr r="K198" s="2"/>
        <tr r="R198" s="2"/>
        <tr r="W198" s="2"/>
      </tp>
      <tp t="s">
        <v>#N/A N/A</v>
        <stp/>
        <stp>BDP|7597088537707436435</stp>
        <tr r="X115" s="2"/>
      </tp>
      <tp t="s">
        <v>#N/A N/A</v>
        <stp/>
        <stp>BDP|5705033818734610775</stp>
        <tr r="AB128" s="2"/>
      </tp>
      <tp t="s">
        <v>#N/A N/A</v>
        <stp/>
        <stp>BDP|5108440988119018703</stp>
        <tr r="H30" s="2"/>
      </tp>
      <tp t="s">
        <v>#N/A N/A</v>
        <stp/>
        <stp>BDP|1320437913481607284</stp>
        <tr r="X178" s="2"/>
      </tp>
      <tp t="s">
        <v>#N/A N/A</v>
        <stp/>
        <stp>BDP|9674614699083038235</stp>
        <tr r="G73" s="2"/>
      </tp>
      <tp t="s">
        <v>#N/A N/A</v>
        <stp/>
        <stp>BDP|4859731175363559065</stp>
        <tr r="C31" s="2"/>
      </tp>
      <tp t="s">
        <v>#N/A N/A</v>
        <stp/>
        <stp>BDP|9812314138258482689</stp>
        <tr r="AB67" s="2"/>
      </tp>
      <tp t="s">
        <v>#N/A N/A</v>
        <stp/>
        <stp>BDP|6066501823183867566</stp>
        <tr r="E186" s="2"/>
      </tp>
      <tp t="s">
        <v>#N/A N/A</v>
        <stp/>
        <stp>BDP|6713656250801700377</stp>
        <tr r="AA149" s="2"/>
      </tp>
      <tp t="s">
        <v>#N/A N/A</v>
        <stp/>
        <stp>BDP|2494960194605539013</stp>
        <tr r="O21" s="2"/>
      </tp>
      <tp t="s">
        <v>#N/A N/A</v>
        <stp/>
        <stp>BDP|3878371133842683688</stp>
        <tr r="B112" s="2"/>
      </tp>
      <tp t="s">
        <v>#N/A N/A</v>
        <stp/>
        <stp>BDP|7796061151603468666</stp>
        <tr r="T48" s="2"/>
      </tp>
      <tp t="s">
        <v>#N/A N/A</v>
        <stp/>
        <stp>BDP|6292776331860018566</stp>
        <tr r="AE16" s="2"/>
      </tp>
      <tp t="s">
        <v>#N/A N/A</v>
        <stp/>
        <stp>BDP|6547201530094665416</stp>
        <tr r="I129" s="2"/>
      </tp>
      <tp t="s">
        <v>#N/A N/A</v>
        <stp/>
        <stp>BDP|9303414916718005366</stp>
        <tr r="O118" s="2"/>
      </tp>
      <tp t="s">
        <v>#N/A N/A</v>
        <stp/>
        <stp>BDP|8542830239673578780</stp>
        <tr r="H101" s="2"/>
      </tp>
      <tp t="s">
        <v>#N/A N/A</v>
        <stp/>
        <stp>BDP|9826358619898312456</stp>
        <tr r="K181" s="2"/>
        <tr r="R181" s="2"/>
        <tr r="W181" s="2"/>
      </tp>
      <tp t="s">
        <v>#N/A N/A</v>
        <stp/>
        <stp>BDP|2039788233132894317</stp>
        <tr r="Q237" s="2"/>
      </tp>
      <tp t="s">
        <v>#N/A N/A</v>
        <stp/>
        <stp>BDP|4037346033470036354</stp>
        <tr r="Y238" s="2"/>
      </tp>
      <tp t="s">
        <v>#N/A N/A</v>
        <stp/>
        <stp>BDP|3362265285076192823</stp>
        <tr r="Y55" s="2"/>
      </tp>
      <tp t="s">
        <v>#N/A N/A</v>
        <stp/>
        <stp>BDP|5487170176365637101</stp>
        <tr r="Q16" s="2"/>
      </tp>
      <tp t="s">
        <v>#N/A N/A</v>
        <stp/>
        <stp>BDP|1290033574804598532</stp>
        <tr r="AD36" s="2"/>
      </tp>
      <tp t="s">
        <v>#N/A N/A</v>
        <stp/>
        <stp>BDP|2170072820932478513</stp>
        <tr r="O213" s="2"/>
      </tp>
      <tp t="s">
        <v>#N/A N/A</v>
        <stp/>
        <stp>BDP|2582037595624054807</stp>
        <tr r="M73" s="2"/>
      </tp>
      <tp t="s">
        <v>#N/A N/A</v>
        <stp/>
        <stp>BDP|9316821978728255988</stp>
        <tr r="F72" s="2"/>
      </tp>
      <tp t="s">
        <v>#N/A N/A</v>
        <stp/>
        <stp>BDP|6685324353942095540</stp>
        <tr r="Q45" s="2"/>
      </tp>
      <tp t="s">
        <v>#N/A N/A</v>
        <stp/>
        <stp>BDP|5882518608966318114</stp>
        <tr r="C117" s="2"/>
      </tp>
      <tp t="s">
        <v>#N/A N/A</v>
        <stp/>
        <stp>BDP|7100785709960407773</stp>
        <tr r="AA150" s="2"/>
      </tp>
      <tp t="s">
        <v>#N/A N/A</v>
        <stp/>
        <stp>BDP|4193018223289380835</stp>
        <tr r="Q176" s="2"/>
      </tp>
      <tp t="s">
        <v>#N/A N/A</v>
        <stp/>
        <stp>BDP|1372943755358248233</stp>
        <tr r="Z218" s="2"/>
      </tp>
      <tp t="s">
        <v>#N/A N/A</v>
        <stp/>
        <stp>BDP|7908873510060505986</stp>
        <tr r="Q17" s="2"/>
      </tp>
      <tp t="s">
        <v>#N/A N/A</v>
        <stp/>
        <stp>BDP|7777726602197113055</stp>
        <tr r="O120" s="2"/>
      </tp>
      <tp t="s">
        <v>#N/A N/A</v>
        <stp/>
        <stp>BDP|4314711131533928491</stp>
        <tr r="E193" s="2"/>
      </tp>
      <tp t="s">
        <v>#N/A N/A</v>
        <stp/>
        <stp>BDP|9061282644941988963</stp>
        <tr r="M154" s="2"/>
      </tp>
      <tp t="s">
        <v>#N/A N/A</v>
        <stp/>
        <stp>BDP|8106789187070829062</stp>
        <tr r="F173" s="2"/>
      </tp>
      <tp t="s">
        <v>#N/A N/A</v>
        <stp/>
        <stp>BDP|7100852644328097403</stp>
        <tr r="G144" s="2"/>
      </tp>
      <tp t="s">
        <v>#N/A N/A</v>
        <stp/>
        <stp>BDP|8358128989573122597</stp>
        <tr r="T7" s="2"/>
      </tp>
      <tp t="s">
        <v>#N/A N/A</v>
        <stp/>
        <stp>BDP|1664183980798882765</stp>
        <tr r="N40" s="2"/>
      </tp>
      <tp t="s">
        <v>#N/A N/A</v>
        <stp/>
        <stp>BDP|2400138826032060411</stp>
        <tr r="S209" s="2"/>
      </tp>
      <tp t="s">
        <v>#N/A N/A</v>
        <stp/>
        <stp>BDP|5960429454477662493</stp>
        <tr r="O137" s="2"/>
      </tp>
      <tp t="s">
        <v>#N/A N/A</v>
        <stp/>
        <stp>BDP|7199743955863849188</stp>
        <tr r="C2" s="2"/>
      </tp>
      <tp t="s">
        <v>#N/A N/A</v>
        <stp/>
        <stp>BDP|3874758391379481385</stp>
        <tr r="K80" s="2"/>
        <tr r="R80" s="2"/>
        <tr r="W80" s="2"/>
      </tp>
      <tp t="s">
        <v>#N/A N/A</v>
        <stp/>
        <stp>BDP|4550082416482911020</stp>
        <tr r="U78" s="2"/>
      </tp>
      <tp t="s">
        <v>#N/A N/A</v>
        <stp/>
        <stp>BDP|4625494148177134460</stp>
        <tr r="L52" s="2"/>
      </tp>
      <tp t="s">
        <v>#N/A N/A</v>
        <stp/>
        <stp>BDP|4696503885566416879</stp>
        <tr r="O217" s="2"/>
      </tp>
      <tp t="s">
        <v>#N/A N/A</v>
        <stp/>
        <stp>BDP|4048272832284203672</stp>
        <tr r="K85" s="2"/>
        <tr r="R85" s="2"/>
        <tr r="W85" s="2"/>
      </tp>
      <tp t="s">
        <v>#N/A N/A</v>
        <stp/>
        <stp>BDP|5349476431650289567</stp>
        <tr r="AD133" s="2"/>
      </tp>
      <tp t="s">
        <v>#N/A N/A</v>
        <stp/>
        <stp>BDP|6395210350677538167</stp>
        <tr r="U66" s="2"/>
      </tp>
      <tp t="s">
        <v>#N/A N/A</v>
        <stp/>
        <stp>BDP|2482406066651725640</stp>
        <tr r="AA188" s="2"/>
      </tp>
      <tp t="s">
        <v>#N/A N/A</v>
        <stp/>
        <stp>BDP|4868633172965136795</stp>
        <tr r="C22" s="2"/>
      </tp>
      <tp t="s">
        <v>#N/A N/A</v>
        <stp/>
        <stp>BDP|7774683155884838732</stp>
        <tr r="S134" s="2"/>
      </tp>
      <tp t="s">
        <v>#N/A N/A</v>
        <stp/>
        <stp>BDP|1714343346971467001</stp>
        <tr r="AD126" s="2"/>
      </tp>
      <tp t="s">
        <v>#N/A N/A</v>
        <stp/>
        <stp>BDP|4294669011840164450</stp>
        <tr r="X108" s="2"/>
      </tp>
      <tp t="s">
        <v>#N/A N/A</v>
        <stp/>
        <stp>BDP|8273604082700033119</stp>
        <tr r="V173" s="2"/>
      </tp>
      <tp t="s">
        <v>#N/A N/A</v>
        <stp/>
        <stp>BDP|8305026030124311837</stp>
        <tr r="N90" s="2"/>
      </tp>
      <tp t="s">
        <v>#N/A N/A</v>
        <stp/>
        <stp>BDP|6102933975028691708</stp>
        <tr r="AE56" s="2"/>
      </tp>
      <tp t="s">
        <v>#N/A N/A</v>
        <stp/>
        <stp>BDP|2312330486597585929</stp>
        <tr r="E182" s="2"/>
      </tp>
      <tp t="s">
        <v>#N/A N/A</v>
        <stp/>
        <stp>BDP|7368465951837545608</stp>
        <tr r="H219" s="2"/>
      </tp>
      <tp t="s">
        <v>#N/A N/A</v>
        <stp/>
        <stp>BDP|3477365261598570976</stp>
        <tr r="L239" s="2"/>
      </tp>
      <tp t="s">
        <v>#N/A N/A</v>
        <stp/>
        <stp>BDP|5069155529471582089</stp>
        <tr r="L120" s="2"/>
      </tp>
      <tp t="s">
        <v>#N/A N/A</v>
        <stp/>
        <stp>BDP|4508361516220444101</stp>
        <tr r="T49" s="2"/>
      </tp>
      <tp t="s">
        <v>#N/A N/A</v>
        <stp/>
        <stp>BDP|4652598102320245693</stp>
        <tr r="AD77" s="2"/>
      </tp>
      <tp t="s">
        <v>#N/A N/A</v>
        <stp/>
        <stp>BDP|7494534673241355312</stp>
        <tr r="N170" s="2"/>
      </tp>
      <tp t="s">
        <v>#N/A N/A</v>
        <stp/>
        <stp>BDP|9716572469488952569</stp>
        <tr r="E75" s="2"/>
      </tp>
      <tp t="s">
        <v>#N/A N/A</v>
        <stp/>
        <stp>BDP|7282681863573738385</stp>
        <tr r="AD73" s="2"/>
      </tp>
      <tp t="s">
        <v>#N/A N/A</v>
        <stp/>
        <stp>BDP|4533762095698754578</stp>
        <tr r="AB110" s="2"/>
      </tp>
      <tp t="s">
        <v>#N/A N/A</v>
        <stp/>
        <stp>BDP|9122064081371291720</stp>
        <tr r="AB89" s="2"/>
      </tp>
      <tp t="s">
        <v>#N/A N/A</v>
        <stp/>
        <stp>BDP|3302472232392585156</stp>
        <tr r="Y38" s="2"/>
      </tp>
      <tp t="s">
        <v>#N/A N/A</v>
        <stp/>
        <stp>BDP|8485420950349971792</stp>
        <tr r="H90" s="2"/>
      </tp>
      <tp t="s">
        <v>#N/A N/A</v>
        <stp/>
        <stp>BDP|7505437065862766029</stp>
        <tr r="O167" s="2"/>
      </tp>
      <tp t="s">
        <v>#N/A N/A</v>
        <stp/>
        <stp>BDP|2681358664578639876</stp>
        <tr r="AC9" s="2"/>
      </tp>
      <tp t="s">
        <v>#N/A N/A</v>
        <stp/>
        <stp>BDP|7474226911101050217</stp>
        <tr r="S190" s="2"/>
      </tp>
      <tp t="s">
        <v>#N/A N/A</v>
        <stp/>
        <stp>BDP|1204461106397317571</stp>
        <tr r="AE75" s="2"/>
      </tp>
      <tp t="s">
        <v>#N/A N/A</v>
        <stp/>
        <stp>BDP|2586512315212558329</stp>
        <tr r="Z97" s="2"/>
      </tp>
      <tp t="s">
        <v>#N/A N/A</v>
        <stp/>
        <stp>BDP|4286507776984053527</stp>
        <tr r="P67" s="2"/>
      </tp>
      <tp t="s">
        <v>#N/A N/A</v>
        <stp/>
        <stp>BDP|9545874626330625446</stp>
        <tr r="AC149" s="2"/>
      </tp>
      <tp t="s">
        <v>#N/A N/A</v>
        <stp/>
        <stp>BDP|9669921806281179655</stp>
        <tr r="P200" s="2"/>
      </tp>
      <tp t="s">
        <v>#N/A N/A</v>
        <stp/>
        <stp>BDP|1325596042734924376</stp>
        <tr r="AA66" s="2"/>
      </tp>
      <tp t="s">
        <v>#N/A N/A</v>
        <stp/>
        <stp>BDP|1250883147003969926</stp>
        <tr r="AC116" s="2"/>
      </tp>
      <tp t="s">
        <v>#N/A N/A</v>
        <stp/>
        <stp>BDP|4207305521994564612</stp>
        <tr r="G119" s="2"/>
      </tp>
      <tp t="s">
        <v>#N/A N/A</v>
        <stp/>
        <stp>BDP|1833287621266547039</stp>
        <tr r="Z15" s="2"/>
      </tp>
      <tp t="s">
        <v>#N/A N/A</v>
        <stp/>
        <stp>BDP|3465107677891274365</stp>
        <tr r="N38" s="2"/>
      </tp>
      <tp t="s">
        <v>#N/A N/A</v>
        <stp/>
        <stp>BDP|4854758533080857712</stp>
        <tr r="N127" s="2"/>
      </tp>
      <tp t="s">
        <v>#N/A N/A</v>
        <stp/>
        <stp>BDP|2802120100922902645</stp>
        <tr r="U148" s="2"/>
      </tp>
      <tp t="s">
        <v>#N/A N/A</v>
        <stp/>
        <stp>BDP|8604963671621421028</stp>
        <tr r="E146" s="2"/>
      </tp>
      <tp t="s">
        <v>#N/A N/A</v>
        <stp/>
        <stp>BDP|3495854035267571867</stp>
        <tr r="AC67" s="2"/>
      </tp>
      <tp t="s">
        <v>#N/A N/A</v>
        <stp/>
        <stp>BDP|6582686647375409692</stp>
        <tr r="S181" s="2"/>
      </tp>
      <tp t="s">
        <v>#N/A N/A</v>
        <stp/>
        <stp>BDP|8044943337284299162</stp>
        <tr r="V226" s="2"/>
      </tp>
      <tp t="s">
        <v>#N/A N/A</v>
        <stp/>
        <stp>BDP|8658125866430007855</stp>
        <tr r="Y229" s="2"/>
      </tp>
      <tp t="s">
        <v>#N/A N/A</v>
        <stp/>
        <stp>BDP|6729219001195896683</stp>
        <tr r="AC175" s="2"/>
      </tp>
      <tp t="s">
        <v>#N/A N/A</v>
        <stp/>
        <stp>BDP|1594127586676392952</stp>
        <tr r="F114" s="2"/>
      </tp>
      <tp t="s">
        <v>#N/A N/A</v>
        <stp/>
        <stp>BDP|5715415187458574634</stp>
        <tr r="AC143" s="2"/>
      </tp>
      <tp t="s">
        <v>#N/A N/A</v>
        <stp/>
        <stp>BDP|4584054619100963278</stp>
        <tr r="F215" s="2"/>
      </tp>
      <tp t="s">
        <v>#N/A N/A</v>
        <stp/>
        <stp>BDP|9098143572629987187</stp>
        <tr r="H96" s="2"/>
      </tp>
      <tp t="s">
        <v>#N/A N/A</v>
        <stp/>
        <stp>BDP|7241485943838637888</stp>
        <tr r="T54" s="2"/>
      </tp>
      <tp t="s">
        <v>#N/A N/A</v>
        <stp/>
        <stp>BDP|1471782449761434465</stp>
        <tr r="K212" s="2"/>
        <tr r="R212" s="2"/>
        <tr r="W212" s="2"/>
      </tp>
      <tp t="s">
        <v>#N/A N/A</v>
        <stp/>
        <stp>BDP|1582180408730498762</stp>
        <tr r="T184" s="2"/>
      </tp>
      <tp t="s">
        <v>#N/A N/A</v>
        <stp/>
        <stp>BDP|8553262809119545486</stp>
        <tr r="S24" s="2"/>
      </tp>
      <tp t="s">
        <v>#N/A N/A</v>
        <stp/>
        <stp>BDP|8621919067930116064</stp>
        <tr r="K53" s="2"/>
        <tr r="R53" s="2"/>
        <tr r="W53" s="2"/>
      </tp>
      <tp t="s">
        <v>#N/A N/A</v>
        <stp/>
        <stp>BDP|6168741743102278037</stp>
        <tr r="AB136" s="2"/>
      </tp>
      <tp t="s">
        <v>#N/A N/A</v>
        <stp/>
        <stp>BDP|8357975925014100076</stp>
        <tr r="L211" s="2"/>
      </tp>
      <tp t="s">
        <v>#N/A N/A</v>
        <stp/>
        <stp>BDP|6008904645618899493</stp>
        <tr r="C76" s="2"/>
      </tp>
      <tp t="s">
        <v>#N/A N/A</v>
        <stp/>
        <stp>BDP|4526962345729076728</stp>
        <tr r="S232" s="2"/>
      </tp>
      <tp t="s">
        <v>#N/A N/A</v>
        <stp/>
        <stp>BDP|5848033542883864551</stp>
        <tr r="D105" s="2"/>
      </tp>
      <tp t="s">
        <v>#N/A N/A</v>
        <stp/>
        <stp>BDP|3184757101465343624</stp>
        <tr r="I150" s="2"/>
      </tp>
      <tp t="s">
        <v>#N/A N/A</v>
        <stp/>
        <stp>BDP|8755060582440726709</stp>
        <tr r="AB181" s="2"/>
      </tp>
      <tp t="s">
        <v>#N/A N/A</v>
        <stp/>
        <stp>BDP|2796463255476502253</stp>
        <tr r="T31" s="2"/>
      </tp>
      <tp t="s">
        <v>#N/A N/A</v>
        <stp/>
        <stp>BDP|5370943990517187524</stp>
        <tr r="AB189" s="2"/>
      </tp>
      <tp t="s">
        <v>#N/A N/A</v>
        <stp/>
        <stp>BDP|4807699025805344239</stp>
        <tr r="F2" s="2"/>
      </tp>
      <tp t="s">
        <v>#N/A N/A</v>
        <stp/>
        <stp>BDP|6477216822840753140</stp>
        <tr r="Q166" s="2"/>
      </tp>
      <tp t="s">
        <v>#N/A N/A</v>
        <stp/>
        <stp>BDP|8342883878648154868</stp>
        <tr r="U31" s="2"/>
      </tp>
      <tp t="s">
        <v>#N/A N/A</v>
        <stp/>
        <stp>BDP|4874978280693232195</stp>
        <tr r="AC185" s="2"/>
      </tp>
      <tp t="s">
        <v>#N/A N/A</v>
        <stp/>
        <stp>BDP|6011424772533086146</stp>
        <tr r="L200" s="2"/>
      </tp>
      <tp t="s">
        <v>#N/A N/A</v>
        <stp/>
        <stp>BDP|1100302026812539568</stp>
        <tr r="M128" s="2"/>
      </tp>
      <tp t="s">
        <v>#N/A N/A</v>
        <stp/>
        <stp>BDP|4156126620639116967</stp>
        <tr r="Z98" s="2"/>
      </tp>
      <tp t="s">
        <v>#N/A N/A</v>
        <stp/>
        <stp>BDP|8345574527238214050</stp>
        <tr r="Q85" s="2"/>
      </tp>
      <tp t="s">
        <v>#N/A N/A</v>
        <stp/>
        <stp>BDP|5640257714536607755</stp>
        <tr r="T124" s="2"/>
      </tp>
      <tp t="s">
        <v>#N/A N/A</v>
        <stp/>
        <stp>BDP|1396125966997493678</stp>
        <tr r="V155" s="2"/>
      </tp>
      <tp t="s">
        <v>#N/A N/A</v>
        <stp/>
        <stp>BDP|2528086929660176711</stp>
        <tr r="X104" s="2"/>
      </tp>
      <tp t="s">
        <v>#N/A N/A</v>
        <stp/>
        <stp>BDP|5366819447679674778</stp>
        <tr r="K127" s="2"/>
        <tr r="R127" s="2"/>
        <tr r="W127" s="2"/>
      </tp>
      <tp t="s">
        <v>#N/A N/A</v>
        <stp/>
        <stp>BDP|4912604525133926410</stp>
        <tr r="AE209" s="2"/>
      </tp>
      <tp t="s">
        <v>#N/A N/A</v>
        <stp/>
        <stp>BDP|8308230026936286907</stp>
        <tr r="M206" s="2"/>
      </tp>
      <tp t="s">
        <v>#N/A N/A</v>
        <stp/>
        <stp>BDP|1715371579653950159</stp>
        <tr r="I167" s="2"/>
      </tp>
      <tp t="s">
        <v>#N/A N/A</v>
        <stp/>
        <stp>BDP|8392873846751324245</stp>
        <tr r="L104" s="2"/>
      </tp>
      <tp t="s">
        <v>#N/A N/A</v>
        <stp/>
        <stp>BDP|1359968940302732970</stp>
        <tr r="F156" s="2"/>
      </tp>
      <tp t="s">
        <v>#N/A N/A</v>
        <stp/>
        <stp>BDP|6004544676076751500</stp>
        <tr r="H154" s="2"/>
      </tp>
      <tp t="s">
        <v>#N/A N/A</v>
        <stp/>
        <stp>BDP|3691608067063241765</stp>
        <tr r="AB158" s="2"/>
      </tp>
      <tp t="s">
        <v>#N/A N/A</v>
        <stp/>
        <stp>BDP|6706423674257046545</stp>
        <tr r="I142" s="2"/>
      </tp>
      <tp t="s">
        <v>#N/A N/A</v>
        <stp/>
        <stp>BDP|1746498542112864418</stp>
        <tr r="O106" s="2"/>
      </tp>
      <tp t="s">
        <v>#N/A N/A</v>
        <stp/>
        <stp>BDP|2476171580629065564</stp>
        <tr r="T55" s="2"/>
      </tp>
      <tp t="s">
        <v>#N/A N/A</v>
        <stp/>
        <stp>BDP|5254541244454035777</stp>
        <tr r="B155" s="2"/>
      </tp>
      <tp t="s">
        <v>#N/A N/A</v>
        <stp/>
        <stp>BDP|9646743483063433202</stp>
        <tr r="Z21" s="2"/>
      </tp>
      <tp t="s">
        <v>#N/A N/A</v>
        <stp/>
        <stp>BDP|9740565134560724870</stp>
        <tr r="AD96" s="2"/>
      </tp>
      <tp t="s">
        <v>#N/A N/A</v>
        <stp/>
        <stp>BDP|7464135740686226301</stp>
        <tr r="M53" s="2"/>
      </tp>
      <tp t="s">
        <v>#N/A N/A</v>
        <stp/>
        <stp>BDP|5610337812275141536</stp>
        <tr r="E122" s="2"/>
      </tp>
      <tp t="s">
        <v>#N/A N/A</v>
        <stp/>
        <stp>BDP|1865441984658290500</stp>
        <tr r="E141" s="2"/>
      </tp>
      <tp t="s">
        <v>#N/A N/A</v>
        <stp/>
        <stp>BDP|5225662416030991213</stp>
        <tr r="AD106" s="2"/>
      </tp>
      <tp t="s">
        <v>#N/A N/A</v>
        <stp/>
        <stp>BDP|4490450996359974042</stp>
        <tr r="AE2" s="2"/>
      </tp>
      <tp t="s">
        <v>#N/A N/A</v>
        <stp/>
        <stp>BDP|4111611665617924364</stp>
        <tr r="G196" s="2"/>
      </tp>
      <tp t="s">
        <v>#N/A N/A</v>
        <stp/>
        <stp>BDP|1876811717319363170</stp>
        <tr r="D7" s="2"/>
      </tp>
      <tp t="s">
        <v>#N/A N/A</v>
        <stp/>
        <stp>BDP|2212586100021676662</stp>
        <tr r="S148" s="2"/>
      </tp>
      <tp t="s">
        <v>#N/A N/A</v>
        <stp/>
        <stp>BDP|3418067698498222225</stp>
        <tr r="L87" s="2"/>
      </tp>
      <tp t="s">
        <v>#N/A N/A</v>
        <stp/>
        <stp>BDP|2955413152512207127</stp>
        <tr r="AD127" s="2"/>
      </tp>
      <tp t="s">
        <v>#N/A N/A</v>
        <stp/>
        <stp>BDP|7887352879166895566</stp>
        <tr r="AB69" s="2"/>
      </tp>
      <tp t="s">
        <v>#N/A N/A</v>
        <stp/>
        <stp>BDP|6464254673250817319</stp>
        <tr r="M51" s="2"/>
      </tp>
      <tp t="s">
        <v>#N/A N/A</v>
        <stp/>
        <stp>BDP|1830305792969769261</stp>
        <tr r="AE81" s="2"/>
      </tp>
      <tp t="s">
        <v>#N/A N/A</v>
        <stp/>
        <stp>BDP|6039220944906521683</stp>
        <tr r="O19" s="2"/>
      </tp>
      <tp t="s">
        <v>#N/A N/A</v>
        <stp/>
        <stp>BDP|1735072508646287714</stp>
        <tr r="Q143" s="2"/>
      </tp>
      <tp t="s">
        <v>#N/A N/A</v>
        <stp/>
        <stp>BDP|5856338157391718202</stp>
        <tr r="AB179" s="2"/>
      </tp>
      <tp t="s">
        <v>#N/A N/A</v>
        <stp/>
        <stp>BDP|8388314632530828837</stp>
        <tr r="T235" s="2"/>
      </tp>
      <tp t="s">
        <v>#N/A N/A</v>
        <stp/>
        <stp>BDP|3377227172334988217</stp>
        <tr r="Y110" s="2"/>
      </tp>
      <tp t="s">
        <v>#N/A N/A</v>
        <stp/>
        <stp>BDP|2223285104516548608</stp>
        <tr r="F62" s="2"/>
      </tp>
      <tp t="s">
        <v>#N/A N/A</v>
        <stp/>
        <stp>BDP|9405431500174972957</stp>
        <tr r="Y35" s="2"/>
      </tp>
      <tp t="s">
        <v>#N/A N/A</v>
        <stp/>
        <stp>BDP|3967865395633027114</stp>
        <tr r="AE122" s="2"/>
      </tp>
      <tp t="s">
        <v>#N/A N/A</v>
        <stp/>
        <stp>BDP|3818790032210819700</stp>
        <tr r="E204" s="2"/>
      </tp>
      <tp t="s">
        <v>#N/A N/A</v>
        <stp/>
        <stp>BDP|1639194106184400463</stp>
        <tr r="AA236" s="2"/>
      </tp>
      <tp t="s">
        <v>#N/A N/A</v>
        <stp/>
        <stp>BDP|5898529855743068644</stp>
        <tr r="T237" s="2"/>
      </tp>
      <tp t="s">
        <v>#N/A N/A</v>
        <stp/>
        <stp>BDP|7827646903477643621</stp>
        <tr r="D16" s="2"/>
      </tp>
      <tp t="s">
        <v>#N/A N/A</v>
        <stp/>
        <stp>BDP|1224251795062916805</stp>
        <tr r="V93" s="2"/>
      </tp>
      <tp t="s">
        <v>#N/A N/A</v>
        <stp/>
        <stp>BDP|3960367067684584269</stp>
        <tr r="AD146" s="2"/>
      </tp>
      <tp t="s">
        <v>#N/A N/A</v>
        <stp/>
        <stp>BDP|2098667632673427483</stp>
        <tr r="X228" s="2"/>
      </tp>
      <tp t="s">
        <v>#N/A N/A</v>
        <stp/>
        <stp>BDP|5439935170072950968</stp>
        <tr r="AB213" s="2"/>
      </tp>
      <tp t="s">
        <v>#N/A N/A</v>
        <stp/>
        <stp>BDP|3876354541886568211</stp>
        <tr r="L124" s="2"/>
      </tp>
      <tp t="s">
        <v>#N/A N/A</v>
        <stp/>
        <stp>BDP|6231598235051735119</stp>
        <tr r="O233" s="2"/>
      </tp>
      <tp t="s">
        <v>#N/A N/A</v>
        <stp/>
        <stp>BDP|9048392490013230035</stp>
        <tr r="AC83" s="2"/>
      </tp>
      <tp t="s">
        <v>#N/A N/A</v>
        <stp/>
        <stp>BDP|1483785366658498867</stp>
        <tr r="N181" s="2"/>
      </tp>
      <tp t="s">
        <v>#N/A N/A</v>
        <stp/>
        <stp>BDP|9918500091573340635</stp>
        <tr r="I198" s="2"/>
      </tp>
      <tp t="s">
        <v>#N/A N/A</v>
        <stp/>
        <stp>BDP|7807419769733099682</stp>
        <tr r="AA95" s="2"/>
      </tp>
      <tp t="s">
        <v>#N/A N/A</v>
        <stp/>
        <stp>BDP|9503147882050802030</stp>
        <tr r="I138" s="2"/>
      </tp>
      <tp t="s">
        <v>#N/A N/A</v>
        <stp/>
        <stp>BDP|5850719266304054062</stp>
        <tr r="P13" s="2"/>
      </tp>
      <tp t="s">
        <v>#N/A N/A</v>
        <stp/>
        <stp>BDP|5692661380268039392</stp>
        <tr r="T217" s="2"/>
      </tp>
      <tp t="s">
        <v>#N/A N/A</v>
        <stp/>
        <stp>BDP|1546550464263428199</stp>
        <tr r="D49" s="2"/>
      </tp>
      <tp t="s">
        <v>#N/A N/A</v>
        <stp/>
        <stp>BDP|6881208430893864492</stp>
        <tr r="V91" s="2"/>
      </tp>
      <tp t="s">
        <v>#N/A N/A</v>
        <stp/>
        <stp>BDP|8875826362615512348</stp>
        <tr r="X21" s="2"/>
      </tp>
      <tp t="s">
        <v>#N/A N/A</v>
        <stp/>
        <stp>BDP|7855751831664150749</stp>
        <tr r="I35" s="2"/>
      </tp>
      <tp t="s">
        <v>#N/A N/A</v>
        <stp/>
        <stp>BDP|6887012156217586431</stp>
        <tr r="E165" s="2"/>
      </tp>
      <tp t="s">
        <v>#N/A N/A</v>
        <stp/>
        <stp>BDP|9529290430029227175</stp>
        <tr r="L205" s="2"/>
      </tp>
      <tp t="s">
        <v>#N/A N/A</v>
        <stp/>
        <stp>BDP|3965793160040944205</stp>
        <tr r="AD203" s="2"/>
      </tp>
      <tp t="s">
        <v>#N/A N/A</v>
        <stp/>
        <stp>BDP|6469675779783555467</stp>
        <tr r="I23" s="2"/>
      </tp>
      <tp t="s">
        <v>#N/A N/A</v>
        <stp/>
        <stp>BDP|4552170929342359568</stp>
        <tr r="L71" s="2"/>
      </tp>
      <tp t="s">
        <v>#N/A N/A</v>
        <stp/>
        <stp>BDP|5698103732376822120</stp>
        <tr r="D149" s="2"/>
      </tp>
      <tp t="s">
        <v>#N/A N/A</v>
        <stp/>
        <stp>BDP|3638324444961646580</stp>
        <tr r="K78" s="2"/>
        <tr r="R78" s="2"/>
        <tr r="W78" s="2"/>
      </tp>
      <tp t="s">
        <v>#N/A N/A</v>
        <stp/>
        <stp>BDP|4261575545951807467</stp>
        <tr r="G214" s="2"/>
      </tp>
      <tp t="s">
        <v>#N/A N/A</v>
        <stp/>
        <stp>BDP|5730606417861808362</stp>
        <tr r="H70" s="2"/>
      </tp>
      <tp t="s">
        <v>#N/A N/A</v>
        <stp/>
        <stp>BDP|6682903156333923974</stp>
        <tr r="U71" s="2"/>
      </tp>
      <tp t="s">
        <v>#N/A N/A</v>
        <stp/>
        <stp>BDP|1753002509933671268</stp>
        <tr r="I219" s="2"/>
      </tp>
      <tp t="s">
        <v>#N/A N/A</v>
        <stp/>
        <stp>BDP|9240027322363525892</stp>
        <tr r="D232" s="2"/>
      </tp>
      <tp t="s">
        <v>#N/A N/A</v>
        <stp/>
        <stp>BDP|1030047928583430061</stp>
        <tr r="N60" s="2"/>
      </tp>
      <tp t="s">
        <v>#N/A N/A</v>
        <stp/>
        <stp>BDP|6329742262126844137</stp>
        <tr r="V14" s="2"/>
      </tp>
      <tp t="s">
        <v>#N/A N/A</v>
        <stp/>
        <stp>BDP|2997839165259036514</stp>
        <tr r="P147" s="2"/>
      </tp>
      <tp t="s">
        <v>#N/A N/A</v>
        <stp/>
        <stp>BDP|9696387094850200363</stp>
        <tr r="F140" s="2"/>
      </tp>
      <tp t="s">
        <v>#N/A N/A</v>
        <stp/>
        <stp>BDP|4469400348477016327</stp>
        <tr r="AB208" s="2"/>
      </tp>
      <tp t="s">
        <v>#N/A N/A</v>
        <stp/>
        <stp>BDP|4459537575193965552</stp>
        <tr r="Y214" s="2"/>
      </tp>
      <tp t="s">
        <v>#N/A N/A</v>
        <stp/>
        <stp>BDP|1179215293319870351</stp>
        <tr r="K184" s="2"/>
        <tr r="R184" s="2"/>
        <tr r="W184" s="2"/>
      </tp>
      <tp t="s">
        <v>#N/A N/A</v>
        <stp/>
        <stp>BDP|9785709302207291983</stp>
        <tr r="I159" s="2"/>
      </tp>
      <tp t="s">
        <v>#N/A N/A</v>
        <stp/>
        <stp>BDP|5009176235862529586</stp>
        <tr r="U214" s="2"/>
      </tp>
      <tp t="s">
        <v>#N/A N/A</v>
        <stp/>
        <stp>BDP|9209857888409682066</stp>
        <tr r="AA230" s="2"/>
      </tp>
      <tp t="s">
        <v>#N/A N/A</v>
        <stp/>
        <stp>BDP|7158173949494560659</stp>
        <tr r="C119" s="2"/>
      </tp>
      <tp t="s">
        <v>#N/A N/A</v>
        <stp/>
        <stp>BDP|3498635488304175914</stp>
        <tr r="B102" s="2"/>
      </tp>
      <tp t="s">
        <v>#N/A N/A</v>
        <stp/>
        <stp>BDP|5881872581931149408</stp>
        <tr r="S221" s="2"/>
      </tp>
      <tp t="s">
        <v>#N/A N/A</v>
        <stp/>
        <stp>BDP|4275046952815829435</stp>
        <tr r="P204" s="2"/>
      </tp>
      <tp t="s">
        <v>#N/A N/A</v>
        <stp/>
        <stp>BDP|5275235628157663205</stp>
        <tr r="E195" s="2"/>
      </tp>
      <tp t="s">
        <v>#N/A N/A</v>
        <stp/>
        <stp>BDP|2974386572481473782</stp>
        <tr r="B28" s="2"/>
      </tp>
      <tp t="s">
        <v>#N/A N/A</v>
        <stp/>
        <stp>BDP|7567734621060034282</stp>
        <tr r="M6" s="2"/>
      </tp>
      <tp t="s">
        <v>#N/A N/A</v>
        <stp/>
        <stp>BDP|7930302589345959962</stp>
        <tr r="N140" s="2"/>
      </tp>
      <tp t="s">
        <v>#N/A N/A</v>
        <stp/>
        <stp>BDP|6826006159112940175</stp>
        <tr r="N34" s="2"/>
      </tp>
      <tp t="s">
        <v>#N/A N/A</v>
        <stp/>
        <stp>BDP|8074939260786575199</stp>
        <tr r="Q54" s="2"/>
      </tp>
      <tp t="s">
        <v>#N/A N/A</v>
        <stp/>
        <stp>BDP|5918501108869783996</stp>
        <tr r="H131" s="2"/>
      </tp>
      <tp t="s">
        <v>#N/A N/A</v>
        <stp/>
        <stp>BDP|2215076585893842943</stp>
        <tr r="K160" s="2"/>
        <tr r="R160" s="2"/>
        <tr r="W160" s="2"/>
      </tp>
      <tp t="s">
        <v>#N/A N/A</v>
        <stp/>
        <stp>BDP|7947966847152581810</stp>
        <tr r="I75" s="2"/>
      </tp>
      <tp t="s">
        <v>#N/A N/A</v>
        <stp/>
        <stp>BDP|4638653557175980215</stp>
        <tr r="V151" s="2"/>
      </tp>
      <tp t="s">
        <v>#N/A N/A</v>
        <stp/>
        <stp>BDP|8928971457485506109</stp>
        <tr r="F52" s="2"/>
      </tp>
      <tp t="s">
        <v>#N/A N/A</v>
        <stp/>
        <stp>BDP|2887223825005373702</stp>
        <tr r="U37" s="2"/>
      </tp>
      <tp t="s">
        <v>#N/A N/A</v>
        <stp/>
        <stp>BDP|2861056600697858593</stp>
        <tr r="T210" s="2"/>
      </tp>
      <tp t="s">
        <v>#N/A N/A</v>
        <stp/>
        <stp>BDP|5468378200700781681</stp>
        <tr r="P129" s="2"/>
      </tp>
      <tp t="s">
        <v>#N/A N/A</v>
        <stp/>
        <stp>BDP|5600763274466068382</stp>
        <tr r="G40" s="2"/>
      </tp>
      <tp t="s">
        <v>#N/A N/A</v>
        <stp/>
        <stp>BDP|3842126479683943666</stp>
        <tr r="Y57" s="2"/>
      </tp>
      <tp t="s">
        <v>#N/A N/A</v>
        <stp/>
        <stp>BDP|7821780639263538018</stp>
        <tr r="K108" s="2"/>
        <tr r="R108" s="2"/>
        <tr r="W108" s="2"/>
      </tp>
      <tp t="s">
        <v>#N/A N/A</v>
        <stp/>
        <stp>BDP|4540406379973070411</stp>
        <tr r="B200" s="2"/>
      </tp>
      <tp t="s">
        <v>#N/A N/A</v>
        <stp/>
        <stp>BDP|7515408507717836471</stp>
        <tr r="F224" s="2"/>
      </tp>
      <tp t="s">
        <v>#N/A N/A</v>
        <stp/>
        <stp>BDP|7677255169402464130</stp>
        <tr r="H228" s="2"/>
      </tp>
      <tp t="s">
        <v>#N/A N/A</v>
        <stp/>
        <stp>BDP|5136266339731746545</stp>
        <tr r="P36" s="2"/>
      </tp>
      <tp t="s">
        <v>#N/A N/A</v>
        <stp/>
        <stp>BDP|9966430928698650790</stp>
        <tr r="AD238" s="2"/>
      </tp>
      <tp t="s">
        <v>#N/A N/A</v>
        <stp/>
        <stp>BDP|6482656557044166150</stp>
        <tr r="Y121" s="2"/>
      </tp>
      <tp t="s">
        <v>#N/A N/A</v>
        <stp/>
        <stp>BDP|8392487383535900133</stp>
        <tr r="U193" s="2"/>
      </tp>
      <tp t="s">
        <v>#N/A N/A</v>
        <stp/>
        <stp>BDP|5287247387006240910</stp>
        <tr r="S15" s="2"/>
      </tp>
      <tp t="s">
        <v>#N/A N/A</v>
        <stp/>
        <stp>BDP|7579487462792497795</stp>
        <tr r="K23" s="2"/>
        <tr r="R23" s="2"/>
        <tr r="W23" s="2"/>
      </tp>
      <tp t="s">
        <v>#N/A N/A</v>
        <stp/>
        <stp>BDP|8785132558084930872</stp>
        <tr r="AB202" s="2"/>
      </tp>
      <tp t="s">
        <v>#N/A N/A</v>
        <stp/>
        <stp>BDP|8313866185961503971</stp>
        <tr r="T72" s="2"/>
      </tp>
      <tp t="s">
        <v>#N/A N/A</v>
        <stp/>
        <stp>BDP|3239869611342556823</stp>
        <tr r="AD170" s="2"/>
      </tp>
      <tp t="s">
        <v>#N/A N/A</v>
        <stp/>
        <stp>BDP|5613419224890477358</stp>
        <tr r="AB13" s="2"/>
      </tp>
      <tp t="s">
        <v>#N/A N/A</v>
        <stp/>
        <stp>BDP|6423002508250900673</stp>
        <tr r="N233" s="2"/>
      </tp>
      <tp t="s">
        <v>#N/A N/A</v>
        <stp/>
        <stp>BDP|1230412645357348677</stp>
        <tr r="D48" s="2"/>
      </tp>
      <tp t="s">
        <v>#N/A N/A</v>
        <stp/>
        <stp>BDP|3185177742140089666</stp>
        <tr r="B39" s="2"/>
      </tp>
      <tp t="s">
        <v>#N/A N/A</v>
        <stp/>
        <stp>BDP|2532652421503710540</stp>
        <tr r="AB97" s="2"/>
      </tp>
      <tp t="s">
        <v>#N/A N/A</v>
        <stp/>
        <stp>BDP|5891117331482962539</stp>
        <tr r="T171" s="2"/>
      </tp>
      <tp t="s">
        <v>#N/A N/A</v>
        <stp/>
        <stp>BDP|2179293079823600459</stp>
        <tr r="B123" s="2"/>
      </tp>
      <tp t="s">
        <v>#N/A N/A</v>
        <stp/>
        <stp>BDP|2408796135576815027</stp>
        <tr r="F185" s="2"/>
      </tp>
      <tp t="s">
        <v>#N/A N/A</v>
        <stp/>
        <stp>BDP|6339688178783823498</stp>
        <tr r="V114" s="2"/>
      </tp>
      <tp t="s">
        <v>#N/A N/A</v>
        <stp/>
        <stp>BDP|5349411397479014176</stp>
        <tr r="E3" s="2"/>
      </tp>
      <tp t="s">
        <v>#N/A N/A</v>
        <stp/>
        <stp>BDP|2009764796658625459</stp>
        <tr r="Q150" s="2"/>
      </tp>
      <tp t="s">
        <v>#N/A N/A</v>
        <stp/>
        <stp>BDP|4564309056600636262</stp>
        <tr r="C39" s="2"/>
      </tp>
      <tp t="s">
        <v>#N/A N/A</v>
        <stp/>
        <stp>BDP|9720449198006022283</stp>
        <tr r="X173" s="2"/>
      </tp>
      <tp t="s">
        <v>#N/A N/A</v>
        <stp/>
        <stp>BDP|2821460553390852369</stp>
        <tr r="U86" s="2"/>
      </tp>
      <tp t="s">
        <v>#N/A N/A</v>
        <stp/>
        <stp>BDP|8369019874737363862</stp>
        <tr r="O239" s="2"/>
      </tp>
      <tp t="s">
        <v>#N/A N/A</v>
        <stp/>
        <stp>BDP|5070848215345455967</stp>
        <tr r="AE17" s="2"/>
      </tp>
      <tp t="s">
        <v>#N/A N/A</v>
        <stp/>
        <stp>BDP|4048145915101299507</stp>
        <tr r="Y66" s="2"/>
      </tp>
      <tp t="s">
        <v>#N/A N/A</v>
        <stp/>
        <stp>BDP|7863095332121129510</stp>
        <tr r="AB74" s="2"/>
      </tp>
      <tp t="s">
        <v>#N/A N/A</v>
        <stp/>
        <stp>BDP|6356984088596804187</stp>
        <tr r="K58" s="2"/>
        <tr r="R58" s="2"/>
        <tr r="W58" s="2"/>
      </tp>
      <tp t="s">
        <v>#N/A N/A</v>
        <stp/>
        <stp>BDP|5381517502908600852</stp>
        <tr r="AD99" s="2"/>
      </tp>
      <tp t="s">
        <v>#N/A N/A</v>
        <stp/>
        <stp>BDP|3417459425676234359</stp>
        <tr r="K112" s="2"/>
        <tr r="R112" s="2"/>
        <tr r="W112" s="2"/>
      </tp>
      <tp t="s">
        <v>#N/A N/A</v>
        <stp/>
        <stp>BDP|1740911880088071856</stp>
        <tr r="Q221" s="2"/>
      </tp>
      <tp t="s">
        <v>#N/A N/A</v>
        <stp/>
        <stp>BDP|8907132596863952368</stp>
        <tr r="D98" s="2"/>
      </tp>
      <tp t="s">
        <v>#N/A N/A</v>
        <stp/>
        <stp>BDP|3244443625562130717</stp>
        <tr r="Q128" s="2"/>
      </tp>
      <tp t="s">
        <v>#N/A N/A</v>
        <stp/>
        <stp>BDP|4293129951652574248</stp>
        <tr r="L57" s="2"/>
      </tp>
      <tp t="s">
        <v>#N/A N/A</v>
        <stp/>
        <stp>BDP|2677086111472740189</stp>
        <tr r="C99" s="2"/>
      </tp>
      <tp t="s">
        <v>#N/A N/A</v>
        <stp/>
        <stp>BDP|8898363680912737198</stp>
        <tr r="G139" s="2"/>
      </tp>
      <tp t="s">
        <v>#N/A N/A</v>
        <stp/>
        <stp>BDP|2658233467833678544</stp>
        <tr r="AD148" s="2"/>
      </tp>
      <tp t="s">
        <v>#N/A N/A</v>
        <stp/>
        <stp>BDP|1256221282869329213</stp>
        <tr r="B75" s="2"/>
      </tp>
      <tp t="s">
        <v>#N/A N/A</v>
        <stp/>
        <stp>BDP|1684277021026648764</stp>
        <tr r="Q104" s="2"/>
      </tp>
      <tp t="s">
        <v>#N/A N/A</v>
        <stp/>
        <stp>BDP|6432849973520510960</stp>
        <tr r="K77" s="2"/>
        <tr r="R77" s="2"/>
        <tr r="W77" s="2"/>
      </tp>
      <tp t="s">
        <v>#N/A N/A</v>
        <stp/>
        <stp>BDP|4598633436782954399</stp>
        <tr r="F50" s="2"/>
      </tp>
      <tp t="s">
        <v>#N/A N/A</v>
        <stp/>
        <stp>BDP|5444452054465412113</stp>
        <tr r="D112" s="2"/>
      </tp>
      <tp t="s">
        <v>#N/A N/A</v>
        <stp/>
        <stp>BDP|3886071088873642816</stp>
        <tr r="H6" s="2"/>
      </tp>
      <tp t="s">
        <v>#N/A N/A</v>
        <stp/>
        <stp>BDP|4241779449014569398</stp>
        <tr r="D154" s="2"/>
      </tp>
      <tp t="s">
        <v>#N/A N/A</v>
        <stp/>
        <stp>BDP|3180172261803209750</stp>
        <tr r="Y151" s="2"/>
      </tp>
      <tp t="s">
        <v>#N/A N/A</v>
        <stp/>
        <stp>BDP|5661627900091646220</stp>
        <tr r="G218" s="2"/>
      </tp>
      <tp t="s">
        <v>#N/A N/A</v>
        <stp/>
        <stp>BDP|7283888050068252281</stp>
        <tr r="H41" s="2"/>
      </tp>
      <tp t="s">
        <v>#N/A N/A</v>
        <stp/>
        <stp>BDP|8558397904752045985</stp>
        <tr r="S115" s="2"/>
      </tp>
      <tp t="s">
        <v>#N/A N/A</v>
        <stp/>
        <stp>BDP|8520967004622759302</stp>
        <tr r="AB211" s="2"/>
      </tp>
      <tp t="s">
        <v>#N/A N/A</v>
        <stp/>
        <stp>BDP|4272196349035442462</stp>
        <tr r="L58" s="2"/>
      </tp>
      <tp t="s">
        <v>#N/A N/A</v>
        <stp/>
        <stp>BDP|6665269474863791026</stp>
        <tr r="T33" s="2"/>
      </tp>
      <tp t="s">
        <v>#N/A N/A</v>
        <stp/>
        <stp>BDP|7683609542650454519</stp>
        <tr r="AC178" s="2"/>
      </tp>
      <tp t="s">
        <v>#N/A N/A</v>
        <stp/>
        <stp>BDP|2432751140196213729</stp>
        <tr r="X209" s="2"/>
      </tp>
      <tp t="s">
        <v>#N/A N/A</v>
        <stp/>
        <stp>BDP|5175197718571292430</stp>
        <tr r="N107" s="2"/>
      </tp>
      <tp t="s">
        <v>#N/A N/A</v>
        <stp/>
        <stp>BDP|2017604913295413068</stp>
        <tr r="F186" s="2"/>
      </tp>
      <tp t="s">
        <v>#N/A N/A</v>
        <stp/>
        <stp>BDP|2104346027044097731</stp>
        <tr r="Q24" s="2"/>
      </tp>
      <tp t="s">
        <v>#N/A N/A</v>
        <stp/>
        <stp>BDP|6086056628612498680</stp>
        <tr r="Y210" s="2"/>
      </tp>
      <tp t="s">
        <v>#N/A N/A</v>
        <stp/>
        <stp>BDP|1401157929687115580</stp>
        <tr r="Q179" s="2"/>
      </tp>
      <tp t="s">
        <v>#N/A N/A</v>
        <stp/>
        <stp>BDP|5932099317566577238</stp>
        <tr r="P221" s="2"/>
      </tp>
      <tp t="s">
        <v>#N/A N/A</v>
        <stp/>
        <stp>BDP|1175763610555095268</stp>
        <tr r="V25" s="2"/>
      </tp>
      <tp t="s">
        <v>#N/A N/A</v>
        <stp/>
        <stp>BDP|4704634465340179410</stp>
        <tr r="S150" s="2"/>
      </tp>
      <tp t="s">
        <v>#N/A N/A</v>
        <stp/>
        <stp>BDP|7182088609730407755</stp>
        <tr r="Z106" s="2"/>
      </tp>
      <tp t="s">
        <v>#N/A N/A</v>
        <stp/>
        <stp>BDP|9360815340654406177</stp>
        <tr r="O127" s="2"/>
      </tp>
      <tp t="s">
        <v>#N/A N/A</v>
        <stp/>
        <stp>BDP|9477381889060230267</stp>
        <tr r="B98" s="2"/>
      </tp>
      <tp t="s">
        <v>#N/A N/A</v>
        <stp/>
        <stp>BDP|2200810348638237681</stp>
        <tr r="O177" s="2"/>
      </tp>
      <tp t="s">
        <v>#N/A N/A</v>
        <stp/>
        <stp>BDP|6393669374636203121</stp>
        <tr r="O102" s="2"/>
      </tp>
      <tp t="s">
        <v>#N/A N/A</v>
        <stp/>
        <stp>BDP|4343010011191327410</stp>
        <tr r="AB144" s="2"/>
      </tp>
      <tp t="s">
        <v>#N/A N/A</v>
        <stp/>
        <stp>BDP|2406464979816924747</stp>
        <tr r="P235" s="2"/>
      </tp>
      <tp t="s">
        <v>#N/A N/A</v>
        <stp/>
        <stp>BDP|5809797459433794493</stp>
        <tr r="Y27" s="2"/>
      </tp>
      <tp t="s">
        <v>#N/A N/A</v>
        <stp/>
        <stp>BDP|8408544129469705688</stp>
        <tr r="O20" s="2"/>
      </tp>
      <tp t="s">
        <v>#N/A N/A</v>
        <stp/>
        <stp>BDP|7337761331944603744</stp>
        <tr r="U127" s="2"/>
      </tp>
      <tp t="s">
        <v>#N/A N/A</v>
        <stp/>
        <stp>BDP|5153677723416418779</stp>
        <tr r="AE72" s="2"/>
      </tp>
      <tp t="s">
        <v>#N/A N/A</v>
        <stp/>
        <stp>BDP|2792222355207748213</stp>
        <tr r="AA92" s="2"/>
      </tp>
      <tp t="s">
        <v>#N/A N/A</v>
        <stp/>
        <stp>BDP|6842873944998888258</stp>
        <tr r="G83" s="2"/>
      </tp>
      <tp t="s">
        <v>#N/A N/A</v>
        <stp/>
        <stp>BDP|9176112861718071675</stp>
        <tr r="S34" s="2"/>
      </tp>
      <tp t="s">
        <v>#N/A N/A</v>
        <stp/>
        <stp>BDP|5583598225572900066</stp>
        <tr r="N131" s="2"/>
      </tp>
      <tp t="s">
        <v>#N/A N/A</v>
        <stp/>
        <stp>BDP|4678254596266319903</stp>
        <tr r="E37" s="2"/>
      </tp>
      <tp t="s">
        <v>#N/A N/A</v>
        <stp/>
        <stp>BDP|9109310557638870792</stp>
        <tr r="O158" s="2"/>
      </tp>
      <tp t="s">
        <v>#N/A N/A</v>
        <stp/>
        <stp>BDP|2436066981138045252</stp>
        <tr r="Y153" s="2"/>
      </tp>
      <tp t="s">
        <v>#N/A N/A</v>
        <stp/>
        <stp>BDP|8324630692141550613</stp>
        <tr r="B99" s="2"/>
      </tp>
      <tp t="s">
        <v>#N/A N/A</v>
        <stp/>
        <stp>BDP|2247051493638610347</stp>
        <tr r="O24" s="2"/>
      </tp>
      <tp t="s">
        <v>#N/A N/A</v>
        <stp/>
        <stp>BDP|6710025015315032261</stp>
        <tr r="S144" s="2"/>
      </tp>
      <tp t="s">
        <v>#N/A N/A</v>
        <stp/>
        <stp>BDP|2103040879023854620</stp>
        <tr r="Y184" s="2"/>
      </tp>
      <tp t="s">
        <v>#N/A N/A</v>
        <stp/>
        <stp>BDP|4234323214083509577</stp>
        <tr r="O3" s="2"/>
      </tp>
      <tp t="s">
        <v>#N/A N/A</v>
        <stp/>
        <stp>BDP|9307254203138550366</stp>
        <tr r="AA222" s="2"/>
      </tp>
      <tp t="s">
        <v>#N/A N/A</v>
        <stp/>
        <stp>BDP|5934790565437570366</stp>
        <tr r="B190" s="2"/>
      </tp>
      <tp t="s">
        <v>#N/A N/A</v>
        <stp/>
        <stp>BDP|2383669041627681756</stp>
        <tr r="AD72" s="2"/>
      </tp>
      <tp t="s">
        <v>#N/A N/A</v>
        <stp/>
        <stp>BDP|1628179610323153274</stp>
        <tr r="H179" s="2"/>
      </tp>
      <tp t="s">
        <v>#N/A N/A</v>
        <stp/>
        <stp>BDP|5613778052482159550</stp>
        <tr r="H15" s="2"/>
      </tp>
      <tp t="s">
        <v>#N/A N/A</v>
        <stp/>
        <stp>BDP|2198723659541561181</stp>
        <tr r="H208" s="2"/>
      </tp>
      <tp t="s">
        <v>#N/A N/A</v>
        <stp/>
        <stp>BDP|6832300543425548498</stp>
        <tr r="K126" s="2"/>
        <tr r="R126" s="2"/>
        <tr r="W126" s="2"/>
      </tp>
      <tp t="s">
        <v>#N/A N/A</v>
        <stp/>
        <stp>BDP|1454664002435470238</stp>
        <tr r="K232" s="2"/>
        <tr r="R232" s="2"/>
        <tr r="W232" s="2"/>
      </tp>
      <tp t="s">
        <v>#N/A N/A</v>
        <stp/>
        <stp>BDP|2964283417970568140</stp>
        <tr r="K225" s="2"/>
        <tr r="R225" s="2"/>
        <tr r="W225" s="2"/>
      </tp>
      <tp t="s">
        <v>#N/A N/A</v>
        <stp/>
        <stp>BDP|9715042340219281464</stp>
        <tr r="N201" s="2"/>
      </tp>
      <tp t="s">
        <v>#N/A N/A</v>
        <stp/>
        <stp>BDP|3415554871234320549</stp>
        <tr r="G187" s="2"/>
      </tp>
      <tp t="s">
        <v>#N/A N/A</v>
        <stp/>
        <stp>BDP|7850269824171901643</stp>
        <tr r="U174" s="2"/>
      </tp>
      <tp t="s">
        <v>#N/A N/A</v>
        <stp/>
        <stp>BDP|1028710725311765546</stp>
        <tr r="U156" s="2"/>
      </tp>
      <tp t="s">
        <v>#N/A N/A</v>
        <stp/>
        <stp>BDP|5576664949581417697</stp>
        <tr r="G106" s="2"/>
      </tp>
      <tp t="s">
        <v>#N/A N/A</v>
        <stp/>
        <stp>BDP|8976801351915784087</stp>
        <tr r="N167" s="2"/>
      </tp>
      <tp t="s">
        <v>#N/A N/A</v>
        <stp/>
        <stp>BDP|3477787232306124181</stp>
        <tr r="X78" s="2"/>
      </tp>
      <tp t="s">
        <v>#N/A N/A</v>
        <stp/>
        <stp>BDP|7119795948866689214</stp>
        <tr r="AE24" s="2"/>
      </tp>
      <tp t="s">
        <v>#N/A N/A</v>
        <stp/>
        <stp>BDP|6815872478080533955</stp>
        <tr r="G68" s="2"/>
      </tp>
      <tp t="s">
        <v>#N/A N/A</v>
        <stp/>
        <stp>BDP|8028397462778857541</stp>
        <tr r="Q8" s="2"/>
      </tp>
      <tp t="s">
        <v>#N/A N/A</v>
        <stp/>
        <stp>BDP|4980522631665940770</stp>
        <tr r="D132" s="2"/>
      </tp>
      <tp t="s">
        <v>#N/A N/A</v>
        <stp/>
        <stp>BDP|7353257505331618418</stp>
        <tr r="V123" s="2"/>
      </tp>
      <tp t="s">
        <v>#N/A N/A</v>
        <stp/>
        <stp>BDP|2819903487652956129</stp>
        <tr r="D182" s="2"/>
      </tp>
      <tp t="s">
        <v>#N/A N/A</v>
        <stp/>
        <stp>BDP|7379484123082480381</stp>
        <tr r="C147" s="2"/>
      </tp>
      <tp t="s">
        <v>#N/A N/A</v>
        <stp/>
        <stp>BDP|2443664057535716469</stp>
        <tr r="Z55" s="2"/>
      </tp>
      <tp t="s">
        <v>#N/A N/A</v>
        <stp/>
        <stp>BDP|3599247580751139847</stp>
        <tr r="X168" s="2"/>
      </tp>
      <tp t="s">
        <v>#N/A N/A</v>
        <stp/>
        <stp>BDP|3665663731622171449</stp>
        <tr r="G61" s="2"/>
      </tp>
      <tp t="s">
        <v>#N/A N/A</v>
        <stp/>
        <stp>BDP|7613418395023558933</stp>
        <tr r="M40" s="2"/>
      </tp>
      <tp t="s">
        <v>#N/A N/A</v>
        <stp/>
        <stp>BDP|2840065108527138538</stp>
        <tr r="Y108" s="2"/>
      </tp>
      <tp t="s">
        <v>#N/A N/A</v>
        <stp/>
        <stp>BDP|8754270185015079713</stp>
        <tr r="AB151" s="2"/>
      </tp>
      <tp t="s">
        <v>#N/A N/A</v>
        <stp/>
        <stp>BDP|8115872510547162633</stp>
        <tr r="B5" s="2"/>
      </tp>
      <tp t="s">
        <v>#N/A N/A</v>
        <stp/>
        <stp>BDP|9343857842720948593</stp>
        <tr r="U51" s="2"/>
      </tp>
      <tp t="s">
        <v>#N/A N/A</v>
        <stp/>
        <stp>BDP|7937011420670466581</stp>
        <tr r="AC127" s="2"/>
      </tp>
      <tp t="s">
        <v>#N/A N/A</v>
        <stp/>
        <stp>BDP|9602833770954882291</stp>
        <tr r="I139" s="2"/>
      </tp>
      <tp t="s">
        <v>#N/A N/A</v>
        <stp/>
        <stp>BDP|9451858023675008669</stp>
        <tr r="M56" s="2"/>
      </tp>
      <tp t="s">
        <v>#N/A N/A</v>
        <stp/>
        <stp>BDP|9815030291507851765</stp>
        <tr r="C146" s="2"/>
      </tp>
      <tp t="s">
        <v>#N/A N/A</v>
        <stp/>
        <stp>BDP|2915055348617160110</stp>
        <tr r="AE187" s="2"/>
      </tp>
      <tp t="s">
        <v>#N/A N/A</v>
        <stp/>
        <stp>BDP|8128025459495706897</stp>
        <tr r="AB178" s="2"/>
      </tp>
      <tp t="s">
        <v>#N/A N/A</v>
        <stp/>
        <stp>BDP|2853951632318871036</stp>
        <tr r="AE191" s="2"/>
      </tp>
      <tp t="s">
        <v>#N/A N/A</v>
        <stp/>
        <stp>BDP|8542802769957900105</stp>
        <tr r="K101" s="2"/>
        <tr r="R101" s="2"/>
        <tr r="W101" s="2"/>
      </tp>
      <tp t="s">
        <v>#N/A N/A</v>
        <stp/>
        <stp>BDP|1703441057300002018</stp>
        <tr r="I238" s="2"/>
      </tp>
      <tp t="s">
        <v>#N/A N/A</v>
        <stp/>
        <stp>BDP|3195737379791602283</stp>
        <tr r="H136" s="2"/>
      </tp>
      <tp t="s">
        <v>#N/A N/A</v>
        <stp/>
        <stp>BDP|3588383297711768886</stp>
        <tr r="AB192" s="2"/>
      </tp>
      <tp t="s">
        <v>#N/A N/A</v>
        <stp/>
        <stp>BDP|5389486618658061861</stp>
        <tr r="M185" s="2"/>
      </tp>
      <tp t="s">
        <v>#N/A N/A</v>
        <stp/>
        <stp>BDP|6435921821928420567</stp>
        <tr r="AE78" s="2"/>
      </tp>
      <tp t="s">
        <v>#N/A N/A</v>
        <stp/>
        <stp>BDP|4505153804311789469</stp>
        <tr r="AD153" s="2"/>
      </tp>
      <tp t="s">
        <v>#N/A N/A</v>
        <stp/>
        <stp>BDP|8771672934149754462</stp>
        <tr r="Y12" s="2"/>
      </tp>
      <tp t="s">
        <v>#N/A N/A</v>
        <stp/>
        <stp>BDP|2328860016239670204</stp>
        <tr r="O61" s="2"/>
      </tp>
      <tp t="s">
        <v>#N/A N/A</v>
        <stp/>
        <stp>BDP|2158691102033901762</stp>
        <tr r="V134" s="2"/>
      </tp>
      <tp t="s">
        <v>#N/A N/A</v>
        <stp/>
        <stp>BDP|5811941058301992970</stp>
        <tr r="F37" s="2"/>
      </tp>
      <tp t="s">
        <v>#N/A N/A</v>
        <stp/>
        <stp>BDP|6530632013859840970</stp>
        <tr r="AE157" s="2"/>
      </tp>
      <tp t="s">
        <v>#N/A N/A</v>
        <stp/>
        <stp>BDP|1677318078061418512</stp>
        <tr r="S149" s="2"/>
      </tp>
      <tp t="s">
        <v>#N/A N/A</v>
        <stp/>
        <stp>BDP|3395052861193422796</stp>
        <tr r="K237" s="2"/>
        <tr r="R237" s="2"/>
        <tr r="W237" s="2"/>
      </tp>
      <tp t="s">
        <v>#N/A N/A</v>
        <stp/>
        <stp>BDP|8374874109118095975</stp>
        <tr r="T10" s="2"/>
      </tp>
      <tp t="s">
        <v>#N/A N/A</v>
        <stp/>
        <stp>BDP|5801756971562544639</stp>
        <tr r="L162" s="2"/>
      </tp>
      <tp t="s">
        <v>#N/A N/A</v>
        <stp/>
        <stp>BDP|5068450769104121274</stp>
        <tr r="D6" s="2"/>
      </tp>
      <tp t="s">
        <v>#N/A N/A</v>
        <stp/>
        <stp>BDP|7775270023313975501</stp>
        <tr r="P73" s="2"/>
      </tp>
      <tp t="s">
        <v>#N/A N/A</v>
        <stp/>
        <stp>BDP|4950246215817166139</stp>
        <tr r="AA76" s="2"/>
      </tp>
      <tp t="s">
        <v>#N/A N/A</v>
        <stp/>
        <stp>BDP|5448973657529941172</stp>
        <tr r="AA207" s="2"/>
      </tp>
      <tp t="s">
        <v>#N/A N/A</v>
        <stp/>
        <stp>BDP|8125336262618215484</stp>
        <tr r="D221" s="2"/>
      </tp>
      <tp t="s">
        <v>#N/A N/A</v>
        <stp/>
        <stp>BDP|3858442564131775156</stp>
        <tr r="X240" s="2"/>
      </tp>
      <tp t="s">
        <v>#N/A N/A</v>
        <stp/>
        <stp>BDP|8071128549269514555</stp>
        <tr r="B138" s="2"/>
      </tp>
      <tp t="s">
        <v>#N/A N/A</v>
        <stp/>
        <stp>BDP|1659054301919183989</stp>
        <tr r="AC142" s="2"/>
      </tp>
      <tp t="s">
        <v>#N/A N/A</v>
        <stp/>
        <stp>BDP|6056556369857254356</stp>
        <tr r="Y196" s="2"/>
      </tp>
      <tp t="s">
        <v>#N/A N/A</v>
        <stp/>
        <stp>BDP|7739763410595272589</stp>
        <tr r="K27" s="2"/>
        <tr r="R27" s="2"/>
        <tr r="W27" s="2"/>
      </tp>
      <tp t="s">
        <v>#N/A N/A</v>
        <stp/>
        <stp>BDP|3867609702481908581</stp>
        <tr r="V218" s="2"/>
      </tp>
      <tp t="s">
        <v>#N/A N/A</v>
        <stp/>
        <stp>BDP|2219675117154193080</stp>
        <tr r="C133" s="2"/>
      </tp>
      <tp t="s">
        <v>#N/A N/A</v>
        <stp/>
        <stp>BDP|6835617375286226058</stp>
        <tr r="AE113" s="2"/>
      </tp>
      <tp t="s">
        <v>#N/A N/A</v>
        <stp/>
        <stp>BDP|9881826471862988592</stp>
        <tr r="U154" s="2"/>
      </tp>
      <tp t="s">
        <v>#N/A N/A</v>
        <stp/>
        <stp>BDP|1949345616126072409</stp>
        <tr r="P111" s="2"/>
      </tp>
      <tp t="s">
        <v>#N/A N/A</v>
        <stp/>
        <stp>BDP|1059851713770453998</stp>
        <tr r="N193" s="2"/>
      </tp>
      <tp t="s">
        <v>#N/A N/A</v>
        <stp/>
        <stp>BDP|2517643198725037927</stp>
        <tr r="D114" s="2"/>
      </tp>
      <tp t="s">
        <v>#N/A N/A</v>
        <stp/>
        <stp>BDP|6201554905534945605</stp>
        <tr r="L189" s="2"/>
      </tp>
      <tp t="s">
        <v>#N/A N/A</v>
        <stp/>
        <stp>BDP|5037245569418039861</stp>
        <tr r="F71" s="2"/>
      </tp>
      <tp t="s">
        <v>#N/A N/A</v>
        <stp/>
        <stp>BDP|4678266865871783092</stp>
        <tr r="I62" s="2"/>
      </tp>
      <tp t="s">
        <v>#N/A N/A</v>
        <stp/>
        <stp>BDP|5243160418671182568</stp>
        <tr r="K92" s="2"/>
        <tr r="R92" s="2"/>
        <tr r="W92" s="2"/>
      </tp>
      <tp t="s">
        <v>#N/A N/A</v>
        <stp/>
        <stp>BDP|7153316716181857552</stp>
        <tr r="H119" s="2"/>
      </tp>
      <tp t="s">
        <v>#N/A N/A</v>
        <stp/>
        <stp>BDP|9824529628838974703</stp>
        <tr r="Y159" s="2"/>
      </tp>
      <tp t="s">
        <v>#N/A N/A</v>
        <stp/>
        <stp>BDP|2290083828637274680</stp>
        <tr r="B159" s="2"/>
      </tp>
      <tp t="s">
        <v>#N/A N/A</v>
        <stp/>
        <stp>BDP|3543321779164184271</stp>
        <tr r="U117" s="2"/>
      </tp>
      <tp t="s">
        <v>#N/A N/A</v>
        <stp/>
        <stp>BDP|5919124174564747608</stp>
        <tr r="F162" s="2"/>
      </tp>
      <tp t="s">
        <v>#N/A N/A</v>
        <stp/>
        <stp>BDP|5489718368862537707</stp>
        <tr r="O122" s="2"/>
      </tp>
      <tp t="s">
        <v>#N/A N/A</v>
        <stp/>
        <stp>BDP|9070354170654830858</stp>
        <tr r="L65" s="2"/>
      </tp>
      <tp t="s">
        <v>#N/A N/A</v>
        <stp/>
        <stp>BDP|3469374745466829365</stp>
        <tr r="Z107" s="2"/>
      </tp>
      <tp t="s">
        <v>#N/A N/A</v>
        <stp/>
        <stp>BDP|4024741673967935268</stp>
        <tr r="AB48" s="2"/>
      </tp>
      <tp t="s">
        <v>#N/A N/A</v>
        <stp/>
        <stp>BDP|3460370719254052421</stp>
        <tr r="AB112" s="2"/>
      </tp>
      <tp t="s">
        <v>#N/A N/A</v>
        <stp/>
        <stp>BDP|5768673490473167895</stp>
        <tr r="L48" s="2"/>
      </tp>
      <tp t="s">
        <v>#N/A N/A</v>
        <stp/>
        <stp>BDP|4909624555100523632</stp>
        <tr r="E102" s="2"/>
      </tp>
      <tp t="s">
        <v>#N/A N/A</v>
        <stp/>
        <stp>BDP|4532175285275933960</stp>
        <tr r="B174" s="2"/>
      </tp>
      <tp t="s">
        <v>#N/A N/A</v>
        <stp/>
        <stp>BDP|4282187936067109042</stp>
        <tr r="X118" s="2"/>
      </tp>
      <tp t="s">
        <v>#N/A N/A</v>
        <stp/>
        <stp>BDP|2641286450912034675</stp>
        <tr r="AB50" s="2"/>
      </tp>
      <tp t="s">
        <v>#N/A N/A</v>
        <stp/>
        <stp>BDP|3310277663143938579</stp>
        <tr r="T108" s="2"/>
      </tp>
      <tp t="s">
        <v>#N/A N/A</v>
        <stp/>
        <stp>BDP|4288477831453811155</stp>
        <tr r="B193" s="2"/>
      </tp>
      <tp t="s">
        <v>#N/A N/A</v>
        <stp/>
        <stp>BDP|1831253882928642202</stp>
        <tr r="O141" s="2"/>
      </tp>
      <tp t="s">
        <v>#N/A N/A</v>
        <stp/>
        <stp>BDP|5162844840418519097</stp>
        <tr r="N206" s="2"/>
      </tp>
      <tp t="s">
        <v>#N/A N/A</v>
        <stp/>
        <stp>BDP|7145390857540474026</stp>
        <tr r="K46" s="2"/>
        <tr r="R46" s="2"/>
        <tr r="W46" s="2"/>
      </tp>
      <tp t="s">
        <v>#N/A N/A</v>
        <stp/>
        <stp>BDP|6657672172447968136</stp>
        <tr r="N154" s="2"/>
      </tp>
      <tp t="s">
        <v>#N/A N/A</v>
        <stp/>
        <stp>BDP|7875374771560113262</stp>
        <tr r="S129" s="2"/>
      </tp>
      <tp t="s">
        <v>#N/A N/A</v>
        <stp/>
        <stp>BDP|5889055152956605701</stp>
        <tr r="AC182" s="2"/>
      </tp>
      <tp t="s">
        <v>#N/A N/A</v>
        <stp/>
        <stp>BDP|5225064920520909647</stp>
        <tr r="AA142" s="2"/>
      </tp>
      <tp t="s">
        <v>#N/A N/A</v>
        <stp/>
        <stp>BDP|4068593988750143891</stp>
        <tr r="T205" s="2"/>
      </tp>
      <tp t="s">
        <v>#N/A N/A</v>
        <stp/>
        <stp>BDP|3905565528323926672</stp>
        <tr r="N203" s="2"/>
      </tp>
      <tp t="s">
        <v>#N/A N/A</v>
        <stp/>
        <stp>BDP|2359874984305866612</stp>
        <tr r="H108" s="2"/>
      </tp>
      <tp t="s">
        <v>#N/A N/A</v>
        <stp/>
        <stp>BDP|7416934108747314855</stp>
        <tr r="AA73" s="2"/>
      </tp>
      <tp t="s">
        <v>#N/A N/A</v>
        <stp/>
        <stp>BDP|3519528778829447923</stp>
        <tr r="G129" s="2"/>
      </tp>
      <tp t="s">
        <v>#N/A N/A</v>
        <stp/>
        <stp>BDP|4001428638405751734</stp>
        <tr r="S56" s="2"/>
      </tp>
      <tp t="s">
        <v>#N/A N/A</v>
        <stp/>
        <stp>BDP|4854450940517088234</stp>
        <tr r="I5" s="2"/>
      </tp>
      <tp t="s">
        <v>#N/A N/A</v>
        <stp/>
        <stp>BDP|9833774040433842898</stp>
        <tr r="AC52" s="2"/>
      </tp>
      <tp t="s">
        <v>#N/A N/A</v>
        <stp/>
        <stp>BDP|2714180275940436505</stp>
        <tr r="T39" s="2"/>
      </tp>
      <tp t="s">
        <v>#N/A N/A</v>
        <stp/>
        <stp>BDP|1544395827055187447</stp>
        <tr r="T51" s="2"/>
      </tp>
      <tp t="s">
        <v>#N/A N/A</v>
        <stp/>
        <stp>BDP|8440065629803393861</stp>
        <tr r="AC218" s="2"/>
      </tp>
      <tp t="s">
        <v>#N/A N/A</v>
        <stp/>
        <stp>BDP|1707667851447667484</stp>
        <tr r="P120" s="2"/>
      </tp>
      <tp t="s">
        <v>#N/A N/A</v>
        <stp/>
        <stp>BDP|7827140463234491559</stp>
        <tr r="AD121" s="2"/>
      </tp>
      <tp t="s">
        <v>#N/A N/A</v>
        <stp/>
        <stp>BDP|6340728719248661908</stp>
        <tr r="T70" s="2"/>
      </tp>
      <tp t="s">
        <v>#N/A N/A</v>
        <stp/>
        <stp>BDP|2015256337087426581</stp>
        <tr r="T32" s="2"/>
      </tp>
      <tp t="s">
        <v>#N/A N/A</v>
        <stp/>
        <stp>BDP|6641391958951978013</stp>
        <tr r="G49" s="2"/>
      </tp>
      <tp t="s">
        <v>#N/A N/A</v>
        <stp/>
        <stp>BDP|2527204268643301418</stp>
        <tr r="I209" s="2"/>
      </tp>
      <tp t="s">
        <v>#N/A N/A</v>
        <stp/>
        <stp>BDP|4538695076140686434</stp>
        <tr r="X119" s="2"/>
      </tp>
      <tp t="s">
        <v>#N/A N/A</v>
        <stp/>
        <stp>BDP|3384683187635007931</stp>
        <tr r="G93" s="2"/>
      </tp>
      <tp t="s">
        <v>#N/A N/A</v>
        <stp/>
        <stp>BDP|3781458594899923604</stp>
        <tr r="L148" s="2"/>
      </tp>
      <tp t="s">
        <v>#N/A N/A</v>
        <stp/>
        <stp>BDP|4567500068436448065</stp>
        <tr r="O49" s="2"/>
      </tp>
      <tp t="s">
        <v>#N/A N/A</v>
        <stp/>
        <stp>BDP|9479292404632217841</stp>
        <tr r="H225" s="2"/>
      </tp>
      <tp t="s">
        <v>#N/A N/A</v>
        <stp/>
        <stp>BDP|8635827955045529189</stp>
        <tr r="F187" s="2"/>
      </tp>
      <tp t="s">
        <v>#N/A N/A</v>
        <stp/>
        <stp>BDP|1079697966831210117</stp>
        <tr r="K45" s="2"/>
        <tr r="R45" s="2"/>
        <tr r="W45" s="2"/>
      </tp>
      <tp t="s">
        <v>#N/A N/A</v>
        <stp/>
        <stp>BDP|7392879680141023782</stp>
        <tr r="K118" s="2"/>
        <tr r="R118" s="2"/>
        <tr r="W118" s="2"/>
      </tp>
      <tp t="s">
        <v>#N/A N/A</v>
        <stp/>
        <stp>BDP|6231295620307116064</stp>
        <tr r="N199" s="2"/>
      </tp>
      <tp t="s">
        <v>#N/A N/A</v>
        <stp/>
        <stp>BDP|9647236638720501946</stp>
        <tr r="X210" s="2"/>
      </tp>
      <tp t="s">
        <v>#N/A N/A</v>
        <stp/>
        <stp>BDP|6374063426233610694</stp>
        <tr r="G200" s="2"/>
      </tp>
      <tp t="s">
        <v>#N/A N/A</v>
        <stp/>
        <stp>BDP|1793197077602699432</stp>
        <tr r="L31" s="2"/>
      </tp>
      <tp t="s">
        <v>#N/A N/A</v>
        <stp/>
        <stp>BDP|7362361838636278034</stp>
        <tr r="AD101" s="2"/>
      </tp>
      <tp t="s">
        <v>#N/A N/A</v>
        <stp/>
        <stp>BDP|4024640939887398726</stp>
        <tr r="B212" s="2"/>
      </tp>
      <tp t="s">
        <v>#N/A N/A</v>
        <stp/>
        <stp>BDP|3814433813841291666</stp>
        <tr r="T103" s="2"/>
      </tp>
      <tp t="s">
        <v>#N/A N/A</v>
        <stp/>
        <stp>BDP|7956181350051913342</stp>
        <tr r="P113" s="2"/>
      </tp>
      <tp t="s">
        <v>#N/A N/A</v>
        <stp/>
        <stp>BDP|6901735021137438530</stp>
        <tr r="AE138" s="2"/>
      </tp>
      <tp t="s">
        <v>#N/A N/A</v>
        <stp/>
        <stp>BDP|5546088325036529007</stp>
        <tr r="AB14" s="2"/>
      </tp>
      <tp t="s">
        <v>#N/A N/A</v>
        <stp/>
        <stp>BDP|3361957655987938970</stp>
        <tr r="I208" s="2"/>
      </tp>
      <tp t="s">
        <v>#N/A N/A</v>
        <stp/>
        <stp>BDP|4858137266913116110</stp>
        <tr r="V21" s="2"/>
      </tp>
      <tp t="s">
        <v>#N/A N/A</v>
        <stp/>
        <stp>BDP|4813051420724311335</stp>
        <tr r="F9" s="2"/>
      </tp>
      <tp t="s">
        <v>#N/A N/A</v>
        <stp/>
        <stp>BDP|3848264103905631568</stp>
        <tr r="B45" s="2"/>
      </tp>
      <tp t="s">
        <v>#N/A N/A</v>
        <stp/>
        <stp>BDP|6775509813350091396</stp>
        <tr r="D148" s="2"/>
      </tp>
      <tp t="s">
        <v>#N/A N/A</v>
        <stp/>
        <stp>BDP|2898808262924297954</stp>
        <tr r="C46" s="2"/>
      </tp>
      <tp t="s">
        <v>#N/A N/A</v>
        <stp/>
        <stp>BDP|2522034529015722450</stp>
        <tr r="AC56" s="2"/>
      </tp>
      <tp t="s">
        <v>#N/A N/A</v>
        <stp/>
        <stp>BDP|9320996409517947671</stp>
        <tr r="I210" s="2"/>
      </tp>
      <tp t="s">
        <v>#N/A N/A</v>
        <stp/>
        <stp>BDP|7442911928108797579</stp>
        <tr r="N79" s="2"/>
      </tp>
      <tp t="s">
        <v>#N/A N/A</v>
        <stp/>
        <stp>BDP|1341499250136533728</stp>
        <tr r="AE58" s="2"/>
      </tp>
      <tp t="s">
        <v>#N/A N/A</v>
        <stp/>
        <stp>BDP|5193034673021660252</stp>
        <tr r="AE239" s="2"/>
      </tp>
      <tp t="s">
        <v>#N/A N/A</v>
        <stp/>
        <stp>BDP|4338298038386485248</stp>
        <tr r="O105" s="2"/>
      </tp>
      <tp t="s">
        <v>#N/A N/A</v>
        <stp/>
        <stp>BDP|1780203477903703659</stp>
        <tr r="K235" s="2"/>
        <tr r="R235" s="2"/>
        <tr r="W235" s="2"/>
      </tp>
      <tp t="s">
        <v>#N/A N/A</v>
        <stp/>
        <stp>BDP|8522076599295880514</stp>
        <tr r="Z52" s="2"/>
      </tp>
      <tp t="s">
        <v>#N/A N/A</v>
        <stp/>
        <stp>BDP|6783744782319442177</stp>
        <tr r="N12" s="2"/>
      </tp>
      <tp t="s">
        <v>#N/A N/A</v>
        <stp/>
        <stp>BDP|5398452394798802180</stp>
        <tr r="Z237" s="2"/>
      </tp>
      <tp t="s">
        <v>#N/A N/A</v>
        <stp/>
        <stp>BDP|6659452625844189558</stp>
        <tr r="Q69" s="2"/>
      </tp>
      <tp t="s">
        <v>#N/A N/A</v>
        <stp/>
        <stp>BDP|5364567166480123706</stp>
        <tr r="D41" s="2"/>
      </tp>
      <tp t="s">
        <v>#N/A N/A</v>
        <stp/>
        <stp>BDP|6567507517521162210</stp>
        <tr r="AC35" s="2"/>
      </tp>
      <tp t="s">
        <v>#N/A N/A</v>
        <stp/>
        <stp>BDP|6526760160346150006</stp>
        <tr r="O174" s="2"/>
      </tp>
      <tp t="s">
        <v>#N/A N/A</v>
        <stp/>
        <stp>BDP|7655562642313339435</stp>
        <tr r="F10" s="2"/>
      </tp>
      <tp t="s">
        <v>#N/A N/A</v>
        <stp/>
        <stp>BDP|5403664825434270472</stp>
        <tr r="U181" s="2"/>
      </tp>
      <tp t="s">
        <v>#N/A N/A</v>
        <stp/>
        <stp>BDP|5045810661553334914</stp>
        <tr r="O77" s="2"/>
      </tp>
      <tp t="s">
        <v>#N/A N/A</v>
        <stp/>
        <stp>BDP|7149500665263507630</stp>
        <tr r="I52" s="2"/>
      </tp>
      <tp t="s">
        <v>#N/A N/A</v>
        <stp/>
        <stp>BDP|5110249011673498421</stp>
        <tr r="P240" s="2"/>
      </tp>
      <tp t="s">
        <v>#N/A N/A</v>
        <stp/>
        <stp>BDP|8354171714680520969</stp>
        <tr r="AB209" s="2"/>
      </tp>
      <tp t="s">
        <v>#N/A N/A</v>
        <stp/>
        <stp>BDP|5085636621799503942</stp>
        <tr r="F219" s="2"/>
      </tp>
      <tp t="s">
        <v>#N/A N/A</v>
        <stp/>
        <stp>BDP|4439913665382493870</stp>
        <tr r="I183" s="2"/>
      </tp>
      <tp t="s">
        <v>#N/A N/A</v>
        <stp/>
        <stp>BDP|6924457478697497330</stp>
        <tr r="AD179" s="2"/>
      </tp>
      <tp t="s">
        <v>#N/A N/A</v>
        <stp/>
        <stp>BDP|5292121142279543843</stp>
        <tr r="M162" s="2"/>
      </tp>
      <tp t="s">
        <v>#N/A N/A</v>
        <stp/>
        <stp>BDP|9823452284642291680</stp>
        <tr r="Z141" s="2"/>
      </tp>
      <tp t="s">
        <v>#N/A N/A</v>
        <stp/>
        <stp>BDP|8463450693835240134</stp>
        <tr r="V185" s="2"/>
      </tp>
      <tp t="s">
        <v>#N/A N/A</v>
        <stp/>
        <stp>BDP|8406993002710933056</stp>
        <tr r="AA161" s="2"/>
      </tp>
      <tp t="s">
        <v>#N/A N/A</v>
        <stp/>
        <stp>BDP|4443553645553474735</stp>
        <tr r="AD103" s="2"/>
      </tp>
      <tp t="s">
        <v>#N/A N/A</v>
        <stp/>
        <stp>BDP|9538912621497356455</stp>
        <tr r="Y56" s="2"/>
      </tp>
      <tp t="s">
        <v>#N/A N/A</v>
        <stp/>
        <stp>BDP|6054071739652443691</stp>
        <tr r="U176" s="2"/>
      </tp>
      <tp t="s">
        <v>#N/A N/A</v>
        <stp/>
        <stp>BDP|8432306407609828386</stp>
        <tr r="Q219" s="2"/>
      </tp>
      <tp t="s">
        <v>#N/A N/A</v>
        <stp/>
        <stp>BDP|6812898297905105346</stp>
        <tr r="Y39" s="2"/>
      </tp>
      <tp t="s">
        <v>#N/A N/A</v>
        <stp/>
        <stp>BDP|1917617816976817158</stp>
        <tr r="AD14" s="2"/>
      </tp>
      <tp t="s">
        <v>#N/A N/A</v>
        <stp/>
        <stp>BDP|3240629404414555015</stp>
        <tr r="AB218" s="2"/>
      </tp>
      <tp t="s">
        <v>#N/A N/A</v>
        <stp/>
        <stp>BDP|8498222184601639245</stp>
        <tr r="P19" s="2"/>
      </tp>
      <tp t="s">
        <v>#N/A N/A</v>
        <stp/>
        <stp>BDP|4398930634228198758</stp>
        <tr r="E104" s="2"/>
      </tp>
      <tp t="s">
        <v>#N/A N/A</v>
        <stp/>
        <stp>BDP|5382017276494406701</stp>
        <tr r="U130" s="2"/>
      </tp>
      <tp t="s">
        <v>#N/A N/A</v>
        <stp/>
        <stp>BDP|5060435205947454722</stp>
        <tr r="D13" s="2"/>
      </tp>
      <tp t="s">
        <v>#N/A N/A</v>
        <stp/>
        <stp>BDP|4121005506984614112</stp>
        <tr r="AE39" s="2"/>
      </tp>
      <tp t="s">
        <v>#N/A N/A</v>
        <stp/>
        <stp>BDP|6120296659418080814</stp>
        <tr r="H94" s="2"/>
      </tp>
      <tp t="s">
        <v>#N/A N/A</v>
        <stp/>
        <stp>BDP|3039042260400115458</stp>
        <tr r="S12" s="2"/>
      </tp>
      <tp t="s">
        <v>#N/A N/A</v>
        <stp/>
        <stp>BDP|5149475529983673190</stp>
        <tr r="Q15" s="2"/>
      </tp>
      <tp t="s">
        <v>#N/A N/A</v>
        <stp/>
        <stp>BDP|2696785778955664603</stp>
        <tr r="C198" s="2"/>
      </tp>
      <tp t="s">
        <v>#N/A N/A</v>
        <stp/>
        <stp>BDP|6687370321865815382</stp>
        <tr r="Q81" s="2"/>
      </tp>
      <tp t="s">
        <v>#N/A N/A</v>
        <stp/>
        <stp>BDP|5301262767134189438</stp>
        <tr r="N219" s="2"/>
      </tp>
      <tp t="s">
        <v>#N/A N/A</v>
        <stp/>
        <stp>BDP|4737334171625519402</stp>
        <tr r="V156" s="2"/>
      </tp>
      <tp t="s">
        <v>#N/A N/A</v>
        <stp/>
        <stp>BDP|8639274387917628408</stp>
        <tr r="AD28" s="2"/>
      </tp>
      <tp t="s">
        <v>#N/A N/A</v>
        <stp/>
        <stp>BDP|1407813194050639176</stp>
        <tr r="K87" s="2"/>
        <tr r="R87" s="2"/>
        <tr r="W87" s="2"/>
      </tp>
      <tp t="s">
        <v>#N/A N/A</v>
        <stp/>
        <stp>BDP|1395195187598946150</stp>
        <tr r="H117" s="2"/>
      </tp>
      <tp t="s">
        <v>#N/A N/A</v>
        <stp/>
        <stp>BDP|8840815861924127386</stp>
        <tr r="C128" s="2"/>
      </tp>
      <tp t="s">
        <v>#N/A N/A</v>
        <stp/>
        <stp>BDP|7738338143708511931</stp>
        <tr r="Y138" s="2"/>
      </tp>
      <tp t="s">
        <v>#N/A N/A</v>
        <stp/>
        <stp>BDP|9802290935829154042</stp>
        <tr r="AC96" s="2"/>
      </tp>
      <tp t="s">
        <v>#N/A N/A</v>
        <stp/>
        <stp>BDP|2699058692223149919</stp>
        <tr r="C68" s="2"/>
      </tp>
      <tp t="s">
        <v>#N/A N/A</v>
        <stp/>
        <stp>BDP|1426802983555002562</stp>
        <tr r="I50" s="2"/>
      </tp>
      <tp t="s">
        <v>#N/A N/A</v>
        <stp/>
        <stp>BDP|8492130285561133129</stp>
        <tr r="U102" s="2"/>
      </tp>
      <tp t="s">
        <v>#N/A N/A</v>
        <stp/>
        <stp>BDP|1662443035805951281</stp>
        <tr r="AB172" s="2"/>
      </tp>
      <tp t="s">
        <v>#N/A N/A</v>
        <stp/>
        <stp>BDP|4142066350841495158</stp>
        <tr r="AA56" s="2"/>
      </tp>
      <tp t="s">
        <v>#N/A N/A</v>
        <stp/>
        <stp>BDP|2582317579705963224</stp>
        <tr r="V202" s="2"/>
      </tp>
      <tp t="s">
        <v>#N/A N/A</v>
        <stp/>
        <stp>BDP|1247050850653810699</stp>
        <tr r="Y219" s="2"/>
      </tp>
      <tp t="s">
        <v>#N/A N/A</v>
        <stp/>
        <stp>BDP|6694195472000281198</stp>
        <tr r="AE172" s="2"/>
      </tp>
      <tp t="s">
        <v>#N/A N/A</v>
        <stp/>
        <stp>BDP|7772584344950413795</stp>
        <tr r="T20" s="2"/>
      </tp>
      <tp t="s">
        <v>#N/A N/A</v>
        <stp/>
        <stp>BDP|4888643670583919731</stp>
        <tr r="O201" s="2"/>
      </tp>
      <tp t="s">
        <v>#N/A N/A</v>
        <stp/>
        <stp>BDP|3011242389811332989</stp>
        <tr r="O119" s="2"/>
      </tp>
      <tp t="s">
        <v>#N/A N/A</v>
        <stp/>
        <stp>BDP|1177567643687360611</stp>
        <tr r="S157" s="2"/>
      </tp>
      <tp t="s">
        <v>#N/A N/A</v>
        <stp/>
        <stp>BDP|9608937137162740032</stp>
        <tr r="U177" s="2"/>
      </tp>
      <tp t="s">
        <v>#N/A N/A</v>
        <stp/>
        <stp>BDP|6863706064716830026</stp>
        <tr r="F81" s="2"/>
      </tp>
      <tp t="s">
        <v>#N/A N/A</v>
        <stp/>
        <stp>BDP|8190080381050625189</stp>
        <tr r="X14" s="2"/>
      </tp>
      <tp t="s">
        <v>#N/A N/A</v>
        <stp/>
        <stp>BDP|9863561631866848819</stp>
        <tr r="S173" s="2"/>
      </tp>
      <tp t="s">
        <v>#N/A N/A</v>
        <stp/>
        <stp>BDP|5211351653177060522</stp>
        <tr r="B83" s="2"/>
      </tp>
      <tp t="s">
        <v>#N/A N/A</v>
        <stp/>
        <stp>BDP|8640221250309550776</stp>
        <tr r="K119" s="2"/>
        <tr r="R119" s="2"/>
        <tr r="W119" s="2"/>
      </tp>
      <tp t="s">
        <v>#N/A N/A</v>
        <stp/>
        <stp>BDP|9953195998308736894</stp>
        <tr r="O203" s="2"/>
      </tp>
      <tp t="s">
        <v>#N/A N/A</v>
        <stp/>
        <stp>BDP|5273661256561237667</stp>
        <tr r="V79" s="2"/>
      </tp>
      <tp t="s">
        <v>#N/A N/A</v>
        <stp/>
        <stp>BDP|8633161889532814271</stp>
        <tr r="Z172" s="2"/>
      </tp>
      <tp t="s">
        <v>#N/A N/A</v>
        <stp/>
        <stp>BDP|9697247977065718856</stp>
        <tr r="Q235" s="2"/>
      </tp>
      <tp t="s">
        <v>#N/A N/A</v>
        <stp/>
        <stp>BDP|5327224251891254252</stp>
        <tr r="V102" s="2"/>
      </tp>
      <tp t="s">
        <v>#N/A N/A</v>
        <stp/>
        <stp>BDP|2539634640793300228</stp>
        <tr r="AB20" s="2"/>
      </tp>
      <tp t="s">
        <v>#N/A N/A</v>
        <stp/>
        <stp>BDP|4224046856261441139</stp>
        <tr r="AC141" s="2"/>
      </tp>
      <tp t="s">
        <v>#N/A N/A</v>
        <stp/>
        <stp>BDP|6961759429261711352</stp>
        <tr r="M104" s="2"/>
      </tp>
      <tp t="s">
        <v>#N/A N/A</v>
        <stp/>
        <stp>BDP|6160249658557227788</stp>
        <tr r="AA113" s="2"/>
      </tp>
      <tp t="s">
        <v>#N/A N/A</v>
        <stp/>
        <stp>BDP|1830898545795262919</stp>
        <tr r="K131" s="2"/>
        <tr r="R131" s="2"/>
        <tr r="W131" s="2"/>
      </tp>
      <tp t="s">
        <v>#N/A N/A</v>
        <stp/>
        <stp>BDP|4259038451848722804</stp>
        <tr r="AB31" s="2"/>
      </tp>
      <tp t="s">
        <v>#N/A N/A</v>
        <stp/>
        <stp>BDP|2407837810159534357</stp>
        <tr r="Y94" s="2"/>
      </tp>
      <tp t="s">
        <v>#N/A N/A</v>
        <stp/>
        <stp>BDP|7887389241550636102</stp>
        <tr r="H86" s="2"/>
      </tp>
      <tp t="s">
        <v>#N/A N/A</v>
        <stp/>
        <stp>BDP|3743649720315094342</stp>
        <tr r="Z13" s="2"/>
      </tp>
      <tp t="s">
        <v>#N/A N/A</v>
        <stp/>
        <stp>BDP|3444863085794054602</stp>
        <tr r="P209" s="2"/>
      </tp>
      <tp t="s">
        <v>#N/A N/A</v>
        <stp/>
        <stp>BDP|2439467231027598324</stp>
        <tr r="N4" s="2"/>
      </tp>
      <tp t="s">
        <v>#N/A N/A</v>
        <stp/>
        <stp>BDP|4287985351511741884</stp>
        <tr r="F74" s="2"/>
      </tp>
      <tp t="s">
        <v>#N/A N/A</v>
        <stp/>
        <stp>BDP|7510198438887589351</stp>
        <tr r="L69" s="2"/>
      </tp>
      <tp t="s">
        <v>#N/A N/A</v>
        <stp/>
        <stp>BDP|5392731331156519600</stp>
        <tr r="U104" s="2"/>
      </tp>
      <tp t="s">
        <v>#N/A N/A</v>
        <stp/>
        <stp>BDP|6336908935765263802</stp>
        <tr r="M19" s="2"/>
      </tp>
      <tp t="s">
        <v>#N/A N/A</v>
        <stp/>
        <stp>BDP|7226827904528840689</stp>
        <tr r="V240" s="2"/>
      </tp>
      <tp t="s">
        <v>#N/A N/A</v>
        <stp/>
        <stp>BDP|6217064770148806888</stp>
        <tr r="AC86" s="2"/>
      </tp>
      <tp t="s">
        <v>#N/A N/A</v>
        <stp/>
        <stp>BDP|7338201270961122265</stp>
        <tr r="T84" s="2"/>
      </tp>
      <tp t="s">
        <v>#N/A N/A</v>
        <stp/>
        <stp>BDP|9673608953699440253</stp>
        <tr r="L59" s="2"/>
      </tp>
      <tp t="s">
        <v>#N/A N/A</v>
        <stp/>
        <stp>BDP|7610507444861180677</stp>
        <tr r="Z150" s="2"/>
      </tp>
      <tp t="s">
        <v>#N/A N/A</v>
        <stp/>
        <stp>BDP|5085811092831496438</stp>
        <tr r="T25" s="2"/>
      </tp>
      <tp t="s">
        <v>#N/A N/A</v>
        <stp/>
        <stp>BDP|9137954977461386748</stp>
        <tr r="K215" s="2"/>
        <tr r="R215" s="2"/>
        <tr r="W215" s="2"/>
      </tp>
      <tp t="s">
        <v>#N/A N/A</v>
        <stp/>
        <stp>BDP|5225458053764198116</stp>
        <tr r="I10" s="2"/>
      </tp>
      <tp t="s">
        <v>#N/A N/A</v>
        <stp/>
        <stp>BDP|2378125374290606574</stp>
        <tr r="M202" s="2"/>
      </tp>
      <tp t="s">
        <v>#N/A N/A</v>
        <stp/>
        <stp>BDP|1426662600520050664</stp>
        <tr r="G133" s="2"/>
      </tp>
      <tp t="s">
        <v>#N/A N/A</v>
        <stp/>
        <stp>BDP|5755870634107574854</stp>
        <tr r="T195" s="2"/>
      </tp>
      <tp t="s">
        <v>#N/A N/A</v>
        <stp/>
        <stp>BDP|6176055276027138776</stp>
        <tr r="C199" s="2"/>
      </tp>
      <tp t="s">
        <v>#N/A N/A</v>
        <stp/>
        <stp>BDP|8959259469065535849</stp>
        <tr r="V159" s="2"/>
      </tp>
      <tp t="s">
        <v>#N/A N/A</v>
        <stp/>
        <stp>BDP|2073564845031080362</stp>
        <tr r="L192" s="2"/>
      </tp>
      <tp t="s">
        <v>#N/A N/A</v>
        <stp/>
        <stp>BDP|3696511867189236872</stp>
        <tr r="AC43" s="2"/>
      </tp>
      <tp t="s">
        <v>#N/A N/A</v>
        <stp/>
        <stp>BDP|5097280124220920403</stp>
        <tr r="Y158" s="2"/>
      </tp>
      <tp t="s">
        <v>#N/A N/A</v>
        <stp/>
        <stp>BDP|4285172573461177223</stp>
        <tr r="AB88" s="2"/>
      </tp>
      <tp t="s">
        <v>#N/A N/A</v>
        <stp/>
        <stp>BDP|4646889464782860971</stp>
        <tr r="L38" s="2"/>
      </tp>
      <tp t="s">
        <v>#N/A N/A</v>
        <stp/>
        <stp>BDP|6345798182408976043</stp>
        <tr r="U212" s="2"/>
      </tp>
      <tp t="s">
        <v>#N/A N/A</v>
        <stp/>
        <stp>BDP|8787865742070222541</stp>
        <tr r="B12" s="2"/>
      </tp>
      <tp t="s">
        <v>#N/A N/A</v>
        <stp/>
        <stp>BDP|1147636716492804596</stp>
        <tr r="U123" s="2"/>
      </tp>
      <tp t="s">
        <v>#N/A N/A</v>
        <stp/>
        <stp>BDP|8735873194459814191</stp>
        <tr r="F184" s="2"/>
      </tp>
      <tp t="s">
        <v>#N/A N/A</v>
        <stp/>
        <stp>BDP|8289392929499686111</stp>
        <tr r="AB224" s="2"/>
      </tp>
      <tp t="s">
        <v>#N/A N/A</v>
        <stp/>
        <stp>BDP|3574292129773631299</stp>
        <tr r="S145" s="2"/>
      </tp>
      <tp t="s">
        <v>#N/A N/A</v>
        <stp/>
        <stp>BDP|2440700301962840577</stp>
        <tr r="M62" s="2"/>
      </tp>
      <tp t="s">
        <v>#N/A N/A</v>
        <stp/>
        <stp>BDP|1816784215341672492</stp>
        <tr r="AC60" s="2"/>
      </tp>
      <tp t="s">
        <v>#N/A N/A</v>
        <stp/>
        <stp>BDP|6657158775992826044</stp>
        <tr r="C188" s="2"/>
      </tp>
      <tp t="s">
        <v>#N/A N/A</v>
        <stp/>
        <stp>BDP|2913878043575794901</stp>
        <tr r="AA44" s="2"/>
      </tp>
      <tp t="s">
        <v>#N/A N/A</v>
        <stp/>
        <stp>BDP|2018184693261788976</stp>
        <tr r="D115" s="2"/>
      </tp>
      <tp t="s">
        <v>#N/A N/A</v>
        <stp/>
        <stp>BDP|2550226277742941728</stp>
        <tr r="Y114" s="2"/>
      </tp>
      <tp t="s">
        <v>#N/A N/A</v>
        <stp/>
        <stp>BDP|4474683175196482167</stp>
        <tr r="G118" s="2"/>
      </tp>
      <tp t="s">
        <v>#N/A N/A</v>
        <stp/>
        <stp>BDP|1447778238336661166</stp>
        <tr r="Z38" s="2"/>
      </tp>
      <tp t="s">
        <v>#N/A N/A</v>
        <stp/>
        <stp>BDP|5511496530942669219</stp>
        <tr r="Z235" s="2"/>
      </tp>
      <tp t="s">
        <v>#N/A N/A</v>
        <stp/>
        <stp>BDP|1215897201469981289</stp>
        <tr r="D117" s="2"/>
      </tp>
      <tp t="s">
        <v>#N/A N/A</v>
        <stp/>
        <stp>BDP|2307606579493033212</stp>
        <tr r="E96" s="2"/>
      </tp>
      <tp t="s">
        <v>#N/A N/A</v>
        <stp/>
        <stp>BDP|1075893891426146427</stp>
        <tr r="Z169" s="2"/>
      </tp>
      <tp t="s">
        <v>#N/A N/A</v>
        <stp/>
        <stp>BDP|7778961480765973134</stp>
        <tr r="T105" s="2"/>
      </tp>
      <tp t="s">
        <v>#N/A N/A</v>
        <stp/>
        <stp>BDP|9937997690509816234</stp>
        <tr r="L115" s="2"/>
      </tp>
      <tp t="s">
        <v>#N/A N/A</v>
        <stp/>
        <stp>BDP|5633459869085073019</stp>
        <tr r="D62" s="2"/>
      </tp>
      <tp t="s">
        <v>#N/A N/A</v>
        <stp/>
        <stp>BDP|6782276881128994632</stp>
        <tr r="AA239" s="2"/>
      </tp>
      <tp t="s">
        <v>#N/A N/A</v>
        <stp/>
        <stp>BDP|3722885203209544018</stp>
        <tr r="U163" s="2"/>
      </tp>
      <tp t="s">
        <v>#N/A N/A</v>
        <stp/>
        <stp>BDP|4288659858935447035</stp>
        <tr r="H29" s="2"/>
      </tp>
      <tp t="s">
        <v>#N/A N/A</v>
        <stp/>
        <stp>BDP|9925928160282521662</stp>
        <tr r="AE5" s="2"/>
      </tp>
      <tp t="s">
        <v>#N/A N/A</v>
        <stp/>
        <stp>BDP|7048795465355723138</stp>
        <tr r="L214" s="2"/>
      </tp>
      <tp t="s">
        <v>#N/A N/A</v>
        <stp/>
        <stp>BDP|9923247505951877881</stp>
        <tr r="P20" s="2"/>
      </tp>
      <tp t="s">
        <v>#N/A N/A</v>
        <stp/>
        <stp>BDP|6857046414780278529</stp>
        <tr r="AA45" s="2"/>
      </tp>
      <tp t="s">
        <v>#N/A N/A</v>
        <stp/>
        <stp>BDP|1539692172861019365</stp>
        <tr r="Q73" s="2"/>
      </tp>
      <tp t="s">
        <v>#N/A N/A</v>
        <stp/>
        <stp>BDP|7186367865946978630</stp>
        <tr r="Y25" s="2"/>
      </tp>
      <tp t="s">
        <v>#N/A N/A</v>
        <stp/>
        <stp>BDP|9901362305518739055</stp>
        <tr r="U170" s="2"/>
      </tp>
      <tp t="s">
        <v>#N/A N/A</v>
        <stp/>
        <stp>BDP|4306544529257064660</stp>
        <tr r="AA46" s="2"/>
      </tp>
      <tp t="s">
        <v>#N/A N/A</v>
        <stp/>
        <stp>BDP|9523666188121155427</stp>
        <tr r="Z162" s="2"/>
      </tp>
      <tp t="s">
        <v>#N/A N/A</v>
        <stp/>
        <stp>BDP|2795017078637795016</stp>
        <tr r="P108" s="2"/>
      </tp>
      <tp t="s">
        <v>#N/A N/A</v>
        <stp/>
        <stp>BDP|5279391035331747616</stp>
        <tr r="U188" s="2"/>
      </tp>
      <tp t="s">
        <v>#N/A N/A</v>
        <stp/>
        <stp>BDP|8793384026032414944</stp>
        <tr r="S98" s="2"/>
      </tp>
      <tp t="s">
        <v>#N/A N/A</v>
        <stp/>
        <stp>BDP|7666460552344983026</stp>
        <tr r="H78" s="2"/>
      </tp>
      <tp t="s">
        <v>#N/A N/A</v>
        <stp/>
        <stp>BDP|1335196870221258419</stp>
        <tr r="V108" s="2"/>
      </tp>
      <tp t="s">
        <v>#N/A N/A</v>
        <stp/>
        <stp>BDP|7820427466951657637</stp>
        <tr r="F201" s="2"/>
      </tp>
      <tp t="s">
        <v>#N/A N/A</v>
        <stp/>
        <stp>BDP|2283416659763206219</stp>
        <tr r="B11" s="2"/>
      </tp>
      <tp t="s">
        <v>#N/A N/A</v>
        <stp/>
        <stp>BDP|4006730548012323711</stp>
        <tr r="L91" s="2"/>
      </tp>
      <tp t="s">
        <v>#N/A N/A</v>
        <stp/>
        <stp>BDP|9124290720049838293</stp>
        <tr r="Y54" s="2"/>
      </tp>
      <tp t="s">
        <v>#N/A N/A</v>
        <stp/>
        <stp>BDP|1498298827743446077</stp>
        <tr r="P168" s="2"/>
      </tp>
      <tp t="s">
        <v>#N/A N/A</v>
        <stp/>
        <stp>BDP|7387387153700097315</stp>
        <tr r="AB56" s="2"/>
      </tp>
      <tp t="s">
        <v>#N/A N/A</v>
        <stp/>
        <stp>BDP|2376208099899714241</stp>
        <tr r="D171" s="2"/>
      </tp>
      <tp t="s">
        <v>#N/A N/A</v>
        <stp/>
        <stp>BDP|4199716522040896330</stp>
        <tr r="U124" s="2"/>
      </tp>
      <tp t="s">
        <v>#N/A N/A</v>
        <stp/>
        <stp>BDP|3389595422791012763</stp>
        <tr r="V211" s="2"/>
      </tp>
      <tp t="s">
        <v>#N/A N/A</v>
        <stp/>
        <stp>BDP|7284598345765880187</stp>
        <tr r="H65" s="2"/>
      </tp>
      <tp t="s">
        <v>#N/A N/A</v>
        <stp/>
        <stp>BDP|1955224811456091647</stp>
        <tr r="S109" s="2"/>
      </tp>
      <tp t="s">
        <v>#N/A N/A</v>
        <stp/>
        <stp>BDP|8428815032972828316</stp>
        <tr r="D40" s="2"/>
      </tp>
      <tp t="s">
        <v>#N/A N/A</v>
        <stp/>
        <stp>BDP|6564918089110639556</stp>
        <tr r="Y17" s="2"/>
      </tp>
      <tp t="s">
        <v>#N/A N/A</v>
        <stp/>
        <stp>BDP|3533492265330684315</stp>
        <tr r="O221" s="2"/>
      </tp>
      <tp t="s">
        <v>#N/A N/A</v>
        <stp/>
        <stp>BDP|5558573678887394279</stp>
        <tr r="AB107" s="2"/>
      </tp>
      <tp t="s">
        <v>#N/A N/A</v>
        <stp/>
        <stp>BDP|1521637507306616396</stp>
        <tr r="Q75" s="2"/>
      </tp>
      <tp t="s">
        <v>#N/A N/A</v>
        <stp/>
        <stp>BDP|4707058846840906231</stp>
        <tr r="T18" s="2"/>
      </tp>
      <tp t="s">
        <v>#N/A N/A</v>
        <stp/>
        <stp>BDP|7871911163352360873</stp>
        <tr r="D147" s="2"/>
      </tp>
      <tp t="s">
        <v>#N/A N/A</v>
        <stp/>
        <stp>BDP|2441821287157624796</stp>
        <tr r="D178" s="2"/>
      </tp>
      <tp t="s">
        <v>#N/A N/A</v>
        <stp/>
        <stp>BDP|9749471098662496429</stp>
        <tr r="I224" s="2"/>
      </tp>
      <tp t="s">
        <v>#N/A N/A</v>
        <stp/>
        <stp>BDP|8235241000178848004</stp>
        <tr r="AD196" s="2"/>
      </tp>
      <tp t="s">
        <v>#N/A N/A</v>
        <stp/>
        <stp>BDP|7433358349606205448</stp>
        <tr r="AD190" s="2"/>
      </tp>
      <tp t="s">
        <v>#N/A N/A</v>
        <stp/>
        <stp>BDP|4687173009566390152</stp>
        <tr r="M13" s="2"/>
      </tp>
      <tp t="s">
        <v>#N/A N/A</v>
        <stp/>
        <stp>BDP|6030964018858784473</stp>
        <tr r="L139" s="2"/>
      </tp>
      <tp t="s">
        <v>#N/A N/A</v>
        <stp/>
        <stp>BDP|8954442490557068030</stp>
        <tr r="F233" s="2"/>
      </tp>
      <tp t="s">
        <v>#N/A N/A</v>
        <stp/>
        <stp>BDP|5826464217382700002</stp>
        <tr r="P126" s="2"/>
      </tp>
      <tp t="s">
        <v>#N/A N/A</v>
        <stp/>
        <stp>BDP|6230073549767093736</stp>
        <tr r="Y149" s="2"/>
      </tp>
      <tp t="s">
        <v>#N/A N/A</v>
        <stp/>
        <stp>BDP|9585285233699587348</stp>
        <tr r="AB225" s="2"/>
      </tp>
      <tp t="s">
        <v>#N/A N/A</v>
        <stp/>
        <stp>BDP|1375594803824535234</stp>
        <tr r="F207" s="2"/>
      </tp>
      <tp t="s">
        <v>#N/A N/A</v>
        <stp/>
        <stp>BDP|4888264393295006821</stp>
        <tr r="G147" s="2"/>
      </tp>
      <tp t="s">
        <v>#N/A N/A</v>
        <stp/>
        <stp>BDP|1901724397088666553</stp>
        <tr r="U52" s="2"/>
      </tp>
      <tp t="s">
        <v>#N/A N/A</v>
        <stp/>
        <stp>BDP|4523834129004534856</stp>
        <tr r="AC229" s="2"/>
      </tp>
      <tp t="s">
        <v>#N/A N/A</v>
        <stp/>
        <stp>BDP|4695464124327981725</stp>
        <tr r="Z210" s="2"/>
      </tp>
      <tp t="s">
        <v>#N/A N/A</v>
        <stp/>
        <stp>BDP|6615567419345372550</stp>
        <tr r="F68" s="2"/>
      </tp>
      <tp t="s">
        <v>#N/A N/A</v>
        <stp/>
        <stp>BDP|2901658046053589102</stp>
        <tr r="O110" s="2"/>
      </tp>
      <tp t="s">
        <v>#N/A N/A</v>
        <stp/>
        <stp>BDP|3091344463082067689</stp>
        <tr r="S119" s="2"/>
      </tp>
      <tp t="s">
        <v>#N/A N/A</v>
        <stp/>
        <stp>BDP|7469874665952980901</stp>
        <tr r="Z181" s="2"/>
      </tp>
      <tp t="s">
        <v>#N/A N/A</v>
        <stp/>
        <stp>BDP|7405799469041962528</stp>
        <tr r="D193" s="2"/>
      </tp>
      <tp t="s">
        <v>#N/A N/A</v>
        <stp/>
        <stp>BDP|9063822630165562584</stp>
        <tr r="N149" s="2"/>
      </tp>
      <tp t="s">
        <v>#N/A N/A</v>
        <stp/>
        <stp>BDP|5466381125495070363</stp>
        <tr r="V11" s="2"/>
      </tp>
      <tp t="s">
        <v>#N/A N/A</v>
        <stp/>
        <stp>BDP|7023034822060763796</stp>
        <tr r="H20" s="2"/>
      </tp>
      <tp t="s">
        <v>#N/A N/A</v>
        <stp/>
        <stp>BDP|8050173422850862911</stp>
        <tr r="U206" s="2"/>
      </tp>
      <tp t="s">
        <v>#N/A N/A</v>
        <stp/>
        <stp>BDP|5928297021641523688</stp>
        <tr r="G167" s="2"/>
      </tp>
      <tp t="s">
        <v>#N/A N/A</v>
        <stp/>
        <stp>BDP|1861750072957142423</stp>
        <tr r="AC11" s="2"/>
      </tp>
      <tp t="s">
        <v>#N/A N/A</v>
        <stp/>
        <stp>BDP|4216750010809830931</stp>
        <tr r="AC97" s="2"/>
      </tp>
      <tp t="s">
        <v>#N/A N/A</v>
        <stp/>
        <stp>BDP|3440307679283690677</stp>
        <tr r="B95" s="2"/>
      </tp>
      <tp t="s">
        <v>#N/A N/A</v>
        <stp/>
        <stp>BDP|8655254974916364980</stp>
        <tr r="AD205" s="2"/>
      </tp>
      <tp t="s">
        <v>#N/A N/A</v>
        <stp/>
        <stp>BDP|6842703215186525445</stp>
        <tr r="AE204" s="2"/>
      </tp>
      <tp t="s">
        <v>#N/A N/A</v>
        <stp/>
        <stp>BDP|2031530345304206580</stp>
        <tr r="S76" s="2"/>
      </tp>
      <tp t="s">
        <v>#N/A N/A</v>
        <stp/>
        <stp>BDP|2195433989614605819</stp>
        <tr r="G71" s="2"/>
      </tp>
      <tp t="s">
        <v>#N/A N/A</v>
        <stp/>
        <stp>BDP|8438638188130786446</stp>
        <tr r="D3" s="2"/>
      </tp>
      <tp t="s">
        <v>#N/A N/A</v>
        <stp/>
        <stp>BDP|8802982216576213480</stp>
        <tr r="K29" s="2"/>
        <tr r="R29" s="2"/>
        <tr r="W29" s="2"/>
      </tp>
      <tp t="s">
        <v>#N/A N/A</v>
        <stp/>
        <stp>BDP|4626740279004793212</stp>
        <tr r="AA133" s="2"/>
      </tp>
      <tp t="s">
        <v>#N/A N/A</v>
        <stp/>
        <stp>BDP|1617696227965448213</stp>
        <tr r="B182" s="2"/>
      </tp>
      <tp t="s">
        <v>#N/A N/A</v>
        <stp/>
        <stp>BDP|4963748980131541853</stp>
        <tr r="Q169" s="2"/>
      </tp>
      <tp t="s">
        <v>#N/A N/A</v>
        <stp/>
        <stp>BDP|3686480510731402574</stp>
        <tr r="G236" s="2"/>
      </tp>
      <tp t="s">
        <v>#N/A N/A</v>
        <stp/>
        <stp>BDP|4244481816887663476</stp>
        <tr r="Z176" s="2"/>
      </tp>
      <tp t="s">
        <v>#N/A N/A</v>
        <stp/>
        <stp>BDP|6131790034799286931</stp>
        <tr r="U58" s="2"/>
      </tp>
      <tp t="s">
        <v>#N/A N/A</v>
        <stp/>
        <stp>BDP|8874447674180083954</stp>
        <tr r="D67" s="2"/>
      </tp>
      <tp t="s">
        <v>#N/A N/A</v>
        <stp/>
        <stp>BDP|4287782627925154618</stp>
        <tr r="N146" s="2"/>
      </tp>
      <tp t="s">
        <v>#N/A N/A</v>
        <stp/>
        <stp>BDP|2208666222190259492</stp>
        <tr r="AD232" s="2"/>
      </tp>
      <tp t="s">
        <v>#N/A N/A</v>
        <stp/>
        <stp>BDP|6810586200274934545</stp>
        <tr r="P2" s="2"/>
      </tp>
      <tp t="s">
        <v>#N/A N/A</v>
        <stp/>
        <stp>BDP|9881850054956629021</stp>
        <tr r="N148" s="2"/>
      </tp>
      <tp t="s">
        <v>#N/A N/A</v>
        <stp/>
        <stp>BDP|5432043142823997098</stp>
        <tr r="AC181" s="2"/>
      </tp>
      <tp t="s">
        <v>#N/A N/A</v>
        <stp/>
        <stp>BDP|6140794131214382483</stp>
        <tr r="N145" s="2"/>
      </tp>
      <tp t="s">
        <v>#N/A N/A</v>
        <stp/>
        <stp>BDP|9338673775219386303</stp>
        <tr r="AB26" s="2"/>
      </tp>
      <tp t="s">
        <v>#N/A N/A</v>
        <stp/>
        <stp>BDP|8255111017879655301</stp>
        <tr r="Y81" s="2"/>
      </tp>
      <tp t="s">
        <v>#N/A N/A</v>
        <stp/>
        <stp>BDP|5687892256829998320</stp>
        <tr r="P218" s="2"/>
      </tp>
      <tp t="s">
        <v>#N/A N/A</v>
        <stp/>
        <stp>BDP|3700630083768484715</stp>
        <tr r="AD233" s="2"/>
      </tp>
      <tp t="s">
        <v>#N/A N/A</v>
        <stp/>
        <stp>BDP|7312432732174077608</stp>
        <tr r="G217" s="2"/>
      </tp>
      <tp t="s">
        <v>#N/A N/A</v>
        <stp/>
        <stp>BDP|2920122683809245080</stp>
        <tr r="AE115" s="2"/>
      </tp>
      <tp t="s">
        <v>#N/A N/A</v>
        <stp/>
        <stp>BDP|2201126492868809080</stp>
        <tr r="AD76" s="2"/>
      </tp>
      <tp t="s">
        <v>#N/A N/A</v>
        <stp/>
        <stp>BDP|2433263248601157792</stp>
        <tr r="AC144" s="2"/>
      </tp>
      <tp t="s">
        <v>#N/A N/A</v>
        <stp/>
        <stp>BDP|1611544714512798539</stp>
        <tr r="AC69" s="2"/>
      </tp>
      <tp t="s">
        <v>#N/A N/A</v>
        <stp/>
        <stp>BDP|2312882703638273081</stp>
        <tr r="D194" s="2"/>
      </tp>
      <tp t="s">
        <v>#N/A N/A</v>
        <stp/>
        <stp>BDP|4810705835544676695</stp>
        <tr r="Q58" s="2"/>
      </tp>
      <tp t="s">
        <v>#N/A N/A</v>
        <stp/>
        <stp>BDP|5878794662740960687</stp>
        <tr r="L127" s="2"/>
      </tp>
      <tp t="s">
        <v>#N/A N/A</v>
        <stp/>
        <stp>BDP|1074769854369794873</stp>
        <tr r="V232" s="2"/>
      </tp>
      <tp t="s">
        <v>#N/A N/A</v>
        <stp/>
        <stp>BDP|3995413444715986473</stp>
        <tr r="L108" s="2"/>
      </tp>
      <tp t="s">
        <v>#N/A N/A</v>
        <stp/>
        <stp>BDP|2491585352206575682</stp>
        <tr r="U108" s="2"/>
      </tp>
      <tp t="s">
        <v>#N/A N/A</v>
        <stp/>
        <stp>BDP|1242357855093913688</stp>
        <tr r="AB222" s="2"/>
      </tp>
      <tp t="s">
        <v>#N/A N/A</v>
        <stp/>
        <stp>BDP|9571509794701270601</stp>
        <tr r="V40" s="2"/>
      </tp>
      <tp t="s">
        <v>#N/A N/A</v>
        <stp/>
        <stp>BDP|5146613773814394237</stp>
        <tr r="E34" s="2"/>
      </tp>
      <tp t="s">
        <v>#N/A N/A</v>
        <stp/>
        <stp>BDP|6524176547514336550</stp>
        <tr r="N156" s="2"/>
      </tp>
      <tp t="s">
        <v>#N/A N/A</v>
        <stp/>
        <stp>BDP|6663797620063439280</stp>
        <tr r="K83" s="2"/>
        <tr r="R83" s="2"/>
        <tr r="W83" s="2"/>
      </tp>
      <tp t="s">
        <v>#N/A N/A</v>
        <stp/>
        <stp>BDP|8298384681940813101</stp>
        <tr r="D207" s="2"/>
      </tp>
      <tp t="s">
        <v>#N/A N/A</v>
        <stp/>
        <stp>BDP|2968052870493913465</stp>
        <tr r="G176" s="2"/>
      </tp>
      <tp t="s">
        <v>#N/A N/A</v>
        <stp/>
        <stp>BDP|5805743303399914955</stp>
        <tr r="V70" s="2"/>
      </tp>
      <tp t="s">
        <v>#N/A N/A</v>
        <stp/>
        <stp>BDP|3975286344705488228</stp>
        <tr r="M190" s="2"/>
      </tp>
      <tp t="s">
        <v>#N/A N/A</v>
        <stp/>
        <stp>BDP|4852607331067924408</stp>
        <tr r="B218" s="2"/>
      </tp>
      <tp t="s">
        <v>#N/A N/A</v>
        <stp/>
        <stp>BDP|6468771520840734144</stp>
        <tr r="X206" s="2"/>
      </tp>
      <tp t="s">
        <v>#N/A N/A</v>
        <stp/>
        <stp>BDP|4849929224105873863</stp>
        <tr r="AA171" s="2"/>
      </tp>
      <tp t="s">
        <v>#N/A N/A</v>
        <stp/>
        <stp>BDP|5735939293531511624</stp>
        <tr r="O214" s="2"/>
      </tp>
      <tp t="s">
        <v>#N/A N/A</v>
        <stp/>
        <stp>BDP|5381686221023347097</stp>
        <tr r="K34" s="2"/>
        <tr r="R34" s="2"/>
        <tr r="W34" s="2"/>
      </tp>
      <tp t="s">
        <v>#N/A N/A</v>
        <stp/>
        <stp>BDP|2046533669611987236</stp>
        <tr r="X43" s="2"/>
      </tp>
      <tp t="s">
        <v>#N/A N/A</v>
        <stp/>
        <stp>BDP|1058331986501096957</stp>
        <tr r="U159" s="2"/>
      </tp>
      <tp t="s">
        <v>#N/A N/A</v>
        <stp/>
        <stp>BDP|3290141755696746345</stp>
        <tr r="AB193" s="2"/>
      </tp>
      <tp t="s">
        <v>#N/A N/A</v>
        <stp/>
        <stp>BDP|9275685889271099437</stp>
        <tr r="M94" s="2"/>
      </tp>
      <tp t="s">
        <v>#N/A N/A</v>
        <stp/>
        <stp>BDP|7573965168532265890</stp>
        <tr r="AD78" s="2"/>
      </tp>
      <tp t="s">
        <v>#N/A N/A</v>
        <stp/>
        <stp>BDP|1257593228436237214</stp>
        <tr r="Y157" s="2"/>
      </tp>
      <tp t="s">
        <v>#N/A N/A</v>
        <stp/>
        <stp>BDP|1255047079684690098</stp>
        <tr r="I135" s="2"/>
      </tp>
      <tp t="s">
        <v>#N/A N/A</v>
        <stp/>
        <stp>BDP|8282908961063629656</stp>
        <tr r="B230" s="2"/>
      </tp>
      <tp t="s">
        <v>#N/A N/A</v>
        <stp/>
        <stp>BDP|5580688471170443682</stp>
        <tr r="G82" s="2"/>
      </tp>
      <tp t="s">
        <v>#N/A N/A</v>
        <stp/>
        <stp>BDP|7391477122334338759</stp>
        <tr r="D177" s="2"/>
      </tp>
      <tp t="s">
        <v>#N/A N/A</v>
        <stp/>
        <stp>BDP|5492238540229647811</stp>
        <tr r="AC3" s="2"/>
      </tp>
      <tp t="s">
        <v>#N/A N/A</v>
        <stp/>
        <stp>BDP|9804682914098608424</stp>
        <tr r="P152" s="2"/>
      </tp>
      <tp t="s">
        <v>#N/A N/A</v>
        <stp/>
        <stp>BDP|3555956884314543412</stp>
        <tr r="X20" s="2"/>
      </tp>
      <tp t="s">
        <v>#N/A N/A</v>
        <stp/>
        <stp>BDP|9102485638224790876</stp>
        <tr r="S212" s="2"/>
      </tp>
      <tp t="s">
        <v>#N/A N/A</v>
        <stp/>
        <stp>BDP|3000343015836593559</stp>
        <tr r="C56" s="2"/>
      </tp>
      <tp t="s">
        <v>#N/A N/A</v>
        <stp/>
        <stp>BDP|9419206005929227027</stp>
        <tr r="N46" s="2"/>
      </tp>
      <tp t="s">
        <v>#N/A N/A</v>
        <stp/>
        <stp>BDP|5715386457286182786</stp>
        <tr r="P203" s="2"/>
      </tp>
      <tp t="s">
        <v>#N/A N/A</v>
        <stp/>
        <stp>BDP|6577899899243343672</stp>
        <tr r="U238" s="2"/>
      </tp>
      <tp t="s">
        <v>#N/A N/A</v>
        <stp/>
        <stp>BDP|9444698398350158450</stp>
        <tr r="O149" s="2"/>
      </tp>
      <tp t="s">
        <v>#N/A N/A</v>
        <stp/>
        <stp>BDP|8788582925595352887</stp>
        <tr r="T196" s="2"/>
      </tp>
      <tp t="s">
        <v>#N/A N/A</v>
        <stp/>
        <stp>BDP|1241853982766366579</stp>
        <tr r="Y165" s="2"/>
      </tp>
      <tp t="s">
        <v>#N/A N/A</v>
        <stp/>
        <stp>BDP|3770177729831008389</stp>
        <tr r="D204" s="2"/>
      </tp>
      <tp t="s">
        <v>#N/A N/A</v>
        <stp/>
        <stp>BDP|7121431904313784209</stp>
        <tr r="Y8" s="2"/>
      </tp>
      <tp t="s">
        <v>#N/A N/A</v>
        <stp/>
        <stp>BDP|5931776368012477430</stp>
        <tr r="AB143" s="2"/>
      </tp>
      <tp t="s">
        <v>#N/A N/A</v>
        <stp/>
        <stp>BDP|2824993170089424741</stp>
        <tr r="T95" s="2"/>
      </tp>
      <tp t="s">
        <v>#N/A N/A</v>
        <stp/>
        <stp>BDP|6255171414410449440</stp>
        <tr r="U27" s="2"/>
      </tp>
      <tp t="s">
        <v>#N/A N/A</v>
        <stp/>
        <stp>BDP|1397282357616580282</stp>
        <tr r="I226" s="2"/>
      </tp>
      <tp t="s">
        <v>#N/A N/A</v>
        <stp/>
        <stp>BDP|1282130561173578748</stp>
        <tr r="V215" s="2"/>
      </tp>
      <tp t="s">
        <v>#N/A N/A</v>
        <stp/>
        <stp>BDP|1159334570533656457</stp>
        <tr r="L132" s="2"/>
      </tp>
      <tp t="s">
        <v>#N/A N/A</v>
        <stp/>
        <stp>BDP|9668930901981564370</stp>
        <tr r="P112" s="2"/>
      </tp>
      <tp t="s">
        <v>#N/A N/A</v>
        <stp/>
        <stp>BDP|9906705478832224954</stp>
        <tr r="Y185" s="2"/>
      </tp>
      <tp t="s">
        <v>#N/A N/A</v>
        <stp/>
        <stp>BDP|6057780941937956062</stp>
        <tr r="U207" s="2"/>
      </tp>
      <tp t="s">
        <v>#N/A N/A</v>
        <stp/>
        <stp>BDP|7581891451761278992</stp>
        <tr r="D57" s="2"/>
      </tp>
      <tp t="s">
        <v>#N/A N/A</v>
        <stp/>
        <stp>BDP|9037828171686256274</stp>
        <tr r="M50" s="2"/>
      </tp>
      <tp t="s">
        <v>#N/A N/A</v>
        <stp/>
        <stp>BDP|5367717020425421706</stp>
        <tr r="H215" s="2"/>
      </tp>
      <tp t="s">
        <v>#N/A N/A</v>
        <stp/>
        <stp>BDP|1659303800515260524</stp>
        <tr r="V65" s="2"/>
      </tp>
      <tp t="s">
        <v>#N/A N/A</v>
        <stp/>
        <stp>BDP|9073739544099776168</stp>
        <tr r="G11" s="2"/>
      </tp>
      <tp t="s">
        <v>#N/A N/A</v>
        <stp/>
        <stp>BDP|4182445861680088422</stp>
        <tr r="O139" s="2"/>
      </tp>
      <tp t="s">
        <v>#N/A N/A</v>
        <stp/>
        <stp>BDP|9693881631350195082</stp>
        <tr r="X222" s="2"/>
      </tp>
      <tp t="s">
        <v>#N/A N/A</v>
        <stp/>
        <stp>BDP|3451757263801622128</stp>
        <tr r="K174" s="2"/>
        <tr r="R174" s="2"/>
        <tr r="W174" s="2"/>
      </tp>
      <tp t="s">
        <v>#N/A N/A</v>
        <stp/>
        <stp>BDP|1012306838036852562</stp>
        <tr r="E197" s="2"/>
      </tp>
      <tp t="s">
        <v>#N/A N/A</v>
        <stp/>
        <stp>BDP|3238528644824655445</stp>
        <tr r="N194" s="2"/>
      </tp>
      <tp t="s">
        <v>#N/A N/A</v>
        <stp/>
        <stp>BDP|7941050583289875412</stp>
        <tr r="U229" s="2"/>
      </tp>
      <tp t="s">
        <v>#N/A N/A</v>
        <stp/>
        <stp>BDP|3432703725065424130</stp>
        <tr r="G164" s="2"/>
      </tp>
      <tp t="s">
        <v>#N/A N/A</v>
        <stp/>
        <stp>BDP|1943427078639767926</stp>
        <tr r="AA110" s="2"/>
      </tp>
      <tp t="s">
        <v>#N/A N/A</v>
        <stp/>
        <stp>BDP|3397033461744209358</stp>
        <tr r="Y232" s="2"/>
      </tp>
      <tp t="s">
        <v>#N/A N/A</v>
        <stp/>
        <stp>BDP|8227207728609575393</stp>
        <tr r="S10" s="2"/>
      </tp>
      <tp t="s">
        <v>#N/A N/A</v>
        <stp/>
        <stp>BDP|6869529939356000444</stp>
        <tr r="E137" s="2"/>
      </tp>
      <tp t="s">
        <v>#N/A N/A</v>
        <stp/>
        <stp>BDP|6781170574272729040</stp>
        <tr r="S74" s="2"/>
      </tp>
      <tp t="s">
        <v>#N/A N/A</v>
        <stp/>
        <stp>BDP|5064472499563020998</stp>
        <tr r="N27" s="2"/>
      </tp>
      <tp t="s">
        <v>#N/A N/A</v>
        <stp/>
        <stp>BDP|8358832363893123756</stp>
        <tr r="S43" s="2"/>
      </tp>
      <tp t="s">
        <v>#N/A N/A</v>
        <stp/>
        <stp>BDP|9939191465958705450</stp>
        <tr r="S196" s="2"/>
      </tp>
      <tp t="s">
        <v>#N/A N/A</v>
        <stp/>
        <stp>BDP|2391541715693470712</stp>
        <tr r="L3" s="2"/>
      </tp>
      <tp t="s">
        <v>#N/A N/A</v>
        <stp/>
        <stp>BDP|2359192672472981460</stp>
        <tr r="T66" s="2"/>
      </tp>
      <tp t="s">
        <v>#N/A N/A</v>
        <stp/>
        <stp>BDP|7484701273555562050</stp>
        <tr r="F223" s="2"/>
      </tp>
      <tp t="s">
        <v>#N/A N/A</v>
        <stp/>
        <stp>BDP|9368042150069898781</stp>
        <tr r="E162" s="2"/>
      </tp>
      <tp t="s">
        <v>#N/A N/A</v>
        <stp/>
        <stp>BDP|2070548368786978523</stp>
        <tr r="L193" s="2"/>
      </tp>
      <tp t="s">
        <v>#N/A N/A</v>
        <stp/>
        <stp>BDP|5176811987693086406</stp>
        <tr r="K120" s="2"/>
        <tr r="R120" s="2"/>
        <tr r="W120" s="2"/>
      </tp>
      <tp t="s">
        <v>#N/A N/A</v>
        <stp/>
        <stp>BDP|6947098571787426427</stp>
        <tr r="Y64" s="2"/>
      </tp>
      <tp t="s">
        <v>#N/A N/A</v>
        <stp/>
        <stp>BDP|7117453809648997933</stp>
        <tr r="AA221" s="2"/>
      </tp>
      <tp t="s">
        <v>#N/A N/A</v>
        <stp/>
        <stp>BDP|3859075370420058684</stp>
        <tr r="I44" s="2"/>
      </tp>
      <tp t="s">
        <v>#N/A N/A</v>
        <stp/>
        <stp>BDP|7023605135685411565</stp>
        <tr r="G153" s="2"/>
      </tp>
      <tp t="s">
        <v>#N/A N/A</v>
        <stp/>
        <stp>BDP|5207108743715394752</stp>
        <tr r="Z85" s="2"/>
      </tp>
      <tp t="s">
        <v>#N/A N/A</v>
        <stp/>
        <stp>BDP|8443817434688455924</stp>
        <tr r="H127" s="2"/>
      </tp>
      <tp t="s">
        <v>#N/A N/A</v>
        <stp/>
        <stp>BDP|2658015330023609067</stp>
        <tr r="P167" s="2"/>
      </tp>
      <tp t="s">
        <v>#N/A N/A</v>
        <stp/>
        <stp>BDP|5433275175447338518</stp>
        <tr r="Z206" s="2"/>
      </tp>
      <tp t="s">
        <v>#N/A N/A</v>
        <stp/>
        <stp>BDP|8186487801666576897</stp>
        <tr r="V95" s="2"/>
      </tp>
      <tp t="s">
        <v>#N/A N/A</v>
        <stp/>
        <stp>BDP|2262929787414169525</stp>
        <tr r="AC212" s="2"/>
      </tp>
      <tp t="s">
        <v>#N/A N/A</v>
        <stp/>
        <stp>BDP|3672475665324222729</stp>
        <tr r="I82" s="2"/>
      </tp>
      <tp t="s">
        <v>#N/A N/A</v>
        <stp/>
        <stp>BDP|9515259740844095943</stp>
        <tr r="N210" s="2"/>
      </tp>
      <tp t="s">
        <v>#N/A N/A</v>
        <stp/>
        <stp>BDP|6590528362051289633</stp>
        <tr r="X126" s="2"/>
      </tp>
      <tp t="s">
        <v>#N/A N/A</v>
        <stp/>
        <stp>BDP|6292719326480903189</stp>
        <tr r="K41" s="2"/>
        <tr r="R41" s="2"/>
        <tr r="W41" s="2"/>
      </tp>
      <tp t="s">
        <v>#N/A N/A</v>
        <stp/>
        <stp>BDP|9480914107766645401</stp>
        <tr r="AE64" s="2"/>
      </tp>
      <tp t="s">
        <v>#N/A N/A</v>
        <stp/>
        <stp>BDP|7072885589691609437</stp>
        <tr r="AC209" s="2"/>
      </tp>
      <tp t="s">
        <v>#N/A N/A</v>
        <stp/>
        <stp>BDP|5499788719455389428</stp>
        <tr r="Z208" s="2"/>
      </tp>
      <tp t="s">
        <v>#N/A N/A</v>
        <stp/>
        <stp>BDP|3526574670120406323</stp>
        <tr r="C228" s="2"/>
      </tp>
      <tp t="s">
        <v>#N/A N/A</v>
        <stp/>
        <stp>BDP|6015149755795587500</stp>
        <tr r="E185" s="2"/>
      </tp>
      <tp t="s">
        <v>#N/A N/A</v>
        <stp/>
        <stp>BDP|7476964507769890584</stp>
        <tr r="K136" s="2"/>
        <tr r="R136" s="2"/>
        <tr r="W136" s="2"/>
      </tp>
      <tp t="s">
        <v>#N/A N/A</v>
        <stp/>
        <stp>BDP|7433148543607779712</stp>
        <tr r="G34" s="2"/>
      </tp>
      <tp t="s">
        <v>#N/A N/A</v>
        <stp/>
        <stp>BDP|7174119046219012936</stp>
        <tr r="S187" s="2"/>
      </tp>
      <tp t="s">
        <v>#N/A N/A</v>
        <stp/>
        <stp>BDP|9002668083667716274</stp>
        <tr r="F236" s="2"/>
      </tp>
      <tp t="s">
        <v>#N/A N/A</v>
        <stp/>
        <stp>BDP|7036311747684096636</stp>
        <tr r="AE48" s="2"/>
      </tp>
      <tp t="s">
        <v>#N/A N/A</v>
        <stp/>
        <stp>BDP|6353528754884999096</stp>
        <tr r="I13" s="2"/>
      </tp>
      <tp t="s">
        <v>#N/A N/A</v>
        <stp/>
        <stp>BDP|4536341880805727832</stp>
        <tr r="T141" s="2"/>
      </tp>
      <tp t="s">
        <v>#N/A N/A</v>
        <stp/>
        <stp>BDP|7819461076602595482</stp>
        <tr r="AD18" s="2"/>
      </tp>
      <tp t="s">
        <v>#N/A N/A</v>
        <stp/>
        <stp>BDP|9132236221202506938</stp>
        <tr r="Z22" s="2"/>
      </tp>
      <tp t="s">
        <v>#N/A N/A</v>
        <stp/>
        <stp>BDP|7945058119563843782</stp>
        <tr r="N223" s="2"/>
      </tp>
      <tp t="s">
        <v>#N/A N/A</v>
        <stp/>
        <stp>BDP|9941523590862625583</stp>
        <tr r="E206" s="2"/>
      </tp>
      <tp t="s">
        <v>#N/A N/A</v>
        <stp/>
        <stp>BDP|4603313040285550475</stp>
        <tr r="Y144" s="2"/>
      </tp>
      <tp t="s">
        <v>#N/A N/A</v>
        <stp/>
        <stp>BDP|1048650801426770367</stp>
        <tr r="S193" s="2"/>
      </tp>
      <tp t="s">
        <v>#N/A N/A</v>
        <stp/>
        <stp>BDP|8839324593727820742</stp>
        <tr r="M215" s="2"/>
      </tp>
      <tp t="s">
        <v>#N/A N/A</v>
        <stp/>
        <stp>BDP|9706164206192013824</stp>
        <tr r="C120" s="2"/>
      </tp>
      <tp t="s">
        <v>#N/A N/A</v>
        <stp/>
        <stp>BDP|8757166563624109967</stp>
        <tr r="T176" s="2"/>
      </tp>
      <tp t="s">
        <v>#N/A N/A</v>
        <stp/>
        <stp>BDP|3137193163045946371</stp>
        <tr r="D64" s="2"/>
      </tp>
      <tp t="s">
        <v>#N/A N/A</v>
        <stp/>
        <stp>BDP|7363003106575350030</stp>
        <tr r="X6" s="2"/>
      </tp>
      <tp t="s">
        <v>#N/A N/A</v>
        <stp/>
        <stp>BDP|3381457224105146393</stp>
        <tr r="D11" s="2"/>
      </tp>
      <tp t="s">
        <v>#N/A N/A</v>
        <stp/>
        <stp>BDP|1774639534640806721</stp>
        <tr r="L187" s="2"/>
      </tp>
      <tp t="s">
        <v>#N/A N/A</v>
        <stp/>
        <stp>BDP|4576009678059662912</stp>
        <tr r="AC77" s="2"/>
      </tp>
      <tp t="s">
        <v>#N/A N/A</v>
        <stp/>
        <stp>BDP|2162624035936869247</stp>
        <tr r="B240" s="2"/>
      </tp>
      <tp t="s">
        <v>#N/A N/A</v>
        <stp/>
        <stp>BDP|8482707311485840872</stp>
        <tr r="D163" s="2"/>
      </tp>
      <tp t="s">
        <v>#N/A N/A</v>
        <stp/>
        <stp>BDP|7212197750991344124</stp>
        <tr r="H93" s="2"/>
      </tp>
      <tp t="s">
        <v>#N/A N/A</v>
        <stp/>
        <stp>BDP|5604663102343996319</stp>
        <tr r="O175" s="2"/>
      </tp>
      <tp t="s">
        <v>#N/A N/A</v>
        <stp/>
        <stp>BDP|2702289736694774448</stp>
        <tr r="Z200" s="2"/>
      </tp>
      <tp t="s">
        <v>#N/A N/A</v>
        <stp/>
        <stp>BDP|6139061174256167486</stp>
        <tr r="AA203" s="2"/>
      </tp>
      <tp t="s">
        <v>#N/A N/A</v>
        <stp/>
        <stp>BDP|2528382873521204466</stp>
        <tr r="E60" s="2"/>
      </tp>
      <tp t="s">
        <v>#N/A N/A</v>
        <stp/>
        <stp>BDP|9417589981475279258</stp>
        <tr r="P198" s="2"/>
      </tp>
      <tp t="s">
        <v>#N/A N/A</v>
        <stp/>
        <stp>BDP|2152186307612272265</stp>
        <tr r="U82" s="2"/>
      </tp>
      <tp t="s">
        <v>#N/A N/A</v>
        <stp/>
        <stp>BDP|8931744971172452924</stp>
        <tr r="AD135" s="2"/>
      </tp>
      <tp t="s">
        <v>#N/A N/A</v>
        <stp/>
        <stp>BDP|1311078438046465729</stp>
        <tr r="V9" s="2"/>
      </tp>
      <tp t="s">
        <v>#N/A N/A</v>
        <stp/>
        <stp>BDP|8304337896433999243</stp>
        <tr r="M123" s="2"/>
      </tp>
      <tp t="s">
        <v>#N/A N/A</v>
        <stp/>
        <stp>BDP|7621116543636627799</stp>
        <tr r="V6" s="2"/>
      </tp>
      <tp t="s">
        <v>#N/A N/A</v>
        <stp/>
        <stp>BDP|6419112122570993656</stp>
        <tr r="F33" s="2"/>
      </tp>
      <tp t="s">
        <v>#N/A N/A</v>
        <stp/>
        <stp>BDP|1256772979401691313</stp>
        <tr r="Z202" s="2"/>
      </tp>
      <tp t="s">
        <v>#N/A N/A</v>
        <stp/>
        <stp>BDP|9391245185257030796</stp>
        <tr r="K89" s="2"/>
        <tr r="R89" s="2"/>
        <tr r="W89" s="2"/>
      </tp>
      <tp t="s">
        <v>#N/A N/A</v>
        <stp/>
        <stp>BDP|8459393817051295832</stp>
        <tr r="X105" s="2"/>
      </tp>
      <tp t="s">
        <v>#N/A N/A</v>
        <stp/>
        <stp>BDP|3967960887652399306</stp>
        <tr r="Y16" s="2"/>
      </tp>
      <tp t="s">
        <v>#N/A N/A</v>
        <stp/>
        <stp>BDP|3955036782618748041</stp>
        <tr r="H145" s="2"/>
      </tp>
      <tp t="s">
        <v>#N/A N/A</v>
        <stp/>
        <stp>BDP|4920607753536645277</stp>
        <tr r="H55" s="2"/>
      </tp>
      <tp t="s">
        <v>#N/A N/A</v>
        <stp/>
        <stp>BDP|4743627138034793619</stp>
        <tr r="AB140" s="2"/>
      </tp>
      <tp t="s">
        <v>#N/A N/A</v>
        <stp/>
        <stp>BDP|2936359860955104166</stp>
        <tr r="U19" s="2"/>
      </tp>
      <tp t="s">
        <v>#N/A N/A</v>
        <stp/>
        <stp>BDP|7178760829478468910</stp>
        <tr r="M216" s="2"/>
      </tp>
      <tp t="s">
        <v>#N/A N/A</v>
        <stp/>
        <stp>BDP|8187965958884488309</stp>
        <tr r="U116" s="2"/>
      </tp>
      <tp t="s">
        <v>#N/A N/A</v>
        <stp/>
        <stp>BDP|3864160991801516918</stp>
        <tr r="AD48" s="2"/>
      </tp>
      <tp t="s">
        <v>#N/A N/A</v>
        <stp/>
        <stp>BDP|7058307269960640176</stp>
        <tr r="B199" s="2"/>
      </tp>
      <tp t="s">
        <v>#N/A N/A</v>
        <stp/>
        <stp>BDP|2622799700733569523</stp>
        <tr r="AE42" s="2"/>
      </tp>
      <tp t="s">
        <v>#N/A N/A</v>
        <stp/>
        <stp>BDP|2387383814013550025</stp>
        <tr r="Z230" s="2"/>
      </tp>
      <tp t="s">
        <v>#N/A N/A</v>
        <stp/>
        <stp>BDP|4991711160787770173</stp>
        <tr r="AB195" s="2"/>
      </tp>
      <tp t="s">
        <v>#N/A N/A</v>
        <stp/>
        <stp>BDP|2082383233530209115</stp>
        <tr r="F40" s="2"/>
      </tp>
      <tp t="s">
        <v>#N/A N/A</v>
        <stp/>
        <stp>BDP|7667293045210512272</stp>
        <tr r="B17" s="2"/>
      </tp>
      <tp t="s">
        <v>#N/A N/A</v>
        <stp/>
        <stp>BDP|3996370336217896786</stp>
        <tr r="AD215" s="2"/>
      </tp>
      <tp t="s">
        <v>#N/A N/A</v>
        <stp/>
        <stp>BDP|8959955213914366748</stp>
        <tr r="X94" s="2"/>
      </tp>
      <tp t="s">
        <v>#N/A N/A</v>
        <stp/>
        <stp>BDP|2427927458718364552</stp>
        <tr r="Y141" s="2"/>
      </tp>
      <tp t="s">
        <v>#N/A N/A</v>
        <stp/>
        <stp>BDP|7417658879537350220</stp>
        <tr r="N31" s="2"/>
      </tp>
      <tp t="s">
        <v>#N/A N/A</v>
        <stp/>
        <stp>BDP|7925512897561296945</stp>
        <tr r="H124" s="2"/>
      </tp>
      <tp t="s">
        <v>#N/A N/A</v>
        <stp/>
        <stp>BDP|8832206617551097963</stp>
        <tr r="AC168" s="2"/>
      </tp>
      <tp t="s">
        <v>#N/A N/A</v>
        <stp/>
        <stp>BDP|7116036373513915019</stp>
        <tr r="Y127" s="2"/>
      </tp>
      <tp t="s">
        <v>#N/A N/A</v>
        <stp/>
        <stp>BDP|9129303588854865585</stp>
        <tr r="O126" s="2"/>
      </tp>
      <tp t="s">
        <v>#N/A N/A</v>
        <stp/>
        <stp>BDP|7263300214734670299</stp>
        <tr r="AC84" s="2"/>
      </tp>
      <tp t="s">
        <v>#N/A N/A</v>
        <stp/>
        <stp>BDP|6594251775695451584</stp>
        <tr r="S2" s="2"/>
      </tp>
      <tp t="s">
        <v>#N/A N/A</v>
        <stp/>
        <stp>BDP|1435488743526592439</stp>
        <tr r="N68" s="2"/>
      </tp>
      <tp t="s">
        <v>#N/A N/A</v>
        <stp/>
        <stp>BDP|4078433011291806336</stp>
        <tr r="L28" s="2"/>
      </tp>
      <tp t="s">
        <v>#N/A N/A</v>
        <stp/>
        <stp>BDP|6372012508161558461</stp>
        <tr r="E73" s="2"/>
      </tp>
      <tp t="s">
        <v>#N/A N/A</v>
        <stp/>
        <stp>BDP|6723047301527807233</stp>
        <tr r="C44" s="2"/>
      </tp>
      <tp t="s">
        <v>#N/A N/A</v>
        <stp/>
        <stp>BDP|6562902262369807364</stp>
        <tr r="S17" s="2"/>
      </tp>
      <tp t="s">
        <v>#N/A N/A</v>
        <stp/>
        <stp>BDP|4246186906274224271</stp>
        <tr r="AA36" s="2"/>
      </tp>
      <tp t="s">
        <v>#N/A N/A</v>
        <stp/>
        <stp>BDP|6616762901687953512</stp>
        <tr r="AA229" s="2"/>
      </tp>
      <tp t="s">
        <v>#N/A N/A</v>
        <stp/>
        <stp>BDP|4031717524695534795</stp>
        <tr r="AC233" s="2"/>
      </tp>
      <tp t="s">
        <v>#N/A N/A</v>
        <stp/>
        <stp>BDP|6046699660007687262</stp>
        <tr r="F136" s="2"/>
      </tp>
      <tp t="s">
        <v>#N/A N/A</v>
        <stp/>
        <stp>BDP|8877636755008727004</stp>
        <tr r="L11" s="2"/>
      </tp>
      <tp t="s">
        <v>#N/A N/A</v>
        <stp/>
        <stp>BDP|6514276521901556482</stp>
        <tr r="AA185" s="2"/>
      </tp>
      <tp t="s">
        <v>#N/A N/A</v>
        <stp/>
        <stp>BDP|9760009317312744990</stp>
        <tr r="Q95" s="2"/>
      </tp>
      <tp t="s">
        <v>#N/A N/A</v>
        <stp/>
        <stp>BDP|6400370614495158289</stp>
        <tr r="Y132" s="2"/>
      </tp>
      <tp t="s">
        <v>#N/A N/A</v>
        <stp/>
        <stp>BDP|9366996072924642000</stp>
        <tr r="L184" s="2"/>
      </tp>
      <tp t="s">
        <v>#N/A N/A</v>
        <stp/>
        <stp>BDP|6682250188759433610</stp>
        <tr r="L145" s="2"/>
      </tp>
      <tp t="s">
        <v>#N/A N/A</v>
        <stp/>
        <stp>BDP|8953408693544237265</stp>
        <tr r="O12" s="2"/>
      </tp>
      <tp t="s">
        <v>#N/A N/A</v>
        <stp/>
        <stp>BDP|6698537274694893370</stp>
        <tr r="D84" s="2"/>
      </tp>
      <tp t="s">
        <v>#N/A N/A</v>
        <stp/>
        <stp>BDP|6151260387856688986</stp>
        <tr r="E230" s="2"/>
      </tp>
      <tp t="s">
        <v>#N/A N/A</v>
        <stp/>
        <stp>BDP|3961216973296634333</stp>
        <tr r="Q198" s="2"/>
      </tp>
      <tp t="s">
        <v>#N/A N/A</v>
        <stp/>
        <stp>BDP|4004543327518842854</stp>
        <tr r="AD223" s="2"/>
      </tp>
      <tp t="s">
        <v>#N/A N/A</v>
        <stp/>
        <stp>BDP|5171029863031606188</stp>
        <tr r="T145" s="2"/>
      </tp>
      <tp t="s">
        <v>#N/A N/A</v>
        <stp/>
        <stp>BDP|8008997807051666378</stp>
        <tr r="Z24" s="2"/>
      </tp>
      <tp t="s">
        <v>#N/A N/A</v>
        <stp/>
        <stp>BDP|6574892286841373462</stp>
        <tr r="N35" s="2"/>
      </tp>
      <tp t="s">
        <v>#N/A N/A</v>
        <stp/>
        <stp>BDP|7034010820810903670</stp>
        <tr r="AE31" s="2"/>
      </tp>
      <tp t="s">
        <v>#N/A N/A</v>
        <stp/>
        <stp>BDP|4185982488781824760</stp>
        <tr r="H199" s="2"/>
      </tp>
      <tp t="s">
        <v>#N/A N/A</v>
        <stp/>
        <stp>BDP|4487010642442042186</stp>
        <tr r="C211" s="2"/>
      </tp>
      <tp t="s">
        <v>#N/A N/A</v>
        <stp/>
        <stp>BDP|9378588317338434671</stp>
        <tr r="K196" s="2"/>
        <tr r="R196" s="2"/>
        <tr r="W196" s="2"/>
      </tp>
      <tp t="s">
        <v>#N/A N/A</v>
        <stp/>
        <stp>BDP|9966581844383226884</stp>
        <tr r="AD33" s="2"/>
      </tp>
      <tp t="s">
        <v>#N/A N/A</v>
        <stp/>
        <stp>BDP|6871371647190728201</stp>
        <tr r="T218" s="2"/>
      </tp>
      <tp t="s">
        <v>#N/A N/A</v>
        <stp/>
        <stp>BDP|9564211835452855960</stp>
        <tr r="AE68" s="2"/>
      </tp>
      <tp t="s">
        <v>#N/A N/A</v>
        <stp/>
        <stp>BDP|6494524824572737093</stp>
        <tr r="G143" s="2"/>
      </tp>
      <tp t="s">
        <v>#N/A N/A</v>
        <stp/>
        <stp>BDP|7900389914075920307</stp>
        <tr r="AD25" s="2"/>
      </tp>
      <tp t="s">
        <v>#N/A N/A</v>
        <stp/>
        <stp>BDP|5014241928864172213</stp>
        <tr r="AE155" s="2"/>
      </tp>
      <tp t="s">
        <v>#N/A N/A</v>
        <stp/>
        <stp>BDP|8730941938358460939</stp>
        <tr r="H74" s="2"/>
      </tp>
      <tp t="s">
        <v>#N/A N/A</v>
        <stp/>
        <stp>BDP|3117279946755423383</stp>
        <tr r="E191" s="2"/>
      </tp>
      <tp t="s">
        <v>#N/A N/A</v>
        <stp/>
        <stp>BDP|4259585966574354030</stp>
        <tr r="N63" s="2"/>
      </tp>
      <tp t="s">
        <v>#N/A N/A</v>
        <stp/>
        <stp>BDP|2610138488909665175</stp>
        <tr r="L41" s="2"/>
      </tp>
      <tp t="s">
        <v>#N/A N/A</v>
        <stp/>
        <stp>BDP|6542948692431699494</stp>
        <tr r="T179" s="2"/>
      </tp>
      <tp t="s">
        <v>#N/A N/A</v>
        <stp/>
        <stp>BDP|7010524201339814873</stp>
        <tr r="U191" s="2"/>
      </tp>
      <tp t="s">
        <v>#N/A N/A</v>
        <stp/>
        <stp>BDP|5826564614804497620</stp>
        <tr r="K35" s="2"/>
        <tr r="R35" s="2"/>
        <tr r="W35" s="2"/>
      </tp>
      <tp t="s">
        <v>#N/A N/A</v>
        <stp/>
        <stp>BDP|2893735561605050577</stp>
        <tr r="E178" s="2"/>
      </tp>
      <tp t="s">
        <v>#N/A N/A</v>
        <stp/>
        <stp>BDP|8231982350665281254</stp>
        <tr r="AE231" s="2"/>
      </tp>
      <tp t="s">
        <v>#N/A N/A</v>
        <stp/>
        <stp>BDP|4613764429396598414</stp>
        <tr r="U161" s="2"/>
      </tp>
      <tp t="s">
        <v>#N/A N/A</v>
        <stp/>
        <stp>BDP|7460664151316636189</stp>
        <tr r="C92" s="2"/>
      </tp>
      <tp t="s">
        <v>#N/A N/A</v>
        <stp/>
        <stp>BDP|5437553405791859219</stp>
        <tr r="G79" s="2"/>
      </tp>
      <tp t="s">
        <v>#N/A N/A</v>
        <stp/>
        <stp>BDP|2951822522189148258</stp>
        <tr r="L191" s="2"/>
      </tp>
      <tp t="s">
        <v>#N/A N/A</v>
        <stp/>
        <stp>BDP|4375434818387081552</stp>
        <tr r="Y177" s="2"/>
      </tp>
      <tp t="s">
        <v>#N/A N/A</v>
        <stp/>
        <stp>BDP|3089097832541714217</stp>
        <tr r="I9" s="2"/>
      </tp>
      <tp t="s">
        <v>#N/A N/A</v>
        <stp/>
        <stp>BDP|2876048911520045000</stp>
        <tr r="AE178" s="2"/>
      </tp>
      <tp t="s">
        <v>#N/A N/A</v>
        <stp/>
        <stp>BDP|5628357269657109462</stp>
        <tr r="V31" s="2"/>
      </tp>
      <tp t="s">
        <v>#N/A N/A</v>
        <stp/>
        <stp>BDP|3667390870076035224</stp>
        <tr r="S45" s="2"/>
      </tp>
      <tp t="s">
        <v>#N/A N/A</v>
        <stp/>
        <stp>BDP|8354954052740958703</stp>
        <tr r="K133" s="2"/>
        <tr r="R133" s="2"/>
        <tr r="W133" s="2"/>
      </tp>
      <tp t="s">
        <v>#N/A N/A</v>
        <stp/>
        <stp>BDP|7555610821587137791</stp>
        <tr r="AC179" s="2"/>
      </tp>
      <tp t="s">
        <v>#N/A N/A</v>
        <stp/>
        <stp>BDP|8632239627952921965</stp>
        <tr r="D12" s="2"/>
      </tp>
      <tp t="s">
        <v>#N/A N/A</v>
        <stp/>
        <stp>BDP|3704637398379332621</stp>
        <tr r="X36" s="2"/>
      </tp>
      <tp t="s">
        <v>#N/A N/A</v>
        <stp/>
        <stp>BDP|1331658871363180048</stp>
        <tr r="M36" s="2"/>
      </tp>
      <tp t="s">
        <v>#N/A N/A</v>
        <stp/>
        <stp>BDP|1336247599788891140</stp>
        <tr r="N111" s="2"/>
      </tp>
      <tp t="s">
        <v>#N/A N/A</v>
        <stp/>
        <stp>BDP|1134686547226483682</stp>
        <tr r="Y234" s="2"/>
      </tp>
      <tp t="s">
        <v>#N/A N/A</v>
        <stp/>
        <stp>BDP|5888203342729821903</stp>
        <tr r="T61" s="2"/>
      </tp>
      <tp t="s">
        <v>#N/A N/A</v>
        <stp/>
        <stp>BDP|9755304284971645070</stp>
        <tr r="H209" s="2"/>
      </tp>
      <tp t="s">
        <v>#N/A N/A</v>
        <stp/>
        <stp>BDP|6524456346605251064</stp>
        <tr r="V51" s="2"/>
      </tp>
      <tp t="s">
        <v>#N/A N/A</v>
        <stp/>
        <stp>BDP|4639746751722951784</stp>
        <tr r="AE6" s="2"/>
      </tp>
      <tp t="s">
        <v>#N/A N/A</v>
        <stp/>
        <stp>BDP|7731715765266122304</stp>
        <tr r="H56" s="2"/>
      </tp>
      <tp t="s">
        <v>#N/A N/A</v>
        <stp/>
        <stp>BDP|5607111481259276661</stp>
        <tr r="K65" s="2"/>
        <tr r="R65" s="2"/>
        <tr r="W65" s="2"/>
      </tp>
      <tp t="s">
        <v>#N/A N/A</v>
        <stp/>
        <stp>BDP|2638644050845239728</stp>
        <tr r="T142" s="2"/>
      </tp>
      <tp t="s">
        <v>#N/A N/A</v>
        <stp/>
        <stp>BDP|8336600553630608841</stp>
        <tr r="X215" s="2"/>
      </tp>
      <tp t="s">
        <v>#N/A N/A</v>
        <stp/>
        <stp>BDP|6490571182908245012</stp>
        <tr r="U162" s="2"/>
      </tp>
      <tp t="s">
        <v>#N/A N/A</v>
        <stp/>
        <stp>BDP|7053031532702209514</stp>
        <tr r="AC155" s="2"/>
      </tp>
      <tp t="s">
        <v>#N/A N/A</v>
        <stp/>
        <stp>BDP|7498364853152635059</stp>
        <tr r="D52" s="2"/>
      </tp>
      <tp t="s">
        <v>#N/A N/A</v>
        <stp/>
        <stp>BDP|7127944270039667316</stp>
        <tr r="B87" s="2"/>
      </tp>
      <tp t="s">
        <v>#N/A N/A</v>
        <stp/>
        <stp>BDP|7559666971677545248</stp>
        <tr r="M192" s="2"/>
      </tp>
      <tp t="s">
        <v>#N/A N/A</v>
        <stp/>
        <stp>BDP|5114760017927268717</stp>
        <tr r="E83" s="2"/>
      </tp>
      <tp t="s">
        <v>#N/A N/A</v>
        <stp/>
        <stp>BDP|1360978695041264300</stp>
        <tr r="O200" s="2"/>
      </tp>
      <tp t="s">
        <v>#N/A N/A</v>
        <stp/>
        <stp>BDP|3344019532925305609</stp>
        <tr r="AD39" s="2"/>
      </tp>
      <tp t="s">
        <v>#N/A N/A</v>
        <stp/>
        <stp>BDP|6773129160062296048</stp>
        <tr r="B137" s="2"/>
      </tp>
      <tp t="s">
        <v>#N/A N/A</v>
        <stp/>
        <stp>BDP|2708831897726777670</stp>
        <tr r="AE142" s="2"/>
      </tp>
      <tp t="s">
        <v>#N/A N/A</v>
        <stp/>
        <stp>BDP|7346377047314535752</stp>
        <tr r="M103" s="2"/>
      </tp>
      <tp t="s">
        <v>#N/A N/A</v>
        <stp/>
        <stp>BDP|3333650410192660534</stp>
        <tr r="AB64" s="2"/>
      </tp>
      <tp t="s">
        <v>#N/A N/A</v>
        <stp/>
        <stp>BDP|3791702825626053318</stp>
        <tr r="U226" s="2"/>
      </tp>
      <tp t="s">
        <v>#N/A N/A</v>
        <stp/>
        <stp>BDP|9958935248834136308</stp>
        <tr r="P183" s="2"/>
      </tp>
      <tp t="s">
        <v>#N/A N/A</v>
        <stp/>
        <stp>BDP|1310355107778271901</stp>
        <tr r="T231" s="2"/>
      </tp>
      <tp t="s">
        <v>#N/A N/A</v>
        <stp/>
        <stp>BDP|1492441513821565652</stp>
        <tr r="X90" s="2"/>
      </tp>
      <tp t="s">
        <v>#N/A N/A</v>
        <stp/>
        <stp>BDP|5806417159703459471</stp>
        <tr r="AC184" s="2"/>
      </tp>
      <tp t="s">
        <v>#N/A N/A</v>
        <stp/>
        <stp>BDP|7424130203020246551</stp>
        <tr r="S11" s="2"/>
      </tp>
      <tp t="s">
        <v>#N/A N/A</v>
        <stp/>
        <stp>BDP|3548621221033445716</stp>
        <tr r="L12" s="2"/>
      </tp>
      <tp t="s">
        <v>#N/A N/A</v>
        <stp/>
        <stp>BDP|9493654510274283901</stp>
        <tr r="M164" s="2"/>
      </tp>
      <tp t="s">
        <v>#N/A N/A</v>
        <stp/>
        <stp>BDP|3182219726587664734</stp>
        <tr r="Y86" s="2"/>
      </tp>
      <tp t="s">
        <v>#N/A N/A</v>
        <stp/>
        <stp>BDP|7183618762494449069</stp>
        <tr r="H103" s="2"/>
      </tp>
      <tp t="s">
        <v>#N/A N/A</v>
        <stp/>
        <stp>BDP|5595610544564639066</stp>
        <tr r="H28" s="2"/>
      </tp>
      <tp t="s">
        <v>#N/A N/A</v>
        <stp/>
        <stp>BDP|9087643281274003051</stp>
        <tr r="U40" s="2"/>
      </tp>
      <tp t="s">
        <v>#N/A N/A</v>
        <stp/>
        <stp>BDP|3867230244885752383</stp>
        <tr r="AB25" s="2"/>
      </tp>
      <tp t="s">
        <v>#N/A N/A</v>
        <stp/>
        <stp>BDP|3226558047922391331</stp>
        <tr r="V45" s="2"/>
      </tp>
      <tp t="s">
        <v>#N/A N/A</v>
        <stp/>
        <stp>BDP|4192447099399434385</stp>
        <tr r="P17" s="2"/>
      </tp>
      <tp t="s">
        <v>#N/A N/A</v>
        <stp/>
        <stp>BDP|2681686599199361744</stp>
        <tr r="G13" s="2"/>
      </tp>
      <tp t="s">
        <v>#N/A N/A</v>
        <stp/>
        <stp>BDP|7269439408352062295</stp>
        <tr r="Q78" s="2"/>
      </tp>
      <tp t="s">
        <v>#N/A N/A</v>
        <stp/>
        <stp>BDP|3278766545332599149</stp>
        <tr r="B78" s="2"/>
      </tp>
      <tp t="s">
        <v>#N/A N/A</v>
        <stp/>
        <stp>BDP|6746044115336434224</stp>
        <tr r="I176" s="2"/>
      </tp>
      <tp t="s">
        <v>#N/A N/A</v>
        <stp/>
        <stp>BDP|8994615888826277327</stp>
        <tr r="S176" s="2"/>
      </tp>
      <tp t="s">
        <v>#N/A N/A</v>
        <stp/>
        <stp>BDP|4450260341361269016</stp>
        <tr r="AD171" s="2"/>
      </tp>
      <tp t="s">
        <v>#N/A N/A</v>
        <stp/>
        <stp>BDP|9406832026075386533</stp>
        <tr r="Q210" s="2"/>
      </tp>
      <tp t="s">
        <v>#N/A N/A</v>
        <stp/>
        <stp>BDP|9455252350358777578</stp>
        <tr r="Q230" s="2"/>
      </tp>
      <tp t="s">
        <v>#N/A N/A</v>
        <stp/>
        <stp>BDP|4230201452493290334</stp>
        <tr r="D173" s="2"/>
      </tp>
      <tp t="s">
        <v>#N/A N/A</v>
        <stp/>
        <stp>BDP|3087814970156862980</stp>
        <tr r="G55" s="2"/>
      </tp>
      <tp t="s">
        <v>#N/A N/A</v>
        <stp/>
        <stp>BDP|6774718709653773193</stp>
        <tr r="P127" s="2"/>
      </tp>
      <tp t="s">
        <v>#N/A N/A</v>
        <stp/>
        <stp>BDP|9824236257179496491</stp>
        <tr r="AE166" s="2"/>
      </tp>
      <tp t="s">
        <v>#N/A N/A</v>
        <stp/>
        <stp>BDP|7296315107532157543</stp>
        <tr r="I152" s="2"/>
      </tp>
      <tp t="s">
        <v>#N/A N/A</v>
        <stp/>
        <stp>BDP|6738494803065484481</stp>
        <tr r="AE199" s="2"/>
      </tp>
      <tp t="s">
        <v>#N/A N/A</v>
        <stp/>
        <stp>BDP|2757731364578300820</stp>
        <tr r="C238" s="2"/>
      </tp>
      <tp t="s">
        <v>#N/A N/A</v>
        <stp/>
        <stp>BDP|6119584928813782175</stp>
        <tr r="P149" s="2"/>
      </tp>
      <tp t="s">
        <v>#N/A N/A</v>
        <stp/>
        <stp>BDP|7845706296582920866</stp>
        <tr r="X153" s="2"/>
      </tp>
      <tp t="s">
        <v>#N/A N/A</v>
        <stp/>
        <stp>BDP|1642512510542585439</stp>
        <tr r="H146" s="2"/>
      </tp>
      <tp t="s">
        <v>#N/A N/A</v>
        <stp/>
        <stp>BDP|4135821684536025160</stp>
        <tr r="E124" s="2"/>
      </tp>
      <tp t="s">
        <v>#N/A N/A</v>
        <stp/>
        <stp>BDP|5402423162152545603</stp>
        <tr r="AA85" s="2"/>
      </tp>
      <tp t="s">
        <v>#N/A N/A</v>
        <stp/>
        <stp>BDP|7120134253520620065</stp>
        <tr r="E128" s="2"/>
      </tp>
      <tp t="s">
        <v>#N/A N/A</v>
        <stp/>
        <stp>BDP|9296978468391514495</stp>
        <tr r="G220" s="2"/>
      </tp>
      <tp t="s">
        <v>#N/A N/A</v>
        <stp/>
        <stp>BDP|3637221826103277312</stp>
        <tr r="E4" s="2"/>
      </tp>
      <tp t="s">
        <v>#N/A N/A</v>
        <stp/>
        <stp>BDP|1275638113457701232</stp>
        <tr r="V90" s="2"/>
      </tp>
      <tp t="s">
        <v>#N/A N/A</v>
        <stp/>
        <stp>BDP|6266136173256329579</stp>
        <tr r="T67" s="2"/>
      </tp>
      <tp t="s">
        <v>#N/A N/A</v>
        <stp/>
        <stp>BDP|7142581249667787217</stp>
        <tr r="AD131" s="2"/>
      </tp>
      <tp t="s">
        <v>#N/A N/A</v>
        <stp/>
        <stp>BDP|2709422196265564907</stp>
        <tr r="N86" s="2"/>
      </tp>
      <tp t="s">
        <v>#N/A N/A</v>
        <stp/>
        <stp>BDP|3556337201050746364</stp>
        <tr r="M207" s="2"/>
      </tp>
      <tp t="s">
        <v>#N/A N/A</v>
        <stp/>
        <stp>BDP|9772453563221424936</stp>
        <tr r="AE228" s="2"/>
      </tp>
      <tp t="s">
        <v>#N/A N/A</v>
        <stp/>
        <stp>BDP|8651287954058872447</stp>
        <tr r="Y134" s="2"/>
      </tp>
      <tp t="s">
        <v>#N/A N/A</v>
        <stp/>
        <stp>BDP|6175016201816642318</stp>
        <tr r="L85" s="2"/>
      </tp>
      <tp t="s">
        <v>#N/A N/A</v>
        <stp/>
        <stp>BDP|6124530915022341323</stp>
        <tr r="Q98" s="2"/>
      </tp>
      <tp t="s">
        <v>#N/A N/A</v>
        <stp/>
        <stp>BDP|1640679745688122821</stp>
        <tr r="O161" s="2"/>
      </tp>
      <tp t="s">
        <v>#N/A N/A</v>
        <stp/>
        <stp>BDP|9083457423455971987</stp>
        <tr r="S102" s="2"/>
      </tp>
      <tp t="s">
        <v>#N/A N/A</v>
        <stp/>
        <stp>BDP|4388447108346932515</stp>
        <tr r="L126" s="2"/>
      </tp>
      <tp t="s">
        <v>#N/A N/A</v>
        <stp/>
        <stp>BDP|5220686621690906258</stp>
        <tr r="C106" s="2"/>
      </tp>
      <tp t="s">
        <v>#N/A N/A</v>
        <stp/>
        <stp>BDP|7484343454454637650</stp>
        <tr r="S69" s="2"/>
      </tp>
      <tp t="s">
        <v>#N/A N/A</v>
        <stp/>
        <stp>BDP|9743335286153146248</stp>
        <tr r="U165" s="2"/>
      </tp>
      <tp t="s">
        <v>#N/A N/A</v>
        <stp/>
        <stp>BDP|5644823694925662216</stp>
        <tr r="L13" s="2"/>
      </tp>
      <tp t="s">
        <v>#N/A N/A</v>
        <stp/>
        <stp>BDP|3987417947749904919</stp>
        <tr r="AD229" s="2"/>
      </tp>
      <tp t="s">
        <v>#N/A N/A</v>
        <stp/>
        <stp>BDP|6252606061146758337</stp>
        <tr r="G8" s="2"/>
      </tp>
      <tp t="s">
        <v>#N/A N/A</v>
        <stp/>
        <stp>BDP|3128961896909488921</stp>
        <tr r="E27" s="2"/>
      </tp>
      <tp t="s">
        <v>#N/A N/A</v>
        <stp/>
        <stp>BDP|1928382121533528022</stp>
        <tr r="G189" s="2"/>
      </tp>
      <tp t="s">
        <v>#N/A N/A</v>
        <stp/>
        <stp>BDP|9410258210679498023</stp>
        <tr r="P55" s="2"/>
      </tp>
      <tp t="s">
        <v>#N/A N/A</v>
        <stp/>
        <stp>BDP|7611963365113763851</stp>
        <tr r="L218" s="2"/>
      </tp>
      <tp t="s">
        <v>#N/A N/A</v>
        <stp/>
        <stp>BDP|3600620853707682468</stp>
        <tr r="D141" s="2"/>
      </tp>
      <tp t="s">
        <v>#N/A N/A</v>
        <stp/>
        <stp>BDP|4384016730867279377</stp>
        <tr r="H138" s="2"/>
      </tp>
      <tp t="s">
        <v>#N/A N/A</v>
        <stp/>
        <stp>BDP|6760247779089935944</stp>
        <tr r="H37" s="2"/>
      </tp>
      <tp t="s">
        <v>#N/A N/A</v>
        <stp/>
        <stp>BDP|3264335978996869256</stp>
        <tr r="H213" s="2"/>
      </tp>
      <tp t="s">
        <v>#N/A N/A</v>
        <stp/>
        <stp>BDP|4194234707702410756</stp>
        <tr r="E212" s="2"/>
      </tp>
      <tp t="s">
        <v>#N/A N/A</v>
        <stp/>
        <stp>BDP|2221063371891323726</stp>
        <tr r="I102" s="2"/>
      </tp>
      <tp t="s">
        <v>#N/A N/A</v>
        <stp/>
        <stp>BDP|9147986345672099580</stp>
        <tr r="AD172" s="2"/>
      </tp>
      <tp t="s">
        <v>#N/A N/A</v>
        <stp/>
        <stp>BDP|6787383134090629595</stp>
        <tr r="AE205" s="2"/>
      </tp>
      <tp t="s">
        <v>#N/A N/A</v>
        <stp/>
        <stp>BDP|7770701777875292166</stp>
        <tr r="AB194" s="2"/>
      </tp>
      <tp t="s">
        <v>#N/A N/A</v>
        <stp/>
        <stp>BDP|6349482444174350181</stp>
        <tr r="T17" s="2"/>
      </tp>
      <tp t="s">
        <v>#N/A N/A</v>
        <stp/>
        <stp>BDP|6255800366298124317</stp>
        <tr r="L178" s="2"/>
      </tp>
      <tp t="s">
        <v>#N/A N/A</v>
        <stp/>
        <stp>BDP|3025333447311564650</stp>
        <tr r="T109" s="2"/>
      </tp>
      <tp t="s">
        <v>#N/A N/A</v>
        <stp/>
        <stp>BDP|6839786145315328323</stp>
        <tr r="N57" s="2"/>
      </tp>
      <tp t="s">
        <v>#N/A N/A</v>
        <stp/>
        <stp>BDP|5758987368119775043</stp>
        <tr r="O226" s="2"/>
      </tp>
      <tp t="s">
        <v>#N/A N/A</v>
        <stp/>
        <stp>BDP|2484591440475971513</stp>
        <tr r="AE162" s="2"/>
      </tp>
      <tp t="s">
        <v>#N/A N/A</v>
        <stp/>
        <stp>BDP|6195231161234246547</stp>
        <tr r="S54" s="2"/>
      </tp>
      <tp t="s">
        <v>#N/A N/A</v>
        <stp/>
        <stp>BDP|2169536569586844469</stp>
        <tr r="E82" s="2"/>
      </tp>
      <tp t="s">
        <v>#N/A N/A</v>
        <stp/>
        <stp>BDP|2322667748943910016</stp>
        <tr r="H115" s="2"/>
      </tp>
      <tp t="s">
        <v>#N/A N/A</v>
        <stp/>
        <stp>BDP|8606205691041568178</stp>
        <tr r="AD6" s="2"/>
      </tp>
      <tp t="s">
        <v>#N/A N/A</v>
        <stp/>
        <stp>BDP|4761039529360856505</stp>
        <tr r="M173" s="2"/>
      </tp>
      <tp t="s">
        <v>#N/A N/A</v>
        <stp/>
        <stp>BDP|7058774865075187065</stp>
        <tr r="D20" s="2"/>
      </tp>
      <tp t="s">
        <v>#N/A N/A</v>
        <stp/>
        <stp>BDP|5516524801322704148</stp>
        <tr r="U4" s="2"/>
      </tp>
      <tp t="s">
        <v>#N/A N/A</v>
        <stp/>
        <stp>BDP|2237169123417062529</stp>
        <tr r="D108" s="2"/>
      </tp>
      <tp t="s">
        <v>#N/A N/A</v>
        <stp/>
        <stp>BDP|5748558605794537778</stp>
        <tr r="O9" s="2"/>
      </tp>
      <tp t="s">
        <v>#N/A N/A</v>
        <stp/>
        <stp>BDP|5275242291734778955</stp>
        <tr r="X128" s="2"/>
      </tp>
      <tp t="s">
        <v>#N/A N/A</v>
        <stp/>
        <stp>BDP|3272087229250316250</stp>
        <tr r="F109" s="2"/>
      </tp>
      <tp t="s">
        <v>#N/A N/A</v>
        <stp/>
        <stp>BDP|9550772999127806364</stp>
        <tr r="AC214" s="2"/>
      </tp>
      <tp t="s">
        <v>#N/A N/A</v>
        <stp/>
        <stp>BDP|9256794599470171466</stp>
        <tr r="F163" s="2"/>
      </tp>
      <tp t="s">
        <v>#N/A N/A</v>
        <stp/>
        <stp>BDP|4618801173841154919</stp>
        <tr r="V5" s="2"/>
      </tp>
      <tp t="s">
        <v>#N/A N/A</v>
        <stp/>
        <stp>BDP|7022766811117454567</stp>
        <tr r="AD88" s="2"/>
      </tp>
      <tp t="s">
        <v>#N/A N/A</v>
        <stp/>
        <stp>BDP|7149784758314360273</stp>
        <tr r="AC198" s="2"/>
      </tp>
      <tp t="s">
        <v>#N/A N/A</v>
        <stp/>
        <stp>BDP|92529439848646773</stp>
        <tr r="K240" s="2"/>
        <tr r="R240" s="2"/>
        <tr r="W240" s="2"/>
      </tp>
      <tp t="s">
        <v>#N/A N/A</v>
        <stp/>
        <stp>BDP|39416993455830070</stp>
        <tr r="U105" s="2"/>
      </tp>
      <tp t="s">
        <v>#N/A N/A</v>
        <stp/>
        <stp>BDP|61037739499417067</stp>
        <tr r="G122" s="2"/>
      </tp>
      <tp t="s">
        <v>#N/A N/A</v>
        <stp/>
        <stp>BDP|10551986207259711</stp>
        <tr r="G216" s="2"/>
      </tp>
      <tp t="s">
        <v>#N/A N/A</v>
        <stp/>
        <stp>BDP|98348252193161875</stp>
        <tr r="X106" s="2"/>
      </tp>
      <tp t="s">
        <v>#N/A N/A</v>
        <stp/>
        <stp>BDP|44873502027866274</stp>
        <tr r="T98" s="2"/>
      </tp>
      <tp t="s">
        <v>#N/A N/A</v>
        <stp/>
        <stp>BDP|47645874329031438</stp>
        <tr r="E148" s="2"/>
      </tp>
      <tp t="s">
        <v>#N/A N/A</v>
        <stp/>
        <stp>BDP|58851045977428429</stp>
        <tr r="AA158" s="2"/>
      </tp>
      <tp t="s">
        <v>#N/A N/A</v>
        <stp/>
        <stp>BDP|46956549035411769</stp>
        <tr r="H116" s="2"/>
      </tp>
      <tp t="s">
        <v>#N/A N/A</v>
        <stp/>
        <stp>BDP|69446681403516089</stp>
        <tr r="AB2" s="2"/>
      </tp>
      <tp t="s">
        <v>#N/A N/A</v>
        <stp/>
        <stp>BDP|51299968118127211</stp>
        <tr r="B207" s="2"/>
      </tp>
      <tp t="s">
        <v>#N/A N/A</v>
        <stp/>
        <stp>BDP|58910463275983443</stp>
        <tr r="V220" s="2"/>
      </tp>
      <tp t="s">
        <v>#N/A N/A</v>
        <stp/>
        <stp>BDP|46021099126753135</stp>
        <tr r="V3" s="2"/>
      </tp>
      <tp t="s">
        <v>#N/A N/A</v>
        <stp/>
        <stp>BDP|78528330616541169</stp>
        <tr r="AA136" s="2"/>
      </tp>
      <tp t="s">
        <v>#N/A N/A</v>
        <stp/>
        <stp>BDP|37992988487938712</stp>
        <tr r="U92" s="2"/>
      </tp>
      <tp t="s">
        <v>#N/A N/A</v>
        <stp/>
        <stp>BDP|28308335495221526</stp>
        <tr r="N77" s="2"/>
      </tp>
      <tp t="s">
        <v>#N/A N/A</v>
        <stp/>
        <stp>BDP|98702410402434452</stp>
        <tr r="G192" s="2"/>
      </tp>
      <tp t="s">
        <v>#N/A N/A</v>
        <stp/>
        <stp>BDP|91990083967271695</stp>
        <tr r="Y26" s="2"/>
      </tp>
      <tp t="s">
        <v>#N/A N/A</v>
        <stp/>
        <stp>BDP|82773572863917337</stp>
        <tr r="I214" s="2"/>
      </tp>
      <tp t="s">
        <v>#N/A N/A</v>
        <stp/>
        <stp>BDP|18474363641052389</stp>
        <tr r="V110" s="2"/>
      </tp>
      <tp t="s">
        <v>#N/A N/A</v>
        <stp/>
        <stp>BDP|13514761937506756</stp>
        <tr r="AB70" s="2"/>
      </tp>
      <tp t="s">
        <v>#N/A N/A</v>
        <stp/>
        <stp>BDP|27388828034361699</stp>
        <tr r="AD164" s="2"/>
      </tp>
      <tp t="s">
        <v>#N/A N/A</v>
        <stp/>
        <stp>BDP|51063129859671812</stp>
        <tr r="X216" s="2"/>
      </tp>
      <tp t="s">
        <v>#N/A N/A</v>
        <stp/>
        <stp>BDP|24825583845323752</stp>
        <tr r="H12" s="2"/>
      </tp>
      <tp t="s">
        <v>#N/A N/A</v>
        <stp/>
        <stp>BDP|46086687159853300</stp>
        <tr r="G14" s="2"/>
      </tp>
      <tp t="s">
        <v>#N/A N/A</v>
        <stp/>
        <stp>BDP|75758445581473726</stp>
        <tr r="Z199" s="2"/>
      </tp>
      <tp t="s">
        <v>#N/A N/A</v>
        <stp/>
        <stp>BDP|75266142153955061</stp>
        <tr r="O133" s="2"/>
      </tp>
      <tp t="s">
        <v>#N/A N/A</v>
        <stp/>
        <stp>BDP|58680130834798590</stp>
        <tr r="Z11" s="2"/>
      </tp>
      <tp t="s">
        <v>#N/A N/A</v>
        <stp/>
        <stp>BDP|74342057447094576</stp>
        <tr r="Y191" s="2"/>
      </tp>
      <tp t="s">
        <v>#N/A N/A</v>
        <stp/>
        <stp>BDP|57566241390678557</stp>
        <tr r="M136" s="2"/>
      </tp>
      <tp t="s">
        <v>#N/A N/A</v>
        <stp/>
        <stp>BDP|57439806389028957</stp>
        <tr r="N5" s="2"/>
      </tp>
      <tp t="s">
        <v>#N/A N/A</v>
        <stp/>
        <stp>BDP|54255341111872365</stp>
        <tr r="N36" s="2"/>
      </tp>
      <tp t="s">
        <v>#N/A N/A</v>
        <stp/>
        <stp>BDP|40907936279454428</stp>
        <tr r="K220" s="2"/>
        <tr r="R220" s="2"/>
        <tr r="W220" s="2"/>
      </tp>
      <tp t="s">
        <v>#N/A N/A</v>
        <stp/>
        <stp>BDP|58027767367123770</stp>
        <tr r="G180" s="2"/>
      </tp>
      <tp t="s">
        <v>#N/A N/A</v>
        <stp/>
        <stp>BDP|24482079241475486</stp>
        <tr r="C82" s="2"/>
      </tp>
      <tp t="s">
        <v>#N/A N/A</v>
        <stp/>
        <stp>BDP|336815261533745883</stp>
        <tr r="P172" s="2"/>
      </tp>
      <tp t="s">
        <v>#N/A N/A</v>
        <stp/>
        <stp>BDP|999386168903655327</stp>
        <tr r="AA198" s="2"/>
      </tp>
      <tp t="s">
        <v>#N/A N/A</v>
        <stp/>
        <stp>BDP|328748751540041788</stp>
        <tr r="Q57" s="2"/>
      </tp>
      <tp t="s">
        <v>#N/A N/A</v>
        <stp/>
        <stp>BDP|205547507831926172</stp>
        <tr r="AB147" s="2"/>
      </tp>
      <tp t="s">
        <v>#N/A N/A</v>
        <stp/>
        <stp>BDP|865090309625038009</stp>
        <tr r="O85" s="2"/>
      </tp>
      <tp t="s">
        <v>#N/A N/A</v>
        <stp/>
        <stp>BDP|606682368472921775</stp>
        <tr r="G237" s="2"/>
      </tp>
      <tp t="s">
        <v>#N/A N/A</v>
        <stp/>
        <stp>BDP|103072089079203449</stp>
        <tr r="C223" s="2"/>
      </tp>
      <tp t="s">
        <v>#N/A N/A</v>
        <stp/>
        <stp>BDP|794130204595381166</stp>
        <tr r="U109" s="2"/>
      </tp>
      <tp t="s">
        <v>#N/A N/A</v>
        <stp/>
        <stp>BDP|468954764719130328</stp>
        <tr r="AC163" s="2"/>
      </tp>
      <tp t="s">
        <v>#N/A N/A</v>
        <stp/>
        <stp>BDP|630174746214632471</stp>
        <tr r="AA16" s="2"/>
      </tp>
      <tp t="s">
        <v>#N/A N/A</v>
        <stp/>
        <stp>BDP|425253953707986596</stp>
        <tr r="O134" s="2"/>
      </tp>
      <tp t="s">
        <v>#N/A N/A</v>
        <stp/>
        <stp>BDP|477046961823258011</stp>
        <tr r="L142" s="2"/>
      </tp>
      <tp t="s">
        <v>#N/A N/A</v>
        <stp/>
        <stp>BDP|600049890154386830</stp>
        <tr r="E24" s="2"/>
      </tp>
      <tp t="s">
        <v>#N/A N/A</v>
        <stp/>
        <stp>BDP|219668196623484941</stp>
        <tr r="C23" s="2"/>
      </tp>
      <tp t="s">
        <v>#N/A N/A</v>
        <stp/>
        <stp>BDP|787504727507228513</stp>
        <tr r="T104" s="2"/>
      </tp>
      <tp t="s">
        <v>#N/A N/A</v>
        <stp/>
        <stp>BDP|309322019591479702</stp>
        <tr r="N144" s="2"/>
      </tp>
      <tp t="s">
        <v>#N/A N/A</v>
        <stp/>
        <stp>BDP|272394710092383457</stp>
        <tr r="AA186" s="2"/>
      </tp>
      <tp t="s">
        <v>#N/A N/A</v>
        <stp/>
        <stp>BDP|923849596947561219</stp>
        <tr r="P197" s="2"/>
      </tp>
      <tp t="s">
        <v>#N/A N/A</v>
        <stp/>
        <stp>BDP|781656549406479008</stp>
        <tr r="N160" s="2"/>
      </tp>
      <tp t="s">
        <v>#N/A N/A</v>
        <stp/>
        <stp>BDP|200555837585977762</stp>
        <tr r="H82" s="2"/>
      </tp>
      <tp t="s">
        <v>#N/A N/A</v>
        <stp/>
        <stp>BDP|572414677694255389</stp>
        <tr r="V50" s="2"/>
      </tp>
      <tp t="s">
        <v>#N/A N/A</v>
        <stp/>
        <stp>BDP|414621749402501434</stp>
        <tr r="Y102" s="2"/>
      </tp>
      <tp t="s">
        <v>#N/A N/A</v>
        <stp/>
        <stp>BDP|663578367895774248</stp>
        <tr r="P187" s="2"/>
      </tp>
      <tp t="s">
        <v>#N/A N/A</v>
        <stp/>
        <stp>BDP|807779371386892234</stp>
        <tr r="H79" s="2"/>
      </tp>
      <tp t="s">
        <v>#N/A N/A</v>
        <stp/>
        <stp>BDP|184772909476978500</stp>
        <tr r="Q155" s="2"/>
      </tp>
      <tp t="s">
        <v>#N/A N/A</v>
        <stp/>
        <stp>BDP|316284416110244799</stp>
        <tr r="T62" s="2"/>
      </tp>
      <tp t="s">
        <v>#N/A N/A</v>
        <stp/>
        <stp>BDP|643235141317665544</stp>
        <tr r="L151" s="2"/>
      </tp>
      <tp t="s">
        <v>#N/A N/A</v>
        <stp/>
        <stp>BDP|628376176184491447</stp>
        <tr r="U152" s="2"/>
      </tp>
      <tp t="s">
        <v>#N/A N/A</v>
        <stp/>
        <stp>BDP|374139734772273410</stp>
        <tr r="I206" s="2"/>
      </tp>
      <tp t="s">
        <v>#N/A N/A</v>
        <stp/>
        <stp>BDP|666761974751587564</stp>
        <tr r="P38" s="2"/>
      </tp>
      <tp t="s">
        <v>#N/A N/A</v>
        <stp/>
        <stp>BDP|263091958236187722</stp>
        <tr r="E123" s="2"/>
      </tp>
      <tp t="s">
        <v>#N/A N/A</v>
        <stp/>
        <stp>BDP|648409206999157915</stp>
        <tr r="L190" s="2"/>
      </tp>
      <tp t="s">
        <v>#N/A N/A</v>
        <stp/>
        <stp>BDP|305198489105013828</stp>
        <tr r="N95" s="2"/>
      </tp>
      <tp t="s">
        <v>#N/A N/A</v>
        <stp/>
        <stp>BDP|860057840384825444</stp>
        <tr r="Y204" s="2"/>
      </tp>
      <tp t="s">
        <v>#N/A N/A</v>
        <stp/>
        <stp>BDP|691322057352484050</stp>
        <tr r="U167" s="2"/>
      </tp>
      <tp t="s">
        <v>#N/A N/A</v>
        <stp/>
        <stp>BDP|820885111985222801</stp>
        <tr r="AD234" s="2"/>
      </tp>
      <tp t="s">
        <v>#N/A N/A</v>
        <stp/>
        <stp>BDP|764531762510706721</stp>
        <tr r="Z42" s="2"/>
      </tp>
      <tp t="s">
        <v>#N/A N/A</v>
        <stp/>
        <stp>BDP|915732828197041612</stp>
        <tr r="E26" s="2"/>
      </tp>
      <tp t="s">
        <v>#N/A N/A</v>
        <stp/>
        <stp>BDP|984169223294787070</stp>
        <tr r="M84" s="2"/>
      </tp>
      <tp t="s">
        <v>#N/A N/A</v>
        <stp/>
        <stp>BDP|546823428908735559</stp>
        <tr r="L63" s="2"/>
      </tp>
      <tp t="s">
        <v>#N/A N/A</v>
        <stp/>
        <stp>BDP|138409759535335356</stp>
        <tr r="Y14" s="2"/>
      </tp>
      <tp t="s">
        <v>#N/A N/A</v>
        <stp/>
        <stp>BDP|351663546841889459</stp>
        <tr r="AB235" s="2"/>
      </tp>
      <tp t="s">
        <v>#N/A N/A</v>
        <stp/>
        <stp>BDP|141641739220016230</stp>
        <tr r="Y124" s="2"/>
      </tp>
      <tp t="s">
        <v>#N/A N/A</v>
        <stp/>
        <stp>BDP|409440794888964257</stp>
        <tr r="H111" s="2"/>
      </tp>
      <tp t="s">
        <v>#N/A N/A</v>
        <stp/>
        <stp>BDP|909485308422784172</stp>
        <tr r="Y106" s="2"/>
      </tp>
      <tp t="s">
        <v>#N/A N/A</v>
        <stp/>
        <stp>BDP|668886993546456031</stp>
        <tr r="E43" s="2"/>
      </tp>
      <tp t="s">
        <v>#N/A N/A</v>
        <stp/>
        <stp>BDP|471052124993826678</stp>
        <tr r="AD32" s="2"/>
      </tp>
      <tp t="s">
        <v>#N/A N/A</v>
        <stp/>
        <stp>BDP|440577023675968529</stp>
        <tr r="X200" s="2"/>
      </tp>
      <tp t="s">
        <v>#N/A N/A</v>
        <stp/>
        <stp>BDP|431398484254773853</stp>
        <tr r="AE176" s="2"/>
      </tp>
      <tp t="s">
        <v>#N/A N/A</v>
        <stp/>
        <stp>BDP|555712051103677681</stp>
        <tr r="V150" s="2"/>
      </tp>
      <tp t="s">
        <v>#N/A N/A</v>
        <stp/>
        <stp>BDP|728269785929965465</stp>
        <tr r="N67" s="2"/>
      </tp>
      <tp t="s">
        <v>#N/A N/A</v>
        <stp/>
        <stp>BDP|585277376875574752</stp>
        <tr r="V177" s="2"/>
      </tp>
      <tp t="s">
        <v>#N/A N/A</v>
        <stp/>
        <stp>BDP|160352330671838687</stp>
        <tr r="H17" s="2"/>
      </tp>
      <tp t="s">
        <v>#N/A N/A</v>
        <stp/>
        <stp>BDP|766206252060213037</stp>
        <tr r="T56" s="2"/>
      </tp>
      <tp t="s">
        <v>#N/A N/A</v>
        <stp/>
        <stp>BDP|628363740091443117</stp>
        <tr r="D32" s="2"/>
      </tp>
      <tp t="s">
        <v>#N/A N/A</v>
        <stp/>
        <stp>BDP|788575654887427069</stp>
        <tr r="AC219" s="2"/>
      </tp>
      <tp t="s">
        <v>#N/A N/A</v>
        <stp/>
        <stp>BDP|431876508329918647</stp>
        <tr r="H4" s="2"/>
      </tp>
      <tp t="s">
        <v>#N/A N/A</v>
        <stp/>
        <stp>BDP|291060965037394641</stp>
        <tr r="N13" s="2"/>
      </tp>
      <tp t="s">
        <v>#N/A N/A</v>
        <stp/>
        <stp>BDP|430101066987622730</stp>
        <tr r="C208" s="2"/>
      </tp>
      <tp t="s">
        <v>#N/A N/A</v>
        <stp/>
        <stp>BDP|529222374902655028</stp>
        <tr r="AE225" s="2"/>
      </tp>
      <tp t="s">
        <v>#N/A N/A</v>
        <stp/>
        <stp>BDP|821784268152194494</stp>
        <tr r="AA145" s="2"/>
      </tp>
      <tp t="s">
        <v>#N/A N/A</v>
        <stp/>
        <stp>BDP|543291781645541883</stp>
        <tr r="D50" s="2"/>
      </tp>
      <tp t="s">
        <v>#N/A N/A</v>
        <stp/>
        <stp>BDP|481799361953446593</stp>
        <tr r="B164" s="2"/>
      </tp>
      <tp t="s">
        <v>#N/A N/A</v>
        <stp/>
        <stp>BDP|886957889247194144</stp>
        <tr r="G117" s="2"/>
      </tp>
      <tp t="s">
        <v>#N/A N/A</v>
        <stp/>
        <stp>BDP|435856842892737959</stp>
        <tr r="O166" s="2"/>
      </tp>
      <tp t="s">
        <v>#N/A N/A</v>
        <stp/>
        <stp>BDP|847058749307237451</stp>
        <tr r="U91" s="2"/>
      </tp>
      <tp t="s">
        <v>#N/A N/A</v>
        <stp/>
        <stp>BDP|469547929146138745</stp>
        <tr r="C239" s="2"/>
      </tp>
      <tp t="s">
        <v>#N/A N/A</v>
        <stp/>
        <stp>BDP|910398847733339288</stp>
        <tr r="P106" s="2"/>
      </tp>
      <tp t="s">
        <v>#N/A N/A</v>
        <stp/>
        <stp>BDP|663237343224806426</stp>
        <tr r="G72" s="2"/>
      </tp>
      <tp t="s">
        <v>#N/A N/A</v>
        <stp/>
        <stp>BDP|716940009117684832</stp>
        <tr r="AB180" s="2"/>
      </tp>
      <tp t="s">
        <v>#N/A N/A</v>
        <stp/>
        <stp>BDP|112136173961643185</stp>
        <tr r="AA67" s="2"/>
      </tp>
      <tp t="s">
        <v>#N/A N/A</v>
        <stp/>
        <stp>BDP|676385916231461547</stp>
        <tr r="N169" s="2"/>
      </tp>
      <tp t="s">
        <v>#N/A N/A</v>
        <stp/>
        <stp>BDP|255523228471903097</stp>
        <tr r="V229" s="2"/>
      </tp>
      <tp t="s">
        <v>#N/A N/A</v>
        <stp/>
        <stp>BDP|418538279324500024</stp>
        <tr r="AD161" s="2"/>
      </tp>
      <tp t="s">
        <v>#N/A N/A</v>
        <stp/>
        <stp>BDP|850068779793883250</stp>
        <tr r="E203" s="2"/>
      </tp>
      <tp t="s">
        <v>#N/A N/A</v>
        <stp/>
        <stp>BDP|903077100524756237</stp>
        <tr r="Y152" s="2"/>
      </tp>
      <tp t="s">
        <v>#N/A N/A</v>
        <stp/>
        <stp>BDP|187143568791738014</stp>
        <tr r="T80" s="2"/>
      </tp>
      <tp t="s">
        <v>#N/A N/A</v>
        <stp/>
        <stp>BDP|913590633276876603</stp>
        <tr r="AE49" s="2"/>
      </tp>
      <tp t="s">
        <v>#N/A N/A</v>
        <stp/>
        <stp>BDP|744029631392232737</stp>
        <tr r="AB78" s="2"/>
      </tp>
      <tp t="s">
        <v>#N/A N/A</v>
        <stp/>
        <stp>BDP|484301881589999499</stp>
        <tr r="K145" s="2"/>
        <tr r="R145" s="2"/>
        <tr r="W145" s="2"/>
      </tp>
      <tp t="s">
        <v>#N/A N/A</v>
        <stp/>
        <stp>BDP|370846257809602239</stp>
        <tr r="S41" s="2"/>
      </tp>
      <tp t="s">
        <v>#N/A N/A</v>
        <stp/>
        <stp>BDP|403152097698933698</stp>
        <tr r="P40" s="2"/>
      </tp>
      <tp t="s">
        <v>#N/A N/A</v>
        <stp/>
        <stp>BDP|113456498869488280</stp>
        <tr r="N3" s="2"/>
      </tp>
      <tp t="s">
        <v>#N/A N/A</v>
        <stp/>
        <stp>BDP|219837432714302922</stp>
        <tr r="AE220" s="2"/>
      </tp>
      <tp t="s">
        <v>#N/A N/A</v>
        <stp/>
        <stp>BDP|315435636609174851</stp>
        <tr r="AB83" s="2"/>
      </tp>
      <tp t="s">
        <v>#N/A N/A</v>
        <stp/>
        <stp>BDP|921756918060755014</stp>
        <tr r="D161" s="2"/>
      </tp>
      <tp t="s">
        <v>#N/A N/A</v>
        <stp/>
        <stp>BDP|774181376316998635</stp>
        <tr r="F208" s="2"/>
      </tp>
      <tp t="s">
        <v>#N/A N/A</v>
        <stp/>
        <stp>BDP|597195396329211067</stp>
        <tr r="G64" s="2"/>
      </tp>
      <tp t="s">
        <v>#N/A N/A</v>
        <stp/>
        <stp>BDP|723559376956975532</stp>
        <tr r="E35" s="2"/>
      </tp>
      <tp t="s">
        <v>#N/A N/A</v>
        <stp/>
        <stp>BDP|864130124800905295</stp>
        <tr r="P222" s="2"/>
      </tp>
      <tp t="s">
        <v>#N/A N/A</v>
        <stp/>
        <stp>BDP|201243878536408224</stp>
        <tr r="N214" s="2"/>
      </tp>
      <tp t="s">
        <v>#N/A N/A</v>
        <stp/>
        <stp>BDP|755967889865393519</stp>
        <tr r="X183" s="2"/>
      </tp>
      <tp t="s">
        <v>#N/A N/A</v>
        <stp/>
        <stp>BDP|743484809047209204</stp>
        <tr r="L37" s="2"/>
      </tp>
      <tp t="s">
        <v>#N/A N/A</v>
        <stp/>
        <stp>BDP|886596151447480649</stp>
        <tr r="T129" s="2"/>
      </tp>
      <tp t="s">
        <v>#N/A N/A</v>
        <stp/>
        <stp>BDP|520263974894125041</stp>
        <tr r="M134" s="2"/>
      </tp>
      <tp t="s">
        <v>#N/A N/A</v>
        <stp/>
        <stp>BDP|157270961636657338</stp>
        <tr r="U121" s="2"/>
      </tp>
      <tp t="s">
        <v>#N/A N/A</v>
        <stp/>
        <stp>BDP|640496854969003995</stp>
        <tr r="AB196" s="2"/>
      </tp>
      <tp t="s">
        <v>#N/A N/A</v>
        <stp/>
        <stp>BDP|272184159545616069</stp>
        <tr r="D51" s="2"/>
      </tp>
      <tp t="s">
        <v>#N/A N/A</v>
        <stp/>
        <stp>BDP|403944294355065476</stp>
        <tr r="D99" s="2"/>
      </tp>
      <tp t="s">
        <v>#N/A N/A</v>
        <stp/>
        <stp>BDP|148507721474326201</stp>
        <tr r="AC63" s="2"/>
      </tp>
      <tp t="s">
        <v>#N/A N/A</v>
        <stp/>
        <stp>BDP|760386947357511000</stp>
        <tr r="F38" s="2"/>
      </tp>
      <tp t="s">
        <v>#N/A N/A</v>
        <stp/>
        <stp>BDP|887764625810315556</stp>
        <tr r="AB207" s="2"/>
      </tp>
      <tp t="s">
        <v>#N/A N/A</v>
        <stp/>
        <stp>BDP|296762018353423566</stp>
        <tr r="AB203" s="2"/>
      </tp>
      <tp t="s">
        <v>#N/A N/A</v>
        <stp/>
        <stp>BDP|696969758664723804</stp>
        <tr r="C192" s="2"/>
      </tp>
      <tp t="s">
        <v>#N/A N/A</v>
        <stp/>
        <stp>BDP|530653218331793672</stp>
        <tr r="K117" s="2"/>
        <tr r="R117" s="2"/>
        <tr r="W117" s="2"/>
      </tp>
      <tp t="s">
        <v>#N/A N/A</v>
        <stp/>
        <stp>BDP|512531670924673699</stp>
        <tr r="G184" s="2"/>
      </tp>
      <tp t="s">
        <v>#N/A N/A</v>
        <stp/>
        <stp>BDP|757478710514842132</stp>
        <tr r="I207" s="2"/>
      </tp>
      <tp t="s">
        <v>#N/A N/A</v>
        <stp/>
        <stp>BDP|350373065177654231</stp>
        <tr r="N226" s="2"/>
      </tp>
      <tp t="s">
        <v>#N/A N/A</v>
        <stp/>
        <stp>BDP|278813767219826783</stp>
        <tr r="Y118" s="2"/>
      </tp>
      <tp t="s">
        <v>#N/A N/A</v>
        <stp/>
        <stp>BDP|316362542766057136</stp>
        <tr r="Z31" s="2"/>
      </tp>
      <tp t="s">
        <v>#N/A N/A</v>
        <stp/>
        <stp>BDP|578651772569157867</stp>
        <tr r="D233" s="2"/>
      </tp>
      <tp t="s">
        <v>#N/A N/A</v>
        <stp/>
        <stp>BDP|165625273617039652</stp>
        <tr r="AE46" s="2"/>
      </tp>
      <tp t="s">
        <v>#N/A N/A</v>
        <stp/>
        <stp>BDP|960824189222765250</stp>
        <tr r="T153" s="2"/>
      </tp>
      <tp t="s">
        <v>#N/A N/A</v>
        <stp/>
        <stp>BDP|697572544966599717</stp>
        <tr r="AA156" s="2"/>
      </tp>
      <tp t="s">
        <v>#N/A N/A</v>
        <stp/>
        <stp>BDP|297140370797773139</stp>
        <tr r="AB164" s="2"/>
      </tp>
      <tp t="s">
        <v>#N/A N/A</v>
        <stp/>
        <stp>BDP|625078111335578478</stp>
        <tr r="F14" s="2"/>
      </tp>
      <tp t="s">
        <v>#N/A N/A</v>
        <stp/>
        <stp>BDP|229024731475188631</stp>
        <tr r="B74" s="2"/>
      </tp>
      <tp t="s">
        <v>#N/A N/A</v>
        <stp/>
        <stp>BDP|585995415361327991</stp>
        <tr r="K107" s="2"/>
        <tr r="R107" s="2"/>
        <tr r="W107" s="2"/>
      </tp>
      <tp t="s">
        <v>#N/A N/A</v>
        <stp/>
        <stp>BDP|336272150877181060</stp>
        <tr r="M75" s="2"/>
      </tp>
      <tp t="s">
        <v>#N/A N/A</v>
        <stp/>
        <stp>BDP|885576685749082762</stp>
        <tr r="M93" s="2"/>
      </tp>
      <tp t="s">
        <v>#N/A N/A</v>
        <stp/>
        <stp>BDP|675616932176829014</stp>
        <tr r="AD118" s="2"/>
      </tp>
      <tp t="s">
        <v>#N/A N/A</v>
        <stp/>
        <stp>BDP|991647564284740732</stp>
        <tr r="L34" s="2"/>
      </tp>
      <tp t="s">
        <v>#N/A N/A</v>
        <stp/>
        <stp>BDP|778642858551147176</stp>
        <tr r="AB145" s="2"/>
      </tp>
      <tp t="s">
        <v>#N/A N/A</v>
        <stp/>
        <stp>BDP|177418578935414517</stp>
        <tr r="H50" s="2"/>
      </tp>
      <tp t="s">
        <v>#N/A N/A</v>
        <stp/>
        <stp>BDP|728085635640012075</stp>
        <tr r="AE97" s="2"/>
      </tp>
      <tp t="s">
        <v>#N/A N/A</v>
        <stp/>
        <stp>BDP|189701854560305184</stp>
        <tr r="E227" s="2"/>
      </tp>
      <tp t="s">
        <v>#N/A N/A</v>
        <stp/>
        <stp>BDP|169508918932789500</stp>
        <tr r="O168" s="2"/>
      </tp>
      <tp t="s">
        <v>#N/A N/A</v>
        <stp/>
        <stp>BDP|912426576325624554</stp>
        <tr r="Z114" s="2"/>
      </tp>
      <tp t="s">
        <v>#N/A N/A</v>
        <stp/>
        <stp>BDP|926548656353331074</stp>
        <tr r="X179" s="2"/>
      </tp>
      <tp t="s">
        <v>#N/A N/A</v>
        <stp/>
        <stp>BDP|516858906402121989</stp>
        <tr r="C17" s="2"/>
      </tp>
      <tp t="s">
        <v>#N/A N/A</v>
        <stp/>
        <stp>BDP|902113641290238645</stp>
        <tr r="P138" s="2"/>
      </tp>
      <tp t="s">
        <v>#N/A N/A</v>
        <stp/>
        <stp>BDP|738902998664651765</stp>
        <tr r="X103" s="2"/>
      </tp>
      <tp t="s">
        <v>#N/A N/A</v>
        <stp/>
        <stp>BDP|242065236148284884</stp>
        <tr r="D160" s="2"/>
      </tp>
      <tp t="s">
        <v>#N/A N/A</v>
        <stp/>
        <stp>BDP|372583838871945433</stp>
        <tr r="L49" s="2"/>
      </tp>
      <tp t="s">
        <v>#N/A N/A</v>
        <stp/>
        <stp>BDP|205081721805611473</stp>
        <tr r="Q88" s="2"/>
      </tp>
      <tp t="s">
        <v>#N/A N/A</v>
        <stp/>
        <stp>BDP|336819865914476999</stp>
        <tr r="E116" s="2"/>
      </tp>
      <tp t="s">
        <v>#N/A N/A</v>
        <stp/>
        <stp>BDP|568653193998028487</stp>
        <tr r="C194" s="2"/>
      </tp>
      <tp t="s">
        <v>#N/A N/A</v>
        <stp/>
        <stp>BDP|802735137294502320</stp>
        <tr r="M187" s="2"/>
      </tp>
      <tp t="s">
        <v>#N/A N/A</v>
        <stp/>
        <stp>BDP|760457900910626700</stp>
        <tr r="P5" s="2"/>
      </tp>
      <tp t="s">
        <v>#N/A N/A</v>
        <stp/>
        <stp>BDP|295270756333349749</stp>
        <tr r="U44" s="2"/>
      </tp>
      <tp t="s">
        <v>#N/A N/A</v>
        <stp/>
        <stp>BDP|455276173156389066</stp>
        <tr r="AE131" s="2"/>
      </tp>
      <tp t="s">
        <v>#N/A N/A</v>
        <stp/>
        <stp>BDP|832292261175071251</stp>
        <tr r="S197" s="2"/>
      </tp>
      <tp t="s">
        <v>#N/A N/A</v>
        <stp/>
        <stp>BDP|552728231071236619</stp>
        <tr r="H87" s="2"/>
      </tp>
      <tp t="s">
        <v>#N/A N/A</v>
        <stp/>
        <stp>BDP|588206111883757358</stp>
        <tr r="E140" s="2"/>
      </tp>
      <tp t="s">
        <v>#N/A N/A</v>
        <stp/>
        <stp>BDP|197011337074205437</stp>
        <tr r="G76" s="2"/>
      </tp>
      <tp t="s">
        <v>#N/A N/A</v>
        <stp/>
        <stp>BDP|896239839814235670</stp>
        <tr r="L30" s="2"/>
      </tp>
      <tp t="s">
        <v>#N/A N/A</v>
        <stp/>
        <stp>BDP|656515611296453150</stp>
        <tr r="AD10" s="2"/>
      </tp>
      <tp t="s">
        <v>#N/A N/A</v>
        <stp/>
        <stp>BDP|445924834701050856</stp>
        <tr r="I191" s="2"/>
      </tp>
      <tp t="s">
        <v>#N/A N/A</v>
        <stp/>
        <stp>BDP|650650460991545264</stp>
        <tr r="B194" s="2"/>
      </tp>
      <tp t="s">
        <v>#N/A N/A</v>
        <stp/>
        <stp>BDP|253613860110663347</stp>
        <tr r="U173" s="2"/>
      </tp>
      <tp t="s">
        <v>#N/A N/A</v>
        <stp/>
        <stp>BDP|103813783373346010</stp>
        <tr r="X142" s="2"/>
      </tp>
      <tp t="s">
        <v>#N/A N/A</v>
        <stp/>
        <stp>BDP|667937137609926084</stp>
        <tr r="AC110" s="2"/>
      </tp>
      <tp t="s">
        <v>#N/A N/A</v>
        <stp/>
        <stp>BDP|636188227965244583</stp>
        <tr r="C202" s="2"/>
      </tp>
      <tp t="s">
        <v>#N/A N/A</v>
        <stp/>
        <stp>BDP|665222224605877743</stp>
        <tr r="E173" s="2"/>
      </tp>
      <tp t="s">
        <v>#N/A N/A</v>
        <stp/>
        <stp>BDP|691585130950655446</stp>
        <tr r="U139" s="2"/>
      </tp>
      <tp t="s">
        <v>#N/A N/A</v>
        <stp/>
        <stp>BDP|261550831467831333</stp>
        <tr r="AD104" s="2"/>
      </tp>
      <tp t="s">
        <v>#N/A N/A</v>
        <stp/>
        <stp>BDP|583055841746825049</stp>
        <tr r="F235" s="2"/>
      </tp>
      <tp t="s">
        <v>#N/A N/A</v>
        <stp/>
        <stp>BDP|507783253089880980</stp>
        <tr r="L137" s="2"/>
      </tp>
      <tp t="s">
        <v>#N/A N/A</v>
        <stp/>
        <stp>BDP|289452969120855087</stp>
        <tr r="M32" s="2"/>
      </tp>
      <tp t="s">
        <v>#N/A N/A</v>
        <stp/>
        <stp>BDP|183484945667591568</stp>
        <tr r="V126" s="2"/>
      </tp>
      <tp t="s">
        <v>#N/A N/A</v>
        <stp/>
        <stp>BDP|140278423783219181</stp>
        <tr r="Y146" s="2"/>
      </tp>
      <tp t="s">
        <v>#N/A N/A</v>
        <stp/>
        <stp>BDP|361057523797890729</stp>
        <tr r="AA107" s="2"/>
      </tp>
      <tp t="s">
        <v>#N/A N/A</v>
        <stp/>
        <stp>BDP|409290326405554715</stp>
        <tr r="C132" s="2"/>
      </tp>
      <tp t="s">
        <v>#N/A N/A</v>
        <stp/>
        <stp>BDP|732369558132441651</stp>
        <tr r="P122" s="2"/>
      </tp>
      <tp t="s">
        <v>#N/A N/A</v>
        <stp/>
        <stp>BDP|370038759243634464</stp>
        <tr r="E64" s="2"/>
      </tp>
      <tp t="s">
        <v>#N/A N/A</v>
        <stp/>
        <stp>BDP|353352947330193593</stp>
        <tr r="L136" s="2"/>
      </tp>
      <tp t="s">
        <v>#N/A N/A</v>
        <stp/>
        <stp>BDP|263198569230258596</stp>
        <tr r="B111" s="2"/>
      </tp>
      <tp t="s">
        <v>#N/A N/A</v>
        <stp/>
        <stp>BDP|315003911553869033</stp>
        <tr r="M214" s="2"/>
      </tp>
      <tp t="s">
        <v>#N/A N/A</v>
        <stp/>
        <stp>BDP|774722004771834430</stp>
        <tr r="AB170" s="2"/>
      </tp>
      <tp t="s">
        <v>#N/A N/A</v>
        <stp/>
        <stp>BDP|537211058383340650</stp>
        <tr r="Y202" s="2"/>
      </tp>
      <tp t="s">
        <v>#N/A N/A</v>
        <stp/>
        <stp>BDP|283220638415614655</stp>
        <tr r="AE89" s="2"/>
      </tp>
      <tp t="s">
        <v>#N/A N/A</v>
        <stp/>
        <stp>BDP|730094135397265627</stp>
        <tr r="AA140" s="2"/>
      </tp>
      <tp t="s">
        <v>#N/A N/A</v>
        <stp/>
        <stp>BDP|431713559632166297</stp>
        <tr r="V225" s="2"/>
      </tp>
      <tp t="s">
        <v>#N/A N/A</v>
        <stp/>
        <stp>BDP|309021754536025138</stp>
        <tr r="M2" s="2"/>
      </tp>
      <tp t="s">
        <v>#N/A N/A</v>
        <stp/>
        <stp>BDP|266776554299668910</stp>
        <tr r="Y87" s="2"/>
      </tp>
      <tp t="s">
        <v>#N/A N/A</v>
        <stp/>
        <stp>BDP|129195221596910778</stp>
        <tr r="AE214" s="2"/>
      </tp>
      <tp t="s">
        <v>#N/A N/A</v>
        <stp/>
        <stp>BDP|684038543212983487</stp>
        <tr r="AD50" s="2"/>
      </tp>
      <tp t="s">
        <v>#N/A N/A</v>
        <stp/>
        <stp>BDP|412514263750044165</stp>
        <tr r="G37" s="2"/>
      </tp>
      <tp t="s">
        <v>#N/A N/A</v>
        <stp/>
        <stp>BDP|548689117621223491</stp>
        <tr r="G47" s="2"/>
      </tp>
      <tp t="s">
        <v>#N/A N/A</v>
        <stp/>
        <stp>BDP|722462617275125266</stp>
        <tr r="D239" s="2"/>
      </tp>
      <tp t="s">
        <v>#N/A N/A</v>
        <stp/>
        <stp>BDP|370173488952699988</stp>
        <tr r="V20" s="2"/>
      </tp>
      <tp t="s">
        <v>#N/A N/A</v>
        <stp/>
        <stp>BDP|721221806356042618</stp>
        <tr r="L99" s="2"/>
      </tp>
      <tp t="s">
        <v>#N/A N/A</v>
        <stp/>
        <stp>BDP|331924224200344943</stp>
        <tr r="K208" s="2"/>
        <tr r="R208" s="2"/>
        <tr r="W208" s="2"/>
      </tp>
      <tp t="s">
        <v>#N/A N/A</v>
        <stp/>
        <stp>BDP|336337410826394615</stp>
        <tr r="P173" s="2"/>
      </tp>
      <tp t="s">
        <v>#N/A N/A</v>
        <stp/>
        <stp>BDP|711301862199919102</stp>
        <tr r="O184" s="2"/>
      </tp>
      <tp t="s">
        <v>#N/A N/A</v>
        <stp/>
        <stp>BDP|138560788378848882</stp>
        <tr r="AC125" s="2"/>
      </tp>
      <tp t="s">
        <v>#N/A N/A</v>
        <stp/>
        <stp>BDP|685208812239870758</stp>
        <tr r="AA125" s="2"/>
      </tp>
      <tp t="s">
        <v>#N/A N/A</v>
        <stp/>
        <stp>BDP|399814440898217945</stp>
        <tr r="S215" s="2"/>
      </tp>
      <tp t="s">
        <v>#N/A N/A</v>
        <stp/>
        <stp>BDP|318756692573057000</stp>
        <tr r="G65" s="2"/>
      </tp>
      <tp t="s">
        <v>#N/A N/A</v>
        <stp/>
        <stp>BDP|318930751333747202</stp>
        <tr r="N122" s="2"/>
      </tp>
      <tp t="s">
        <v>#N/A N/A</v>
        <stp/>
        <stp>BDP|854172571672993904</stp>
        <tr r="Q206" s="2"/>
      </tp>
      <tp t="s">
        <v>#N/A N/A</v>
        <stp/>
        <stp>BDP|459363481133168551</stp>
        <tr r="AE130" s="2"/>
      </tp>
      <tp t="s">
        <v>#N/A N/A</v>
        <stp/>
        <stp>BDP|749651439999043059</stp>
        <tr r="AD98" s="2"/>
      </tp>
      <tp t="s">
        <v>#N/A N/A</v>
        <stp/>
        <stp>BDP|258174206838951555</stp>
        <tr r="N232" s="2"/>
      </tp>
      <tp t="s">
        <v>#N/A N/A</v>
        <stp/>
        <stp>BDP|976569292083209309</stp>
        <tr r="K218" s="2"/>
        <tr r="R218" s="2"/>
        <tr r="W218" s="2"/>
      </tp>
      <tp t="s">
        <v>#N/A N/A</v>
        <stp/>
        <stp>BDP|969906894138167443</stp>
        <tr r="S184" s="2"/>
      </tp>
      <tp t="s">
        <v>#N/A N/A</v>
        <stp/>
        <stp>BDP|969754064874107906</stp>
        <tr r="H92" s="2"/>
      </tp>
      <tp t="s">
        <v>#N/A N/A</v>
        <stp/>
        <stp>BDP|780369658632546850</stp>
        <tr r="C230" s="2"/>
      </tp>
      <tp t="s">
        <v>#N/A N/A</v>
        <stp/>
        <stp>BDP|259386992311681779</stp>
        <tr r="O206" s="2"/>
      </tp>
      <tp t="s">
        <v>#N/A N/A</v>
        <stp/>
        <stp>BDP|959098362523966929</stp>
        <tr r="AC91" s="2"/>
      </tp>
      <tp t="s">
        <v>#N/A N/A</v>
        <stp/>
        <stp>BDP|917142275813049931</stp>
        <tr r="E31" s="2"/>
      </tp>
      <tp t="s">
        <v>#N/A N/A</v>
        <stp/>
        <stp>BDP|485964137630890661</stp>
        <tr r="AD55" s="2"/>
      </tp>
      <tp t="s">
        <v>#N/A N/A</v>
        <stp/>
        <stp>BDP|934182585703732678</stp>
        <tr r="I19" s="2"/>
      </tp>
      <tp t="s">
        <v>#N/A N/A</v>
        <stp/>
        <stp>BDP|865114385286099388</stp>
        <tr r="V81" s="2"/>
      </tp>
      <tp t="s">
        <v>#N/A N/A</v>
        <stp/>
        <stp>BDP|315069131228697779</stp>
        <tr r="V10" s="2"/>
      </tp>
      <tp t="s">
        <v>#N/A N/A</v>
        <stp/>
        <stp>BDP|271812546986400643</stp>
        <tr r="I218" s="2"/>
      </tp>
      <tp t="s">
        <v>#N/A N/A</v>
        <stp/>
        <stp>BDP|685723799783138190</stp>
        <tr r="C177" s="2"/>
      </tp>
      <tp t="s">
        <v>#N/A N/A</v>
        <stp/>
        <stp>BDP|213936177541578366</stp>
        <tr r="K3" s="2"/>
        <tr r="R3" s="2"/>
        <tr r="W3" s="2"/>
      </tp>
      <tp t="s">
        <v>#N/A N/A</v>
        <stp/>
        <stp>BDP|424668733880118952</stp>
        <tr r="T137" s="2"/>
      </tp>
      <tp t="s">
        <v>#N/A N/A</v>
        <stp/>
        <stp>BDP|619481390567084690</stp>
        <tr r="AE219" s="2"/>
      </tp>
      <tp t="s">
        <v>#N/A N/A</v>
        <stp/>
        <stp>BDP|523156355961063956</stp>
        <tr r="U11" s="2"/>
      </tp>
      <tp t="s">
        <v>#N/A N/A</v>
        <stp/>
        <stp>BDP|947623020678342082</stp>
        <tr r="L176" s="2"/>
      </tp>
      <tp t="s">
        <v>#N/A N/A</v>
        <stp/>
        <stp>BDP|732936200260158548</stp>
        <tr r="AC235" s="2"/>
      </tp>
      <tp t="s">
        <v>#N/A N/A</v>
        <stp/>
        <stp>BDP|924273830995822874</stp>
        <tr r="X161" s="2"/>
      </tp>
      <tp t="s">
        <v>#N/A N/A</v>
        <stp/>
        <stp>BDP|698838054677645663</stp>
        <tr r="M17" s="2"/>
      </tp>
      <tp t="s">
        <v>#N/A N/A</v>
        <stp/>
        <stp>BDP|649700657086738877</stp>
        <tr r="N8" s="2"/>
      </tp>
      <tp t="s">
        <v>#N/A N/A</v>
        <stp/>
        <stp>BDP|767537512588152067</stp>
        <tr r="F96" s="2"/>
      </tp>
      <tp t="s">
        <v>#N/A N/A</v>
        <stp/>
        <stp>BDP|373931151247015731</stp>
        <tr r="P165" s="2"/>
      </tp>
      <tp t="s">
        <v>#N/A N/A</v>
        <stp/>
        <stp>BDP|337549923573273851</stp>
        <tr r="AE36" s="2"/>
      </tp>
      <tp t="s">
        <v>#N/A N/A</v>
        <stp/>
        <stp>BDP|892977814622832606</stp>
        <tr r="K91" s="2"/>
        <tr r="R91" s="2"/>
        <tr r="W91" s="2"/>
      </tp>
      <tp t="s">
        <v>#N/A N/A</v>
        <stp/>
        <stp>BDP|867054092704974151</stp>
        <tr r="T102" s="2"/>
      </tp>
      <tp t="s">
        <v>#N/A N/A</v>
        <stp/>
        <stp>BDP|906000119868587567</stp>
        <tr r="I236" s="2"/>
      </tp>
      <tp t="s">
        <v>#N/A N/A</v>
        <stp/>
        <stp>BDP|941277295032466639</stp>
        <tr r="L111" s="2"/>
      </tp>
      <tp t="s">
        <v>#N/A N/A</v>
        <stp/>
        <stp>BDP|256180399294870350</stp>
        <tr r="P66" s="2"/>
      </tp>
      <tp t="s">
        <v>#N/A N/A</v>
        <stp/>
        <stp>BDP|912452614452302832</stp>
        <tr r="T157" s="2"/>
      </tp>
      <tp t="s">
        <v>#N/A N/A</v>
        <stp/>
        <stp>BDP|774868469545739462</stp>
        <tr r="M141" s="2"/>
      </tp>
      <tp t="s">
        <v>#N/A N/A</v>
        <stp/>
        <stp>BDP|634429940608543783</stp>
        <tr r="F118" s="2"/>
      </tp>
      <tp t="s">
        <v>#N/A N/A</v>
        <stp/>
        <stp>BDP|941335821499795768</stp>
        <tr r="AD150" s="2"/>
      </tp>
      <tp t="s">
        <v>#N/A N/A</v>
        <stp/>
        <stp>BDP|565384412275075841</stp>
        <tr r="F56" s="2"/>
      </tp>
      <tp t="s">
        <v>#N/A N/A</v>
        <stp/>
        <stp>BDP|722279275998319229</stp>
        <tr r="K178" s="2"/>
        <tr r="R178" s="2"/>
        <tr r="W178" s="2"/>
      </tp>
      <tp t="s">
        <v>#N/A N/A</v>
        <stp/>
        <stp>BDP|903781658004924941</stp>
        <tr r="E158" s="2"/>
      </tp>
      <tp t="s">
        <v>#N/A N/A</v>
        <stp/>
        <stp>BDP|131971048780317292</stp>
        <tr r="Z164" s="2"/>
      </tp>
      <tp t="s">
        <v>#N/A N/A</v>
        <stp/>
        <stp>BDP|477002381692832594</stp>
        <tr r="C25" s="2"/>
      </tp>
      <tp t="s">
        <v>#N/A N/A</v>
        <stp/>
        <stp>BDP|756247453350388869</stp>
        <tr r="S169" s="2"/>
      </tp>
      <tp t="s">
        <v>#N/A N/A</v>
        <stp/>
        <stp>BDP|147578992791137234</stp>
        <tr r="C108" s="2"/>
      </tp>
      <tp t="s">
        <v>#N/A N/A</v>
        <stp/>
        <stp>BDP|309395386790263482</stp>
        <tr r="C127" s="2"/>
      </tp>
      <tp t="s">
        <v>#N/A N/A</v>
        <stp/>
        <stp>BDP|965015826265031890</stp>
        <tr r="B26" s="2"/>
      </tp>
      <tp t="s">
        <v>#N/A N/A</v>
        <stp/>
        <stp>BDP|531922145662099022</stp>
        <tr r="T85" s="2"/>
      </tp>
      <tp t="s">
        <v>#N/A N/A</v>
        <stp/>
        <stp>BDP|461726995498044915</stp>
        <tr r="D164" s="2"/>
      </tp>
      <tp t="s">
        <v>#N/A N/A</v>
        <stp/>
        <stp>BDP|105632596186110669</stp>
        <tr r="H193" s="2"/>
      </tp>
      <tp t="s">
        <v>#N/A N/A</v>
        <stp/>
        <stp>BDP|985597339829685135</stp>
        <tr r="B31" s="2"/>
      </tp>
      <tp t="s">
        <v>#N/A N/A</v>
        <stp/>
        <stp>BDP|909865841906407462</stp>
        <tr r="H144" s="2"/>
      </tp>
      <tp t="s">
        <v>#N/A N/A</v>
        <stp/>
        <stp>BDP|233840048403536163</stp>
        <tr r="AA15" s="2"/>
      </tp>
      <tp t="s">
        <v>#N/A N/A</v>
        <stp/>
        <stp>BDP|885556683644947790</stp>
        <tr r="AC145" s="2"/>
      </tp>
      <tp t="s">
        <v>#N/A N/A</v>
        <stp/>
        <stp>BDP|469124698452006419</stp>
        <tr r="AA200" s="2"/>
      </tp>
      <tp t="s">
        <v>#N/A N/A</v>
        <stp/>
        <stp>BDP|690983106221146668</stp>
        <tr r="Q181" s="2"/>
      </tp>
      <tp t="s">
        <v>#N/A N/A</v>
        <stp/>
        <stp>BDP|903260490594756108</stp>
        <tr r="AD139" s="2"/>
      </tp>
      <tp t="s">
        <v>#N/A N/A</v>
        <stp/>
        <stp>BDP|218166247068821338</stp>
        <tr r="Q201" s="2"/>
      </tp>
      <tp t="s">
        <v>#N/A N/A</v>
        <stp/>
        <stp>BDP|918692919020485964</stp>
        <tr r="H24" s="2"/>
      </tp>
      <tp t="s">
        <v>#N/A N/A</v>
        <stp/>
        <stp>BDP|948064714166885976</stp>
        <tr r="G90" s="2"/>
      </tp>
      <tp t="s">
        <v>#N/A N/A</v>
        <stp/>
        <stp>BDP|677136393204483273</stp>
        <tr r="AB200" s="2"/>
      </tp>
      <tp t="s">
        <v>#N/A N/A</v>
        <stp/>
        <stp>BDP|615956320320274542</stp>
        <tr r="L89" s="2"/>
      </tp>
      <tp t="s">
        <v>#N/A N/A</v>
        <stp/>
        <stp>BDP|730463402523680925</stp>
        <tr r="Y63" s="2"/>
      </tp>
      <tp t="s">
        <v>#N/A N/A</v>
        <stp/>
        <stp>BDP|104975373889527917</stp>
        <tr r="AD137" s="2"/>
      </tp>
      <tp t="s">
        <v>#N/A N/A</v>
        <stp/>
        <stp>BDP|533206264778628269</stp>
        <tr r="D124" s="2"/>
      </tp>
      <tp t="s">
        <v>#N/A N/A</v>
        <stp/>
        <stp>BDP|550097897697967033</stp>
        <tr r="AA195" s="2"/>
      </tp>
      <tp t="s">
        <v>#N/A N/A</v>
        <stp/>
        <stp>BDP|110956363850832639</stp>
        <tr r="U65" s="2"/>
      </tp>
      <tp t="s">
        <v>#N/A N/A</v>
        <stp/>
        <stp>BDP|391105199912674321</stp>
        <tr r="S80" s="2"/>
      </tp>
      <tp t="s">
        <v>#N/A N/A</v>
        <stp/>
        <stp>BDP|966691033428406483</stp>
        <tr r="Q29" s="2"/>
      </tp>
      <tp t="s">
        <v>#N/A N/A</v>
        <stp/>
        <stp>BDP|930267499620998278</stp>
        <tr r="X71" s="2"/>
      </tp>
      <tp t="s">
        <v>#N/A N/A</v>
        <stp/>
        <stp>BDP|125804465125854268</stp>
        <tr r="U79" s="2"/>
      </tp>
      <tp t="s">
        <v>#N/A N/A</v>
        <stp/>
        <stp>BDP|272831249705504061</stp>
        <tr r="E171" s="2"/>
      </tp>
      <tp t="s">
        <v>#N/A N/A</v>
        <stp/>
        <stp>BDP|279575062969511361</stp>
        <tr r="S107" s="2"/>
      </tp>
      <tp t="s">
        <v>#N/A N/A</v>
        <stp/>
        <stp>BDP|210217331280594828</stp>
        <tr r="X124" s="2"/>
      </tp>
      <tp t="s">
        <v>#N/A N/A</v>
        <stp/>
        <stp>BDP|383418599704456080</stp>
        <tr r="I233" s="2"/>
      </tp>
      <tp t="s">
        <v>#N/A N/A</v>
        <stp/>
        <stp>BDP|997616340853717885</stp>
        <tr r="E199" s="2"/>
      </tp>
      <tp t="s">
        <v>#N/A N/A</v>
        <stp/>
        <stp>BDP|693929235035707611</stp>
        <tr r="P119" s="2"/>
      </tp>
      <tp t="s">
        <v>#N/A N/A</v>
        <stp/>
        <stp>BDP|290645180673352428</stp>
        <tr r="AB134" s="2"/>
      </tp>
      <tp t="s">
        <v>#N/A N/A</v>
        <stp/>
        <stp>BDP|845928498010486968</stp>
        <tr r="I178" s="2"/>
      </tp>
      <tp t="s">
        <v>#N/A N/A</v>
        <stp/>
        <stp>BDP|115357663849070565</stp>
        <tr r="K95" s="2"/>
        <tr r="R95" s="2"/>
        <tr r="W95" s="2"/>
      </tp>
      <tp t="s">
        <v>#N/A N/A</v>
        <stp/>
        <stp>BDP|346349745496724879</stp>
        <tr r="N183" s="2"/>
      </tp>
      <tp t="s">
        <v>#N/A N/A</v>
        <stp/>
        <stp>BDP|552804987790219927</stp>
        <tr r="G174" s="2"/>
      </tp>
      <tp t="s">
        <v>#N/A N/A</v>
        <stp/>
        <stp>BDP|956854441903779695</stp>
        <tr r="G45" s="2"/>
      </tp>
      <tp t="s">
        <v>#N/A N/A</v>
        <stp/>
        <stp>BDP|584286723418594183</stp>
        <tr r="Q39" s="2"/>
      </tp>
      <tp t="s">
        <v>#N/A N/A</v>
        <stp/>
        <stp>BDP|121411886700982438</stp>
        <tr r="H46" s="2"/>
      </tp>
      <tp t="s">
        <v>#N/A N/A</v>
        <stp/>
        <stp>BDP|831847902570078031</stp>
        <tr r="C63" s="2"/>
      </tp>
      <tp t="s">
        <v>#N/A N/A</v>
        <stp/>
        <stp>BDP|317383381160053334</stp>
        <tr r="AA173" s="2"/>
      </tp>
      <tp t="s">
        <v>#N/A N/A</v>
        <stp/>
        <stp>BDP|290402988216486272</stp>
        <tr r="AB166" s="2"/>
      </tp>
      <tp t="s">
        <v>#N/A N/A</v>
        <stp/>
        <stp>BDP|975556297863882794</stp>
        <tr r="F135" s="2"/>
      </tp>
      <tp t="s">
        <v>#N/A N/A</v>
        <stp/>
        <stp>BDP|323938044333924668</stp>
        <tr r="C16" s="2"/>
      </tp>
      <tp t="s">
        <v>#N/A N/A</v>
        <stp/>
        <stp>BDP|686859020122040053</stp>
        <tr r="Q99" s="2"/>
      </tp>
      <tp t="s">
        <v>#N/A N/A</v>
        <stp/>
        <stp>BDP|538478414915712877</stp>
        <tr r="K72" s="2"/>
        <tr r="R72" s="2"/>
        <tr r="W72" s="2"/>
      </tp>
      <tp t="s">
        <v>#N/A N/A</v>
        <stp/>
        <stp>BDP|949947772540973678</stp>
        <tr r="AB133" s="2"/>
      </tp>
      <tp t="s">
        <v>#N/A N/A</v>
        <stp/>
        <stp>BDP|167359512232755805</stp>
        <tr r="K9" s="2"/>
        <tr r="R9" s="2"/>
        <tr r="W9" s="2"/>
      </tp>
      <tp t="s">
        <v>#N/A N/A</v>
        <stp/>
        <stp>BDP|853899011173414263</stp>
        <tr r="M64" s="2"/>
      </tp>
      <tp t="s">
        <v>#N/A N/A</v>
        <stp/>
        <stp>BDP|139198292337040789</stp>
        <tr r="L216" s="2"/>
      </tp>
      <tp t="s">
        <v>#N/A N/A</v>
        <stp/>
        <stp>BDP|291570117529351523</stp>
        <tr r="E51" s="2"/>
      </tp>
      <tp t="s">
        <v>#N/A N/A</v>
        <stp/>
        <stp>BDP|313670605928391613</stp>
        <tr r="N138" s="2"/>
      </tp>
      <tp t="s">
        <v>#N/A N/A</v>
        <stp/>
        <stp>BDP|683521795510571478</stp>
        <tr r="O60" s="2"/>
      </tp>
      <tp t="s">
        <v>#N/A N/A</v>
        <stp/>
        <stp>BDP|787645662958277007</stp>
        <tr r="P94" s="2"/>
      </tp>
      <tp t="s">
        <v>#N/A N/A</v>
        <stp/>
        <stp>BDP|656440048263397846</stp>
        <tr r="Q27" s="2"/>
      </tp>
      <tp t="s">
        <v>#N/A N/A</v>
        <stp/>
        <stp>BDP|828755791665157032</stp>
        <tr r="T100" s="2"/>
      </tp>
      <tp t="s">
        <v>#N/A N/A</v>
        <stp/>
        <stp>BDP|549638249710773976</stp>
        <tr r="E172" s="2"/>
      </tp>
      <tp t="s">
        <v>#N/A N/A</v>
        <stp/>
        <stp>BDP|195616963248907358</stp>
        <tr r="D199" s="2"/>
      </tp>
      <tp t="s">
        <v>#N/A N/A</v>
        <stp/>
        <stp>BDP|733958062361824508</stp>
        <tr r="AC98" s="2"/>
      </tp>
      <tp t="s">
        <v>#N/A N/A</v>
        <stp/>
        <stp>BDP|989283289416135706</stp>
        <tr r="AE186" s="2"/>
      </tp>
      <tp t="s">
        <v>#N/A N/A</v>
        <stp/>
        <stp>BDP|490979701183222195</stp>
        <tr r="M200" s="2"/>
      </tp>
      <tp t="s">
        <v>#N/A N/A</v>
        <stp/>
        <stp>BDP|125667158979408114</stp>
        <tr r="B216" s="2"/>
      </tp>
      <tp t="s">
        <v>#N/A N/A</v>
        <stp/>
        <stp>BDP|480853501062317177</stp>
        <tr r="Y183" s="2"/>
      </tp>
      <tp t="s">
        <v>#N/A N/A</v>
        <stp/>
        <stp>BDP|719961914326288527</stp>
        <tr r="N14" s="2"/>
      </tp>
      <tp t="s">
        <v>#N/A N/A</v>
        <stp/>
        <stp>BDP|663883547027807044</stp>
        <tr r="AA225" s="2"/>
      </tp>
      <tp t="s">
        <v>#N/A N/A</v>
        <stp/>
        <stp>BDP|975889783203286809</stp>
        <tr r="V61" s="2"/>
      </tp>
      <tp t="s">
        <v>#N/A N/A</v>
        <stp/>
        <stp>BDP|154508537499492425</stp>
        <tr r="U67" s="2"/>
      </tp>
      <tp t="s">
        <v>#N/A N/A</v>
        <stp/>
        <stp>BDP|442485827429822420</stp>
        <tr r="E142" s="2"/>
      </tp>
      <tp t="s">
        <v>#N/A N/A</v>
        <stp/>
        <stp>BDP|549028494646195418</stp>
        <tr r="V139" s="2"/>
      </tp>
      <tp t="s">
        <v>#N/A N/A</v>
        <stp/>
        <stp>BDP|858806505044003636</stp>
        <tr r="AC28" s="2"/>
      </tp>
      <tp t="s">
        <v>#N/A N/A</v>
        <stp/>
        <stp>BDP|798801538388884980</stp>
        <tr r="AC213" s="2"/>
      </tp>
      <tp t="s">
        <v>#N/A N/A</v>
        <stp/>
        <stp>BDP|298782848109818028</stp>
        <tr r="Q62" s="2"/>
      </tp>
      <tp t="s">
        <v>#N/A N/A</v>
        <stp/>
        <stp>BDP|679894384239325326</stp>
        <tr r="AC49" s="2"/>
      </tp>
      <tp t="s">
        <v>#N/A N/A</v>
        <stp/>
        <stp>BDP|916508317528619628</stp>
        <tr r="H59" s="2"/>
      </tp>
      <tp t="s">
        <v>#N/A N/A</v>
        <stp/>
        <stp>BDP|964168903823285856</stp>
        <tr r="AC234" s="2"/>
      </tp>
      <tp t="s">
        <v>#N/A N/A</v>
        <stp/>
        <stp>BDP|308532660309102078</stp>
        <tr r="V131" s="2"/>
      </tp>
      <tp t="s">
        <v>#N/A N/A</v>
        <stp/>
        <stp>BDP|380720436828384625</stp>
        <tr r="S57" s="2"/>
      </tp>
      <tp t="s">
        <v>#N/A N/A</v>
        <stp/>
        <stp>BDP|858878504660593282</stp>
        <tr r="F239" s="2"/>
      </tp>
      <tp t="s">
        <v>#N/A N/A</v>
        <stp/>
        <stp>BDP|655565775959219106</stp>
        <tr r="G24" s="2"/>
      </tp>
      <tp t="s">
        <v>#N/A N/A</v>
        <stp/>
        <stp>BDP|627420334748007517</stp>
        <tr r="H47" s="2"/>
      </tp>
      <tp t="s">
        <v>#N/A N/A</v>
        <stp/>
        <stp>BDP|956341398657157752</stp>
        <tr r="L209" s="2"/>
      </tp>
      <tp t="s">
        <v>#N/A N/A</v>
        <stp/>
        <stp>BDP|675251939722084995</stp>
        <tr r="G166" s="2"/>
      </tp>
      <tp t="s">
        <v>#N/A N/A</v>
        <stp/>
        <stp>BDP|499817965651660</stp>
        <tr r="AE154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40"/>
  <sheetViews>
    <sheetView workbookViewId="0">
      <selection sqref="A1:XFD1048576"/>
    </sheetView>
  </sheetViews>
  <sheetFormatPr defaultRowHeight="15" x14ac:dyDescent="0.25"/>
  <cols>
    <col min="1" max="1" width="19" customWidth="1"/>
    <col min="2" max="2" width="93.28515625" customWidth="1"/>
    <col min="3" max="3" width="20" customWidth="1"/>
    <col min="4" max="5" width="19" customWidth="1"/>
    <col min="6" max="6" width="28.140625" customWidth="1"/>
    <col min="7" max="8" width="19" customWidth="1"/>
    <col min="9" max="10" width="28.140625" customWidth="1"/>
    <col min="11" max="11" width="32" customWidth="1"/>
    <col min="12" max="31" width="19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9</v>
      </c>
      <c r="S1" s="1" t="s">
        <v>16</v>
      </c>
      <c r="T1" s="1" t="s">
        <v>17</v>
      </c>
      <c r="U1" s="1" t="s">
        <v>2</v>
      </c>
      <c r="V1" s="1" t="s">
        <v>18</v>
      </c>
      <c r="W1" s="1" t="s">
        <v>9</v>
      </c>
      <c r="X1" s="1" t="s">
        <v>4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</row>
    <row r="2" spans="1:31" x14ac:dyDescent="0.25">
      <c r="A2" t="s">
        <v>26</v>
      </c>
      <c r="B2" t="str">
        <f>_xll.BDP("2800 HK Equity","LONG_COMP_NAME")</f>
        <v>Tracker Fund of Hong Kong Ltd</v>
      </c>
      <c r="C2">
        <f>_xll.BDP("2800 HK Equity","PX385","PX395=FUND_FLOW","DY262=D","PY204=N","PX391=20260622","PX392=20260626","DS004=USD")</f>
        <v>1308.5186429748194</v>
      </c>
      <c r="D2">
        <f>_xll.BDP("2800 HK Equity","PX388","PX395=TURNOVER","DY262=D","PY204=N","PX391=20260601","PX392=20260626","DS004=HKD")</f>
        <v>19973626315.789471</v>
      </c>
      <c r="E2">
        <f>_xll.BDP("2800 HK Equity","PX388","PX395=TURNOVER","DY262=D","PY204=N","PX391=20250101","PX392=20251231","DS004=HKD")</f>
        <v>15098926833.333334</v>
      </c>
      <c r="F2">
        <f>_xll.BDP("2800 HK Equity","PX596","PX395=FUND_TOTAL_ASSETS","DY262=D","PY204=N","PX391=20260626","PX392=20260626","DS004=USD")</f>
        <v>16690.92201130182</v>
      </c>
      <c r="G2">
        <f>_xll.BDP("2800 HK Equity","PX388","PX395=CUR_MKT_CAP","DY262=D","PY204=N","PX391=20260626","PX392=20260626","DS004=HKD")</f>
        <v>131001.9069</v>
      </c>
      <c r="H2" t="str">
        <f>_xll.BDP("2800 HK Equity","FUND_LEVERAGE_TYPE")</f>
        <v>#N/A N/A</v>
      </c>
      <c r="I2">
        <f>_xll.BDP("2800 HK Equity","PX388","PX395=TURNOVER","DY262=D","PY204=N","PX391=20260101","PX392=20260131","DS004=HKD")</f>
        <v>14864323809.523808</v>
      </c>
      <c r="J2">
        <v>-1</v>
      </c>
      <c r="K2" t="str">
        <f>_xll.BDP("2800 HK Equity","FUND_INCEPT_DT")</f>
        <v>11/12/1999</v>
      </c>
      <c r="L2" t="str">
        <f>_xll.BDP("2800 HK Equity","PX388","PX395=TURNOVER_EXCH_RATIO","DY262=D","PY204=N","PX391=20251201","PX392=20251210")</f>
        <v>#N/A N/A</v>
      </c>
      <c r="M2">
        <f>_xll.BDP("2800 HK Equity","EQY_SH_OUT")</f>
        <v>5675.9929999999995</v>
      </c>
      <c r="N2">
        <f>_xll.BDP("2800 HK Equity","EQY_TRR_PCT_YTD")</f>
        <v>-10.13029</v>
      </c>
      <c r="O2">
        <f>_xll.BDP("2800 HK Equity","CHG_PCT_YTD")</f>
        <v>-9.3725780000000007</v>
      </c>
      <c r="P2">
        <f>_xll.BDP("2800 HK Equity","CHG_PCT_1M")</f>
        <v>-7.8740139999999998</v>
      </c>
      <c r="Q2" t="str">
        <f>_xll.BDP("2800 HK Equity","LISTING_DATE")</f>
        <v>11/12/1999</v>
      </c>
      <c r="R2" t="str">
        <f>_xll.BDP("2800 HK Equity","FUND_INCEPT_DT")</f>
        <v>11/12/1999</v>
      </c>
      <c r="S2">
        <f>_xll.BDP("2800 HK Equity","AVG_DAILY_VALUE_TRADED_3M")</f>
        <v>18535840000</v>
      </c>
      <c r="T2" t="str">
        <f>_xll.BDP("2800 HK Equity","PX596","PX395=HISTORICAL_MARKET_CAP","DY262=D","PY204=N","PX391=20231231","PX392=20231231","DS004=HKD")</f>
        <v>#N/A N/A</v>
      </c>
      <c r="U2">
        <f>_xll.BDP("2800 HK Equity","PX385","PX395=FUND_FLOW","DY262=D","PY204=N","PX391=20240102","PX392=20240930","DS004=HKD")</f>
        <v>1923.8521000000055</v>
      </c>
      <c r="V2">
        <f>_xll.BDP("2800 HK Equity","PX596","PX395=CUR_MKT_CAP","DY262=D","PY204=N","PX391=20240101","DS004=HKD")</f>
        <v>136071.20635000002</v>
      </c>
      <c r="W2" t="str">
        <f>_xll.BDP("2800 HK Equity","FUND_INCEPT_DT")</f>
        <v>11/12/1999</v>
      </c>
      <c r="X2">
        <f>_xll.BDP("2800 HK Equity","PX388","PX395=TURNOVER","DY262=D","PY204=N","PX391=20240502","PX392=20240606","DS004=HKD")</f>
        <v>8159234560</v>
      </c>
      <c r="Y2" t="str">
        <f>_xll.BDP("2800 HK Equity","PARENT_COMP_NAME")</f>
        <v>Hang Seng Investment Managemen</v>
      </c>
      <c r="Z2" t="str">
        <f>_xll.BDP("2800 HK Equity","NAV_CRNCY")</f>
        <v>HKD</v>
      </c>
      <c r="AA2" t="str">
        <f>_xll.BDP("2800 HK Equity","FUND_GEO_FOCUS")</f>
        <v>Hong Kong</v>
      </c>
      <c r="AB2" t="str">
        <f>_xll.BDP("2800 HK Equity","FUND_ASSET_CLASS_FOCUS")</f>
        <v>Equity</v>
      </c>
      <c r="AC2">
        <f>_xll.BDP("2800 HK Equity","PX_LAST")</f>
        <v>23.4</v>
      </c>
      <c r="AD2">
        <f>_xll.BDP("2800 HK Equity","PX388","PX395=TIME_WAVG_BID_ASK_SPREAD_PCT","DY262=D","PY204=N","PX391=20260601","PX392=20260626")</f>
        <v>8.124663747005198E-2</v>
      </c>
      <c r="AE2">
        <f>_xll.BDP("2800 HK Equity","PX388","PX395=AVERAGE_BID_ASK_SPREAD_%","DY262=D","PY204=N","PX391=20260601","PX392=20260626")</f>
        <v>8.3935511258370385E-2</v>
      </c>
    </row>
    <row r="3" spans="1:31" x14ac:dyDescent="0.25">
      <c r="A3" t="s">
        <v>27</v>
      </c>
      <c r="B3" t="str">
        <f>_xll.BDP("2828 HK Equity","LONG_COMP_NAME")</f>
        <v>Hang Seng Investment Index Funds Series - Hang Seng China Enterprises Index ETF</v>
      </c>
      <c r="C3">
        <f>_xll.BDP("2828 HK Equity","PX385","PX395=FUND_FLOW","DY262=D","PY204=N","PX391=20260622","PX392=20260626","DS004=USD")</f>
        <v>316.45697087072972</v>
      </c>
      <c r="D3">
        <f>_xll.BDP("2828 HK Equity","PX388","PX395=TURNOVER","DY262=D","PY204=N","PX391=20260601","PX392=20260626","DS004=HKD")</f>
        <v>7342533684.2105255</v>
      </c>
      <c r="E3">
        <f>_xll.BDP("2828 HK Equity","PX388","PX395=TURNOVER","DY262=D","PY204=N","PX391=20250101","PX392=20251231","DS004=HKD")</f>
        <v>9554909356.5040627</v>
      </c>
      <c r="F3">
        <f>_xll.BDP("2828 HK Equity","PX596","PX395=FUND_TOTAL_ASSETS","DY262=D","PY204=N","PX391=20260626","PX392=20260626","DS004=USD")</f>
        <v>3024.0432366968025</v>
      </c>
      <c r="G3">
        <f>_xll.BDP("2828 HK Equity","PX388","PX395=CUR_MKT_CAP","DY262=D","PY204=N","PX391=20260626","PX392=20260626","DS004=HKD")</f>
        <v>23708.183047439998</v>
      </c>
      <c r="H3" t="str">
        <f>_xll.BDP("2828 HK Equity","FUND_LEVERAGE_TYPE")</f>
        <v>#N/A N/A</v>
      </c>
      <c r="I3">
        <f>_xll.BDP("2828 HK Equity","PX388","PX395=TURNOVER","DY262=D","PY204=N","PX391=20260101","PX392=20260131","DS004=HKD")</f>
        <v>10036083714.285715</v>
      </c>
      <c r="J3">
        <v>-1</v>
      </c>
      <c r="K3" t="str">
        <f>_xll.BDP("2828 HK Equity","FUND_INCEPT_DT")</f>
        <v>12/10/2003</v>
      </c>
      <c r="L3" t="str">
        <f>_xll.BDP("2828 HK Equity","PX388","PX395=TURNOVER_EXCH_RATIO","DY262=D","PY204=N","PX391=20251201","PX392=20251210")</f>
        <v>#N/A N/A</v>
      </c>
      <c r="M3">
        <f>_xll.BDP("2828 HK Equity","EQY_SH_OUT")</f>
        <v>310.39779999999996</v>
      </c>
      <c r="N3">
        <f>_xll.BDP("2828 HK Equity","EQY_TRR_PCT_YTD")</f>
        <v>-15.6492</v>
      </c>
      <c r="O3">
        <f>_xll.BDP("2828 HK Equity","CHG_PCT_YTD")</f>
        <v>-14.74907</v>
      </c>
      <c r="P3">
        <f>_xll.BDP("2828 HK Equity","CHG_PCT_1M")</f>
        <v>-9.9328520000000005</v>
      </c>
      <c r="Q3" t="str">
        <f>_xll.BDP("2828 HK Equity","LISTING_DATE")</f>
        <v>12/10/2003</v>
      </c>
      <c r="R3" t="str">
        <f>_xll.BDP("2828 HK Equity","FUND_INCEPT_DT")</f>
        <v>12/10/2003</v>
      </c>
      <c r="S3">
        <f>_xll.BDP("2828 HK Equity","AVG_DAILY_VALUE_TRADED_3M")</f>
        <v>8703043000</v>
      </c>
      <c r="T3" t="str">
        <f>_xll.BDP("2828 HK Equity","PX596","PX395=HISTORICAL_MARKET_CAP","DY262=D","PY204=N","PX391=20231231","PX392=20231231","DS004=HKD")</f>
        <v>#N/A N/A</v>
      </c>
      <c r="U3">
        <f>_xll.BDP("2828 HK Equity","PX385","PX395=FUND_FLOW","DY262=D","PY204=N","PX391=20240102","PX392=20240930","DS004=HKD")</f>
        <v>-11953.568023104202</v>
      </c>
      <c r="V3">
        <f>_xll.BDP("2828 HK Equity","PX596","PX395=CUR_MKT_CAP","DY262=D","PY204=N","PX391=20240101","DS004=HKD")</f>
        <v>31538.088833940001</v>
      </c>
      <c r="W3" t="str">
        <f>_xll.BDP("2828 HK Equity","FUND_INCEPT_DT")</f>
        <v>12/10/2003</v>
      </c>
      <c r="X3">
        <f>_xll.BDP("2828 HK Equity","PX388","PX395=TURNOVER","DY262=D","PY204=N","PX391=20240502","PX392=20240606","DS004=HKD")</f>
        <v>3832370400</v>
      </c>
      <c r="Y3" t="str">
        <f>_xll.BDP("2828 HK Equity","PARENT_COMP_NAME")</f>
        <v>Hang Seng Investment Managemen</v>
      </c>
      <c r="Z3" t="str">
        <f>_xll.BDP("2828 HK Equity","NAV_CRNCY")</f>
        <v>HKD</v>
      </c>
      <c r="AA3" t="str">
        <f>_xll.BDP("2828 HK Equity","FUND_GEO_FOCUS")</f>
        <v>China</v>
      </c>
      <c r="AB3" t="str">
        <f>_xll.BDP("2828 HK Equity","FUND_ASSET_CLASS_FOCUS")</f>
        <v>Equity</v>
      </c>
      <c r="AC3">
        <f>_xll.BDP("2828 HK Equity","PX_LAST")</f>
        <v>77.8</v>
      </c>
      <c r="AD3">
        <f>_xll.BDP("2828 HK Equity","PX388","PX395=TIME_WAVG_BID_ASK_SPREAD_PCT","DY262=D","PY204=N","PX391=20260601","PX392=20260626")</f>
        <v>2.6080022957096074E-2</v>
      </c>
      <c r="AE3">
        <f>_xll.BDP("2828 HK Equity","PX388","PX395=AVERAGE_BID_ASK_SPREAD_%","DY262=D","PY204=N","PX391=20260601","PX392=20260626")</f>
        <v>2.727751380369178E-2</v>
      </c>
    </row>
    <row r="4" spans="1:31" x14ac:dyDescent="0.25">
      <c r="A4" t="s">
        <v>28</v>
      </c>
      <c r="B4" t="str">
        <f>_xll.BDP("7747 HK Equity","LONG_COMP_NAME")</f>
        <v>CSOP Samsung Electronics Daily 2x Leveraged Product</v>
      </c>
      <c r="C4">
        <f>_xll.BDP("7747 HK Equity","PX385","PX395=FUND_FLOW","DY262=D","PY204=N","PX391=20260622","PX392=20260626","DS004=USD")</f>
        <v>171.76601773543382</v>
      </c>
      <c r="D4">
        <f>_xll.BDP("7747 HK Equity","PX388","PX395=TURNOVER","DY262=D","PY204=N","PX391=20260601","PX392=20260626","DS004=HKD")</f>
        <v>4149444368.4210529</v>
      </c>
      <c r="E4">
        <f>_xll.BDP("7747 HK Equity","PX388","PX395=TURNOVER","DY262=D","PY204=N","PX391=20250101","PX392=20251231","DS004=HKD")</f>
        <v>7276772.833333333</v>
      </c>
      <c r="F4">
        <f>_xll.BDP("7747 HK Equity","PX596","PX395=FUND_TOTAL_ASSETS","DY262=D","PY204=N","PX391=20260626","PX392=20260626","DS004=USD")</f>
        <v>3887.9117330100003</v>
      </c>
      <c r="G4">
        <f>_xll.BDP("7747 HK Equity","PX388","PX395=CUR_MKT_CAP","DY262=D","PY204=N","PX391=20260626","PX392=20260626","DS004=HKD")</f>
        <v>30508.55</v>
      </c>
      <c r="H4" t="str">
        <f>_xll.BDP("7747 HK Equity","FUND_LEVERAGE_TYPE")</f>
        <v>Long</v>
      </c>
      <c r="I4">
        <f>_xll.BDP("7747 HK Equity","PX388","PX395=TURNOVER","DY262=D","PY204=N","PX391=20260101","PX392=20260131","DS004=HKD")</f>
        <v>159858722.85714287</v>
      </c>
      <c r="J4">
        <v>-1</v>
      </c>
      <c r="K4" t="str">
        <f>_xll.BDP("7747 HK Equity","FUND_INCEPT_DT")</f>
        <v>5/28/2025</v>
      </c>
      <c r="L4" t="str">
        <f>_xll.BDP("7747 HK Equity","PX388","PX395=TURNOVER_EXCH_RATIO","DY262=D","PY204=N","PX391=20251201","PX392=20251210")</f>
        <v>#N/A N/A</v>
      </c>
      <c r="M4">
        <f>_xll.BDP("7747 HK Equity","EQY_SH_OUT")</f>
        <v>173</v>
      </c>
      <c r="N4">
        <f>_xll.BDP("7747 HK Equity","EQY_TRR_PCT_YTD")</f>
        <v>431.03930000000003</v>
      </c>
      <c r="O4">
        <f>_xll.BDP("7747 HK Equity","CHG_PCT_YTD")</f>
        <v>371.64179999999999</v>
      </c>
      <c r="P4">
        <f>_xll.BDP("7747 HK Equity","CHG_PCT_1M")</f>
        <v>-10.810040000000001</v>
      </c>
      <c r="Q4" t="str">
        <f>_xll.BDP("7747 HK Equity","LISTING_DATE")</f>
        <v>5/28/2025</v>
      </c>
      <c r="R4" t="str">
        <f>_xll.BDP("7747 HK Equity","FUND_INCEPT_DT")</f>
        <v>5/28/2025</v>
      </c>
      <c r="S4">
        <f>_xll.BDP("7747 HK Equity","AVG_DAILY_VALUE_TRADED_3M")</f>
        <v>2345286000</v>
      </c>
      <c r="T4" t="str">
        <f>_xll.BDP("7747 HK Equity","PX596","PX395=HISTORICAL_MARKET_CAP","DY262=D","PY204=N","PX391=20231231","PX392=20231231","DS004=HKD")</f>
        <v>#N/A N/A</v>
      </c>
      <c r="U4" t="str">
        <f>_xll.BDP("7747 HK Equity","PX385","PX395=FUND_FLOW","DY262=D","PY204=N","PX391=20240102","PX392=20240930","DS004=HKD")</f>
        <v>#N/A N/A</v>
      </c>
      <c r="V4">
        <f>_xll.BDP("7747 HK Equity","PX596","PX395=CUR_MKT_CAP","DY262=D","PY204=N","PX391=20240101","DS004=HKD")</f>
        <v>418.75</v>
      </c>
      <c r="W4" t="str">
        <f>_xll.BDP("7747 HK Equity","FUND_INCEPT_DT")</f>
        <v>5/28/2025</v>
      </c>
      <c r="X4" t="str">
        <f>_xll.BDP("7747 HK Equity","PX388","PX395=TURNOVER","DY262=D","PY204=N","PX391=20240502","PX392=20240606","DS004=HKD")</f>
        <v>#N/A N/A</v>
      </c>
      <c r="Y4" t="str">
        <f>_xll.BDP("7747 HK Equity","PARENT_COMP_NAME")</f>
        <v>CSOP Asset Management Ltd/Hong</v>
      </c>
      <c r="Z4" t="str">
        <f>_xll.BDP("7747 HK Equity","NAV_CRNCY")</f>
        <v>HKD</v>
      </c>
      <c r="AA4" t="str">
        <f>_xll.BDP("7747 HK Equity","FUND_GEO_FOCUS")</f>
        <v>South Korea</v>
      </c>
      <c r="AB4" t="str">
        <f>_xll.BDP("7747 HK Equity","FUND_ASSET_CLASS_FOCUS")</f>
        <v>Specialty</v>
      </c>
      <c r="AC4">
        <f>_xll.BDP("7747 HK Equity","PX_LAST")</f>
        <v>158</v>
      </c>
      <c r="AD4">
        <f>_xll.BDP("7747 HK Equity","PX388","PX395=TIME_WAVG_BID_ASK_SPREAD_PCT","DY262=D","PY204=N","PX391=20260601","PX392=20260626")</f>
        <v>7.0046491287508547E-2</v>
      </c>
      <c r="AE4">
        <f>_xll.BDP("7747 HK Equity","PX388","PX395=AVERAGE_BID_ASK_SPREAD_%","DY262=D","PY204=N","PX391=20260601","PX392=20260626")</f>
        <v>7.3349563747154747E-2</v>
      </c>
    </row>
    <row r="5" spans="1:31" x14ac:dyDescent="0.25">
      <c r="A5" t="s">
        <v>29</v>
      </c>
      <c r="B5" t="str">
        <f>_xll.BDP("2839 HK Equity","LONG_COMP_NAME")</f>
        <v>ChinaAMC MSCI China A 50 Connect ETF/HK</v>
      </c>
      <c r="C5">
        <f>_xll.BDP("2839 HK Equity","PX385","PX395=FUND_FLOW","DY262=D","PY204=N","PX391=20260622","PX392=20260626","DS004=USD")</f>
        <v>150.06724794738702</v>
      </c>
      <c r="D5">
        <f>_xll.BDP("2839 HK Equity","PX388","PX395=TURNOVER","DY262=D","PY204=N","PX391=20260601","PX392=20260626","DS004=HKD")</f>
        <v>2013283.8421052631</v>
      </c>
      <c r="E5">
        <f>_xll.BDP("2839 HK Equity","PX388","PX395=TURNOVER","DY262=D","PY204=N","PX391=20250101","PX392=20251231","DS004=HKD")</f>
        <v>3290541.2666964289</v>
      </c>
      <c r="F5">
        <f>_xll.BDP("2839 HK Equity","PX596","PX395=FUND_TOTAL_ASSETS","DY262=D","PY204=N","PX391=20260626","PX392=20260626","DS004=USD")</f>
        <v>214.38257442052006</v>
      </c>
      <c r="G5">
        <f>_xll.BDP("2839 HK Equity","PX388","PX395=CUR_MKT_CAP","DY262=D","PY204=N","PX391=20260626","PX392=20260626","DS004=HKD")</f>
        <v>1683.02</v>
      </c>
      <c r="H5" t="str">
        <f>_xll.BDP("2839 HK Equity","FUND_LEVERAGE_TYPE")</f>
        <v>#N/A N/A</v>
      </c>
      <c r="I5">
        <f>_xll.BDP("2839 HK Equity","PX388","PX395=TURNOVER","DY262=D","PY204=N","PX391=20260101","PX392=20260131","DS004=HKD")</f>
        <v>594309.42099999986</v>
      </c>
      <c r="J5">
        <v>-1</v>
      </c>
      <c r="K5" t="str">
        <f>_xll.BDP("2839 HK Equity","FUND_INCEPT_DT")</f>
        <v>12/13/2021</v>
      </c>
      <c r="L5" t="str">
        <f>_xll.BDP("2839 HK Equity","PX388","PX395=TURNOVER_EXCH_RATIO","DY262=D","PY204=N","PX391=20251201","PX392=20251210")</f>
        <v>#N/A N/A</v>
      </c>
      <c r="M5">
        <f>_xll.BDP("2839 HK Equity","EQY_SH_OUT")</f>
        <v>57.699999999999996</v>
      </c>
      <c r="N5">
        <f>_xll.BDP("2839 HK Equity","EQY_TRR_PCT_YTD")</f>
        <v>9.3143340000000006</v>
      </c>
      <c r="O5">
        <f>_xll.BDP("2839 HK Equity","CHG_PCT_YTD")</f>
        <v>11.267609999999999</v>
      </c>
      <c r="P5">
        <f>_xll.BDP("2839 HK Equity","CHG_PCT_1M")</f>
        <v>-1.073348</v>
      </c>
      <c r="Q5" t="str">
        <f>_xll.BDP("2839 HK Equity","LISTING_DATE")</f>
        <v>12/13/2021</v>
      </c>
      <c r="R5" t="str">
        <f>_xll.BDP("2839 HK Equity","FUND_INCEPT_DT")</f>
        <v>12/13/2021</v>
      </c>
      <c r="S5">
        <f>_xll.BDP("2839 HK Equity","AVG_DAILY_VALUE_TRADED_3M")</f>
        <v>1321199</v>
      </c>
      <c r="T5" t="str">
        <f>_xll.BDP("2839 HK Equity","PX596","PX395=HISTORICAL_MARKET_CAP","DY262=D","PY204=N","PX391=20231231","PX392=20231231","DS004=HKD")</f>
        <v>#N/A N/A</v>
      </c>
      <c r="U5">
        <f>_xll.BDP("2839 HK Equity","PX385","PX395=FUND_FLOW","DY262=D","PY204=N","PX391=20240102","PX392=20240930","DS004=HKD")</f>
        <v>-63.02526160119595</v>
      </c>
      <c r="V5">
        <f>_xll.BDP("2839 HK Equity","PX596","PX395=CUR_MKT_CAP","DY262=D","PY204=N","PX391=20240101","DS004=HKD")</f>
        <v>6038.55</v>
      </c>
      <c r="W5" t="str">
        <f>_xll.BDP("2839 HK Equity","FUND_INCEPT_DT")</f>
        <v>12/13/2021</v>
      </c>
      <c r="X5">
        <f>_xll.BDP("2839 HK Equity","PX388","PX395=TURNOVER","DY262=D","PY204=N","PX391=20240502","PX392=20240606","DS004=HKD")</f>
        <v>1219210.9519999996</v>
      </c>
      <c r="Y5" t="str">
        <f>_xll.BDP("2839 HK Equity","PARENT_COMP_NAME")</f>
        <v>China Asset Management Hong Ko</v>
      </c>
      <c r="Z5" t="str">
        <f>_xll.BDP("2839 HK Equity","NAV_CRNCY")</f>
        <v>HKD</v>
      </c>
      <c r="AA5" t="str">
        <f>_xll.BDP("2839 HK Equity","FUND_GEO_FOCUS")</f>
        <v>China</v>
      </c>
      <c r="AB5" t="str">
        <f>_xll.BDP("2839 HK Equity","FUND_ASSET_CLASS_FOCUS")</f>
        <v>Equity</v>
      </c>
      <c r="AC5">
        <f>_xll.BDP("2839 HK Equity","PX_LAST")</f>
        <v>33.18</v>
      </c>
      <c r="AD5">
        <f>_xll.BDP("2839 HK Equity","PX388","PX395=TIME_WAVG_BID_ASK_SPREAD_PCT","DY262=D","PY204=N","PX391=20260601","PX392=20260626")</f>
        <v>0.16372748363159179</v>
      </c>
      <c r="AE5">
        <f>_xll.BDP("2839 HK Equity","PX388","PX395=AVERAGE_BID_ASK_SPREAD_%","DY262=D","PY204=N","PX391=20260601","PX392=20260626")</f>
        <v>0.19909503172955464</v>
      </c>
    </row>
    <row r="6" spans="1:31" x14ac:dyDescent="0.25">
      <c r="A6" t="s">
        <v>30</v>
      </c>
      <c r="B6" t="str">
        <f>_xll.BDP("3121 HK Equity","LONG_COMP_NAME")</f>
        <v>CSOP KOSPI 200 ETF</v>
      </c>
      <c r="C6">
        <f>_xll.BDP("3121 HK Equity","PX385","PX395=FUND_FLOW","DY262=D","PY204=N","PX391=20260622","PX392=20260626","DS004=USD")</f>
        <v>104.59208916197868</v>
      </c>
      <c r="D6">
        <f>_xll.BDP("3121 HK Equity","PX388","PX395=TURNOVER","DY262=D","PY204=N","PX391=20260601","PX392=20260626","DS004=HKD")</f>
        <v>240166263.33333334</v>
      </c>
      <c r="E6" t="str">
        <f>_xll.BDP("3121 HK Equity","PX388","PX395=TURNOVER","DY262=D","PY204=N","PX391=20250101","PX392=20251231","DS004=HKD")</f>
        <v>#N/A N/A</v>
      </c>
      <c r="F6">
        <f>_xll.BDP("3121 HK Equity","PX596","PX395=FUND_TOTAL_ASSETS","DY262=D","PY204=N","PX391=20260626","PX392=20260626","DS004=USD")</f>
        <v>108.23486542443965</v>
      </c>
      <c r="G6">
        <f>_xll.BDP("3121 HK Equity","PX388","PX395=CUR_MKT_CAP","DY262=D","PY204=N","PX391=20260626","PX392=20260626","DS004=HKD")</f>
        <v>857.28</v>
      </c>
      <c r="H6" t="str">
        <f>_xll.BDP("3121 HK Equity","FUND_LEVERAGE_TYPE")</f>
        <v>#N/A N/A</v>
      </c>
      <c r="I6" t="str">
        <f>_xll.BDP("3121 HK Equity","PX388","PX395=TURNOVER","DY262=D","PY204=N","PX391=20260101","PX392=20260131","DS004=HKD")</f>
        <v>#N/A N/A</v>
      </c>
      <c r="J6" t="s">
        <v>31</v>
      </c>
      <c r="K6" t="str">
        <f>_xll.BDP("3121 HK Equity","FUND_INCEPT_DT")</f>
        <v>6/17/2026</v>
      </c>
      <c r="L6" t="str">
        <f>_xll.BDP("3121 HK Equity","PX388","PX395=TURNOVER_EXCH_RATIO","DY262=D","PY204=N","PX391=20251201","PX392=20251210")</f>
        <v>#N/A N/A</v>
      </c>
      <c r="M6">
        <f>_xll.BDP("3121 HK Equity","EQY_SH_OUT")</f>
        <v>114</v>
      </c>
      <c r="N6" t="str">
        <f>_xll.BDP("3121 HK Equity","EQY_TRR_PCT_YTD")</f>
        <v>#N/A N/A</v>
      </c>
      <c r="O6" t="str">
        <f>_xll.BDP("3121 HK Equity","CHG_PCT_YTD")</f>
        <v>#N/A N/A</v>
      </c>
      <c r="P6" t="str">
        <f>_xll.BDP("3121 HK Equity","CHG_PCT_1M")</f>
        <v>#N/A N/A</v>
      </c>
      <c r="Q6" t="str">
        <f>_xll.BDP("3121 HK Equity","LISTING_DATE")</f>
        <v>6/18/2026</v>
      </c>
      <c r="R6" t="str">
        <f>_xll.BDP("3121 HK Equity","FUND_INCEPT_DT")</f>
        <v>6/17/2026</v>
      </c>
      <c r="S6" t="str">
        <f>_xll.BDP("3121 HK Equity","AVG_DAILY_VALUE_TRADED_3M")</f>
        <v>#N/A N/A</v>
      </c>
      <c r="T6" t="str">
        <f>_xll.BDP("3121 HK Equity","PX596","PX395=HISTORICAL_MARKET_CAP","DY262=D","PY204=N","PX391=20231231","PX392=20231231","DS004=HKD")</f>
        <v>#N/A N/A</v>
      </c>
      <c r="U6" t="str">
        <f>_xll.BDP("3121 HK Equity","PX385","PX395=FUND_FLOW","DY262=D","PY204=N","PX391=20240102","PX392=20240930","DS004=HKD")</f>
        <v>#N/A N/A</v>
      </c>
      <c r="V6" t="str">
        <f>_xll.BDP("3121 HK Equity","PX596","PX395=CUR_MKT_CAP","DY262=D","PY204=N","PX391=20240101","DS004=HKD")</f>
        <v>#N/A N/A</v>
      </c>
      <c r="W6" t="str">
        <f>_xll.BDP("3121 HK Equity","FUND_INCEPT_DT")</f>
        <v>6/17/2026</v>
      </c>
      <c r="X6" t="str">
        <f>_xll.BDP("3121 HK Equity","PX388","PX395=TURNOVER","DY262=D","PY204=N","PX391=20240502","PX392=20240606","DS004=HKD")</f>
        <v>#N/A N/A</v>
      </c>
      <c r="Y6" t="str">
        <f>_xll.BDP("3121 HK Equity","PARENT_COMP_NAME")</f>
        <v>CSOP Asset Management Ltd/Hong</v>
      </c>
      <c r="Z6" t="str">
        <f>_xll.BDP("3121 HK Equity","NAV_CRNCY")</f>
        <v>KRW</v>
      </c>
      <c r="AA6" t="str">
        <f>_xll.BDP("3121 HK Equity","FUND_GEO_FOCUS")</f>
        <v>South Korea</v>
      </c>
      <c r="AB6" t="str">
        <f>_xll.BDP("3121 HK Equity","FUND_ASSET_CLASS_FOCUS")</f>
        <v>Equity</v>
      </c>
      <c r="AC6">
        <f>_xll.BDP("3121 HK Equity","PX_LAST")</f>
        <v>7.3650000000000002</v>
      </c>
      <c r="AD6">
        <f>_xll.BDP("3121 HK Equity","PX388","PX395=TIME_WAVG_BID_ASK_SPREAD_PCT","DY262=D","PY204=N","PX391=20260601","PX392=20260626")</f>
        <v>0.11593670799483805</v>
      </c>
      <c r="AE6">
        <f>_xll.BDP("3121 HK Equity","PX388","PX395=AVERAGE_BID_ASK_SPREAD_%","DY262=D","PY204=N","PX391=20260601","PX392=20260626")</f>
        <v>0.13580547203608767</v>
      </c>
    </row>
    <row r="7" spans="1:31" x14ac:dyDescent="0.25">
      <c r="A7" t="s">
        <v>32</v>
      </c>
      <c r="B7" t="str">
        <f>_xll.BDP("3188 HK Equity","LONG_COMP_NAME")</f>
        <v>ChinaAMC ETF Series - ChinaAMC CSI 300 Index ETF</v>
      </c>
      <c r="C7">
        <f>_xll.BDP("3188 HK Equity","PX385","PX395=FUND_FLOW","DY262=D","PY204=N","PX391=20260622","PX392=20260626","DS004=USD")</f>
        <v>78.028093332528385</v>
      </c>
      <c r="D7">
        <f>_xll.BDP("3188 HK Equity","PX388","PX395=TURNOVER","DY262=D","PY204=N","PX391=20260601","PX392=20260626","DS004=HKD")</f>
        <v>121924178.94736843</v>
      </c>
      <c r="E7">
        <f>_xll.BDP("3188 HK Equity","PX388","PX395=TURNOVER","DY262=D","PY204=N","PX391=20250101","PX392=20251231","DS004=HKD")</f>
        <v>110502229.06504066</v>
      </c>
      <c r="F7">
        <f>_xll.BDP("3188 HK Equity","PX596","PX395=FUND_TOTAL_ASSETS","DY262=D","PY204=N","PX391=20260626","PX392=20260626","DS004=USD")</f>
        <v>2580.583009765855</v>
      </c>
      <c r="G7">
        <f>_xll.BDP("3188 HK Equity","PX388","PX395=CUR_MKT_CAP","DY262=D","PY204=N","PX391=20260626","PX392=20260626","DS004=HKD")</f>
        <v>20250.846000000001</v>
      </c>
      <c r="H7" t="str">
        <f>_xll.BDP("3188 HK Equity","FUND_LEVERAGE_TYPE")</f>
        <v>#N/A N/A</v>
      </c>
      <c r="I7">
        <f>_xll.BDP("3188 HK Equity","PX388","PX395=TURNOVER","DY262=D","PY204=N","PX391=20260101","PX392=20260131","DS004=HKD")</f>
        <v>124410886.19047621</v>
      </c>
      <c r="J7">
        <v>-1</v>
      </c>
      <c r="K7" t="str">
        <f>_xll.BDP("3188 HK Equity","FUND_INCEPT_DT")</f>
        <v>7/17/2012</v>
      </c>
      <c r="L7" t="str">
        <f>_xll.BDP("3188 HK Equity","PX388","PX395=TURNOVER_EXCH_RATIO","DY262=D","PY204=N","PX391=20251201","PX392=20251210")</f>
        <v>#N/A N/A</v>
      </c>
      <c r="M7">
        <f>_xll.BDP("3188 HK Equity","EQY_SH_OUT")</f>
        <v>346.05</v>
      </c>
      <c r="N7">
        <f>_xll.BDP("3188 HK Equity","EQY_TRR_PCT_YTD")</f>
        <v>9.1536550000000005</v>
      </c>
      <c r="O7">
        <f>_xll.BDP("3188 HK Equity","CHG_PCT_YTD")</f>
        <v>11.14029</v>
      </c>
      <c r="P7">
        <f>_xll.BDP("3188 HK Equity","CHG_PCT_1M")</f>
        <v>-6.745234E-2</v>
      </c>
      <c r="Q7" t="str">
        <f>_xll.BDP("3188 HK Equity","LISTING_DATE")</f>
        <v>10/26/2012</v>
      </c>
      <c r="R7" t="str">
        <f>_xll.BDP("3188 HK Equity","FUND_INCEPT_DT")</f>
        <v>7/17/2012</v>
      </c>
      <c r="S7">
        <f>_xll.BDP("3188 HK Equity","AVG_DAILY_VALUE_TRADED_3M")</f>
        <v>108466900</v>
      </c>
      <c r="T7" t="str">
        <f>_xll.BDP("3188 HK Equity","PX596","PX395=HISTORICAL_MARKET_CAP","DY262=D","PY204=N","PX391=20231231","PX392=20231231","DS004=HKD")</f>
        <v>#N/A N/A</v>
      </c>
      <c r="U7">
        <f>_xll.BDP("3188 HK Equity","PX385","PX395=FUND_FLOW","DY262=D","PY204=N","PX391=20240102","PX392=20240930","DS004=HKD")</f>
        <v>1295.2544399999992</v>
      </c>
      <c r="V7">
        <f>_xll.BDP("3188 HK Equity","PX596","PX395=CUR_MKT_CAP","DY262=D","PY204=N","PX391=20240101","DS004=HKD")</f>
        <v>22586.352000000003</v>
      </c>
      <c r="W7" t="str">
        <f>_xll.BDP("3188 HK Equity","FUND_INCEPT_DT")</f>
        <v>7/17/2012</v>
      </c>
      <c r="X7">
        <f>_xll.BDP("3188 HK Equity","PX388","PX395=TURNOVER","DY262=D","PY204=N","PX391=20240502","PX392=20240606","DS004=HKD")</f>
        <v>53262456.399999999</v>
      </c>
      <c r="Y7" t="str">
        <f>_xll.BDP("3188 HK Equity","PARENT_COMP_NAME")</f>
        <v>China Asset Management Hong Ko</v>
      </c>
      <c r="Z7" t="str">
        <f>_xll.BDP("3188 HK Equity","NAV_CRNCY")</f>
        <v>HKD</v>
      </c>
      <c r="AA7" t="str">
        <f>_xll.BDP("3188 HK Equity","FUND_GEO_FOCUS")</f>
        <v>China</v>
      </c>
      <c r="AB7" t="str">
        <f>_xll.BDP("3188 HK Equity","FUND_ASSET_CLASS_FOCUS")</f>
        <v>Equity</v>
      </c>
      <c r="AC7">
        <f>_xll.BDP("3188 HK Equity","PX_LAST")</f>
        <v>59.26</v>
      </c>
      <c r="AD7">
        <f>_xll.BDP("3188 HK Equity","PX388","PX395=TIME_WAVG_BID_ASK_SPREAD_PCT","DY262=D","PY204=N","PX391=20260601","PX392=20260626")</f>
        <v>8.0495800596206465E-2</v>
      </c>
      <c r="AE7">
        <f>_xll.BDP("3188 HK Equity","PX388","PX395=AVERAGE_BID_ASK_SPREAD_%","DY262=D","PY204=N","PX391=20260601","PX392=20260626")</f>
        <v>9.6053190243331005E-2</v>
      </c>
    </row>
    <row r="8" spans="1:31" x14ac:dyDescent="0.25">
      <c r="A8" t="s">
        <v>33</v>
      </c>
      <c r="B8" t="str">
        <f>_xll.BDP("3441 HK Equity","LONG_COMP_NAME")</f>
        <v>CSOP FTSE East-West Equity Select ETF</v>
      </c>
      <c r="C8">
        <f>_xll.BDP("3441 HK Equity","PX385","PX395=FUND_FLOW","DY262=D","PY204=N","PX391=20260622","PX392=20260626","DS004=USD")</f>
        <v>67.392419205959101</v>
      </c>
      <c r="D8">
        <f>_xll.BDP("3441 HK Equity","PX388","PX395=TURNOVER","DY262=D","PY204=N","PX391=20260601","PX392=20260626","DS004=HKD")</f>
        <v>42960568.105263151</v>
      </c>
      <c r="E8">
        <f>_xll.BDP("3441 HK Equity","PX388","PX395=TURNOVER","DY262=D","PY204=N","PX391=20250101","PX392=20251231","DS004=HKD")</f>
        <v>20086139.669999987</v>
      </c>
      <c r="F8">
        <f>_xll.BDP("3441 HK Equity","PX596","PX395=FUND_TOTAL_ASSETS","DY262=D","PY204=N","PX391=20260626","PX392=20260626","DS004=USD")</f>
        <v>190.71111625584982</v>
      </c>
      <c r="G8">
        <f>_xll.BDP("3441 HK Equity","PX388","PX395=CUR_MKT_CAP","DY262=D","PY204=N","PX391=20260626","PX392=20260626","DS004=HKD")</f>
        <v>952.41000000000008</v>
      </c>
      <c r="H8" t="str">
        <f>_xll.BDP("3441 HK Equity","FUND_LEVERAGE_TYPE")</f>
        <v>#N/A N/A</v>
      </c>
      <c r="I8">
        <f>_xll.BDP("3441 HK Equity","PX388","PX395=TURNOVER","DY262=D","PY204=N","PX391=20260101","PX392=20260131","DS004=HKD")</f>
        <v>5727819.4761904767</v>
      </c>
      <c r="J8">
        <v>-1</v>
      </c>
      <c r="K8" t="str">
        <f>_xll.BDP("3441 HK Equity","FUND_INCEPT_DT")</f>
        <v>3/31/2025</v>
      </c>
      <c r="L8" t="str">
        <f>_xll.BDP("3441 HK Equity","PX388","PX395=TURNOVER_EXCH_RATIO","DY262=D","PY204=N","PX391=20251201","PX392=20251210")</f>
        <v>#N/A N/A</v>
      </c>
      <c r="M8">
        <f>_xll.BDP("3441 HK Equity","EQY_SH_OUT")</f>
        <v>124.5</v>
      </c>
      <c r="N8">
        <f>_xll.BDP("3441 HK Equity","EQY_TRR_PCT_YTD")</f>
        <v>16.098410000000001</v>
      </c>
      <c r="O8">
        <f>_xll.BDP("3441 HK Equity","CHG_PCT_YTD")</f>
        <v>14.08046</v>
      </c>
      <c r="P8">
        <f>_xll.BDP("3441 HK Equity","CHG_PCT_1M")</f>
        <v>-4.72</v>
      </c>
      <c r="Q8" t="str">
        <f>_xll.BDP("3441 HK Equity","LISTING_DATE")</f>
        <v>3/31/2025</v>
      </c>
      <c r="R8" t="str">
        <f>_xll.BDP("3441 HK Equity","FUND_INCEPT_DT")</f>
        <v>3/31/2025</v>
      </c>
      <c r="S8">
        <f>_xll.BDP("3441 HK Equity","AVG_DAILY_VALUE_TRADED_3M")</f>
        <v>19010420</v>
      </c>
      <c r="T8" t="str">
        <f>_xll.BDP("3441 HK Equity","PX596","PX395=HISTORICAL_MARKET_CAP","DY262=D","PY204=N","PX391=20231231","PX392=20231231","DS004=HKD")</f>
        <v>#N/A N/A</v>
      </c>
      <c r="U8" t="str">
        <f>_xll.BDP("3441 HK Equity","PX385","PX395=FUND_FLOW","DY262=D","PY204=N","PX391=20240102","PX392=20240930","DS004=HKD")</f>
        <v>#N/A N/A</v>
      </c>
      <c r="V8">
        <f>_xll.BDP("3441 HK Equity","PX596","PX395=CUR_MKT_CAP","DY262=D","PY204=N","PX391=20240101","DS004=HKD")</f>
        <v>741.24</v>
      </c>
      <c r="W8" t="str">
        <f>_xll.BDP("3441 HK Equity","FUND_INCEPT_DT")</f>
        <v>3/31/2025</v>
      </c>
      <c r="X8" t="str">
        <f>_xll.BDP("3441 HK Equity","PX388","PX395=TURNOVER","DY262=D","PY204=N","PX391=20240502","PX392=20240606","DS004=HKD")</f>
        <v>#N/A N/A</v>
      </c>
      <c r="Y8" t="str">
        <f>_xll.BDP("3441 HK Equity","PARENT_COMP_NAME")</f>
        <v>CSOP Asset Management Ltd/Hong</v>
      </c>
      <c r="Z8" t="str">
        <f>_xll.BDP("3441 HK Equity","NAV_CRNCY")</f>
        <v>HKD</v>
      </c>
      <c r="AA8" t="str">
        <f>_xll.BDP("3441 HK Equity","FUND_GEO_FOCUS")</f>
        <v>Multi</v>
      </c>
      <c r="AB8" t="str">
        <f>_xll.BDP("3441 HK Equity","FUND_ASSET_CLASS_FOCUS")</f>
        <v>Equity</v>
      </c>
      <c r="AC8">
        <f>_xll.BDP("3441 HK Equity","PX_LAST")</f>
        <v>11.91</v>
      </c>
      <c r="AD8">
        <f>_xll.BDP("3441 HK Equity","PX388","PX395=TIME_WAVG_BID_ASK_SPREAD_PCT","DY262=D","PY204=N","PX391=20260601","PX392=20260626")</f>
        <v>0.14129858444911395</v>
      </c>
      <c r="AE8">
        <f>_xll.BDP("3441 HK Equity","PX388","PX395=AVERAGE_BID_ASK_SPREAD_%","DY262=D","PY204=N","PX391=20260601","PX392=20260626")</f>
        <v>0.18049069996632677</v>
      </c>
    </row>
    <row r="9" spans="1:31" x14ac:dyDescent="0.25">
      <c r="A9" t="s">
        <v>34</v>
      </c>
      <c r="B9" t="str">
        <f>_xll.BDP("7200 HK Equity","LONG_COMP_NAME")</f>
        <v>CSOP Hang Seng Index Daily 2x Leveraged Product</v>
      </c>
      <c r="C9">
        <f>_xll.BDP("7200 HK Equity","PX385","PX395=FUND_FLOW","DY262=D","PY204=N","PX391=20260622","PX392=20260626","DS004=USD")</f>
        <v>55.988382109702684</v>
      </c>
      <c r="D9">
        <f>_xll.BDP("7200 HK Equity","PX388","PX395=TURNOVER","DY262=D","PY204=N","PX391=20260601","PX392=20260626","DS004=HKD")</f>
        <v>478979247.36842108</v>
      </c>
      <c r="E9">
        <f>_xll.BDP("7200 HK Equity","PX388","PX395=TURNOVER","DY262=D","PY204=N","PX391=20250101","PX392=20251231","DS004=HKD")</f>
        <v>305074282.52032512</v>
      </c>
      <c r="F9">
        <f>_xll.BDP("7200 HK Equity","PX596","PX395=FUND_TOTAL_ASSETS","DY262=D","PY204=N","PX391=20260626","PX392=20260626","DS004=USD")</f>
        <v>376.23196956044927</v>
      </c>
      <c r="G9">
        <f>_xll.BDP("7200 HK Equity","PX388","PX395=CUR_MKT_CAP","DY262=D","PY204=N","PX391=20260626","PX392=20260626","DS004=HKD")</f>
        <v>2944.2543999999998</v>
      </c>
      <c r="H9" t="str">
        <f>_xll.BDP("7200 HK Equity","FUND_LEVERAGE_TYPE")</f>
        <v>Long</v>
      </c>
      <c r="I9">
        <f>_xll.BDP("7200 HK Equity","PX388","PX395=TURNOVER","DY262=D","PY204=N","PX391=20260101","PX392=20260131","DS004=HKD")</f>
        <v>218668157.14285716</v>
      </c>
      <c r="J9">
        <v>-1</v>
      </c>
      <c r="K9" t="str">
        <f>_xll.BDP("7200 HK Equity","FUND_INCEPT_DT")</f>
        <v>3/14/2017</v>
      </c>
      <c r="L9" t="str">
        <f>_xll.BDP("7200 HK Equity","PX388","PX395=TURNOVER_EXCH_RATIO","DY262=D","PY204=N","PX391=20251201","PX392=20251210")</f>
        <v>#N/A N/A</v>
      </c>
      <c r="M9">
        <f>_xll.BDP("7200 HK Equity","EQY_SH_OUT")</f>
        <v>648.79999999999995</v>
      </c>
      <c r="N9">
        <f>_xll.BDP("7200 HK Equity","EQY_TRR_PCT_YTD")</f>
        <v>-22.436</v>
      </c>
      <c r="O9">
        <f>_xll.BDP("7200 HK Equity","CHG_PCT_YTD")</f>
        <v>-20.034210000000002</v>
      </c>
      <c r="P9">
        <f>_xll.BDP("7200 HK Equity","CHG_PCT_1M")</f>
        <v>-15.93525</v>
      </c>
      <c r="Q9" t="str">
        <f>_xll.BDP("7200 HK Equity","LISTING_DATE")</f>
        <v>3/14/2017</v>
      </c>
      <c r="R9" t="str">
        <f>_xll.BDP("7200 HK Equity","FUND_INCEPT_DT")</f>
        <v>3/14/2017</v>
      </c>
      <c r="S9">
        <f>_xll.BDP("7200 HK Equity","AVG_DAILY_VALUE_TRADED_3M")</f>
        <v>342636900</v>
      </c>
      <c r="T9" t="str">
        <f>_xll.BDP("7200 HK Equity","PX596","PX395=HISTORICAL_MARKET_CAP","DY262=D","PY204=N","PX391=20231231","PX392=20231231","DS004=HKD")</f>
        <v>#N/A N/A</v>
      </c>
      <c r="U9">
        <f>_xll.BDP("7200 HK Equity","PX385","PX395=FUND_FLOW","DY262=D","PY204=N","PX391=20240102","PX392=20240930","DS004=HKD")</f>
        <v>-3758.9796800000008</v>
      </c>
      <c r="V9">
        <f>_xll.BDP("7200 HK Equity","PX596","PX395=CUR_MKT_CAP","DY262=D","PY204=N","PX391=20240101","DS004=HKD")</f>
        <v>2623.2359999999999</v>
      </c>
      <c r="W9" t="str">
        <f>_xll.BDP("7200 HK Equity","FUND_INCEPT_DT")</f>
        <v>3/14/2017</v>
      </c>
      <c r="X9">
        <f>_xll.BDP("7200 HK Equity","PX388","PX395=TURNOVER","DY262=D","PY204=N","PX391=20240502","PX392=20240606","DS004=HKD")</f>
        <v>334008084.00000006</v>
      </c>
      <c r="Y9" t="str">
        <f>_xll.BDP("7200 HK Equity","PARENT_COMP_NAME")</f>
        <v>CSOP Asset Management Ltd/Hong</v>
      </c>
      <c r="Z9" t="str">
        <f>_xll.BDP("7200 HK Equity","NAV_CRNCY")</f>
        <v>HKD</v>
      </c>
      <c r="AA9" t="str">
        <f>_xll.BDP("7200 HK Equity","FUND_GEO_FOCUS")</f>
        <v>Hong Kong</v>
      </c>
      <c r="AB9" t="str">
        <f>_xll.BDP("7200 HK Equity","FUND_ASSET_CLASS_FOCUS")</f>
        <v>Equity</v>
      </c>
      <c r="AC9">
        <f>_xll.BDP("7200 HK Equity","PX_LAST")</f>
        <v>4.6740000000000004</v>
      </c>
      <c r="AD9">
        <f>_xll.BDP("7200 HK Equity","PX388","PX395=TIME_WAVG_BID_ASK_SPREAD_PCT","DY262=D","PY204=N","PX391=20260601","PX392=20260626")</f>
        <v>8.8809810050273663E-2</v>
      </c>
      <c r="AE9">
        <f>_xll.BDP("7200 HK Equity","PX388","PX395=AVERAGE_BID_ASK_SPREAD_%","DY262=D","PY204=N","PX391=20260601","PX392=20260626")</f>
        <v>8.5007168907625275E-2</v>
      </c>
    </row>
    <row r="10" spans="1:31" x14ac:dyDescent="0.25">
      <c r="A10" t="s">
        <v>35</v>
      </c>
      <c r="B10" t="str">
        <f>_xll.BDP("7226 HK Equity","LONG_COMP_NAME")</f>
        <v>CSOP Hang Seng TECH Index Daily 2X Leveraged Product</v>
      </c>
      <c r="C10">
        <f>_xll.BDP("7226 HK Equity","PX385","PX395=FUND_FLOW","DY262=D","PY204=N","PX391=20260622","PX392=20260626","DS004=USD")</f>
        <v>45.741852690066992</v>
      </c>
      <c r="D10">
        <f>_xll.BDP("7226 HK Equity","PX388","PX395=TURNOVER","DY262=D","PY204=N","PX391=20260601","PX392=20260626","DS004=HKD")</f>
        <v>1398459873.6842105</v>
      </c>
      <c r="E10">
        <f>_xll.BDP("7226 HK Equity","PX388","PX395=TURNOVER","DY262=D","PY204=N","PX391=20250101","PX392=20251231","DS004=HKD")</f>
        <v>1489783366.2601626</v>
      </c>
      <c r="F10">
        <f>_xll.BDP("7226 HK Equity","PX596","PX395=FUND_TOTAL_ASSETS","DY262=D","PY204=N","PX391=20260626","PX392=20260626","DS004=USD")</f>
        <v>1400.0387445594927</v>
      </c>
      <c r="G10">
        <f>_xll.BDP("7226 HK Equity","PX388","PX395=CUR_MKT_CAP","DY262=D","PY204=N","PX391=20260626","PX392=20260626","DS004=HKD")</f>
        <v>10959.33432</v>
      </c>
      <c r="H10" t="str">
        <f>_xll.BDP("7226 HK Equity","FUND_LEVERAGE_TYPE")</f>
        <v>Long</v>
      </c>
      <c r="I10">
        <f>_xll.BDP("7226 HK Equity","PX388","PX395=TURNOVER","DY262=D","PY204=N","PX391=20260101","PX392=20260131","DS004=HKD")</f>
        <v>1016300699.9999999</v>
      </c>
      <c r="J10">
        <v>-1</v>
      </c>
      <c r="K10" t="str">
        <f>_xll.BDP("7226 HK Equity","FUND_INCEPT_DT")</f>
        <v>12/10/2020</v>
      </c>
      <c r="L10" t="str">
        <f>_xll.BDP("7226 HK Equity","PX388","PX395=TURNOVER_EXCH_RATIO","DY262=D","PY204=N","PX391=20251201","PX392=20251210")</f>
        <v>#N/A N/A</v>
      </c>
      <c r="M10">
        <f>_xll.BDP("7226 HK Equity","EQY_SH_OUT")</f>
        <v>3861.64</v>
      </c>
      <c r="N10">
        <f>_xll.BDP("7226 HK Equity","EQY_TRR_PCT_YTD")</f>
        <v>-44.493679999999998</v>
      </c>
      <c r="O10">
        <f>_xll.BDP("7226 HK Equity","CHG_PCT_YTD")</f>
        <v>-40.842309999999998</v>
      </c>
      <c r="P10">
        <f>_xll.BDP("7226 HK Equity","CHG_PCT_1M")</f>
        <v>-19.68085</v>
      </c>
      <c r="Q10" t="str">
        <f>_xll.BDP("7226 HK Equity","LISTING_DATE")</f>
        <v>12/10/2020</v>
      </c>
      <c r="R10" t="str">
        <f>_xll.BDP("7226 HK Equity","FUND_INCEPT_DT")</f>
        <v>12/10/2020</v>
      </c>
      <c r="S10">
        <f>_xll.BDP("7226 HK Equity","AVG_DAILY_VALUE_TRADED_3M")</f>
        <v>1213152000</v>
      </c>
      <c r="T10" t="str">
        <f>_xll.BDP("7226 HK Equity","PX596","PX395=HISTORICAL_MARKET_CAP","DY262=D","PY204=N","PX391=20231231","PX392=20231231","DS004=HKD")</f>
        <v>#N/A N/A</v>
      </c>
      <c r="U10">
        <f>_xll.BDP("7226 HK Equity","PX385","PX395=FUND_FLOW","DY262=D","PY204=N","PX391=20240102","PX392=20240930","DS004=HKD")</f>
        <v>-3587.8368400000018</v>
      </c>
      <c r="V10">
        <f>_xll.BDP("7226 HK Equity","PX596","PX395=CUR_MKT_CAP","DY262=D","PY204=N","PX391=20240101","DS004=HKD")</f>
        <v>11943.8622</v>
      </c>
      <c r="W10" t="str">
        <f>_xll.BDP("7226 HK Equity","FUND_INCEPT_DT")</f>
        <v>12/10/2020</v>
      </c>
      <c r="X10">
        <f>_xll.BDP("7226 HK Equity","PX388","PX395=TURNOVER","DY262=D","PY204=N","PX391=20240502","PX392=20240606","DS004=HKD")</f>
        <v>999315459.99999988</v>
      </c>
      <c r="Y10" t="str">
        <f>_xll.BDP("7226 HK Equity","PARENT_COMP_NAME")</f>
        <v>CSOP Asset Management Ltd/Hong</v>
      </c>
      <c r="Z10" t="str">
        <f>_xll.BDP("7226 HK Equity","NAV_CRNCY")</f>
        <v>HKD</v>
      </c>
      <c r="AA10" t="str">
        <f>_xll.BDP("7226 HK Equity","FUND_GEO_FOCUS")</f>
        <v>Hong Kong</v>
      </c>
      <c r="AB10" t="str">
        <f>_xll.BDP("7226 HK Equity","FUND_ASSET_CLASS_FOCUS")</f>
        <v>Equity</v>
      </c>
      <c r="AC10">
        <f>_xll.BDP("7226 HK Equity","PX_LAST")</f>
        <v>3.02</v>
      </c>
      <c r="AD10">
        <f>_xll.BDP("7226 HK Equity","PX388","PX395=TIME_WAVG_BID_ASK_SPREAD_PCT","DY262=D","PY204=N","PX391=20260601","PX392=20260626")</f>
        <v>7.0064240703335112E-2</v>
      </c>
      <c r="AE10">
        <f>_xll.BDP("7226 HK Equity","PX388","PX395=AVERAGE_BID_ASK_SPREAD_%","DY262=D","PY204=N","PX391=20260601","PX392=20260626")</f>
        <v>6.8601332908853424E-2</v>
      </c>
    </row>
    <row r="11" spans="1:31" x14ac:dyDescent="0.25">
      <c r="A11" t="s">
        <v>36</v>
      </c>
      <c r="B11" t="str">
        <f>_xll.BDP("3483 HK Equity","LONG_COMP_NAME")</f>
        <v>E Fund HK MSCI Asia Pacific Select High Dividend Index ETF</v>
      </c>
      <c r="C11">
        <f>_xll.BDP("3483 HK Equity","PX385","PX395=FUND_FLOW","DY262=D","PY204=N","PX391=20260622","PX392=20260626","DS004=USD")</f>
        <v>43.137338474430528</v>
      </c>
      <c r="D11">
        <f>_xll.BDP("3483 HK Equity","PX388","PX395=TURNOVER","DY262=D","PY204=N","PX391=20260601","PX392=20260626","DS004=HKD")</f>
        <v>13286275.631578948</v>
      </c>
      <c r="E11">
        <f>_xll.BDP("3483 HK Equity","PX388","PX395=TURNOVER","DY262=D","PY204=N","PX391=20250101","PX392=20251231","DS004=HKD")</f>
        <v>1302668.7499999988</v>
      </c>
      <c r="F11">
        <f>_xll.BDP("3483 HK Equity","PX596","PX395=FUND_TOTAL_ASSETS","DY262=D","PY204=N","PX391=20260626","PX392=20260626","DS004=USD")</f>
        <v>55.509777919179804</v>
      </c>
      <c r="G11">
        <f>_xll.BDP("3483 HK Equity","PX388","PX395=CUR_MKT_CAP","DY262=D","PY204=N","PX391=20260626","PX392=20260626","DS004=HKD")</f>
        <v>438.68400000000003</v>
      </c>
      <c r="H11" t="str">
        <f>_xll.BDP("3483 HK Equity","FUND_LEVERAGE_TYPE")</f>
        <v>#N/A N/A</v>
      </c>
      <c r="I11">
        <f>_xll.BDP("3483 HK Equity","PX388","PX395=TURNOVER","DY262=D","PY204=N","PX391=20260101","PX392=20260131","DS004=HKD")</f>
        <v>361157.52380952385</v>
      </c>
      <c r="J11">
        <v>-1</v>
      </c>
      <c r="K11" t="str">
        <f>_xll.BDP("3483 HK Equity","FUND_INCEPT_DT")</f>
        <v>9/24/2025</v>
      </c>
      <c r="L11" t="str">
        <f>_xll.BDP("3483 HK Equity","PX388","PX395=TURNOVER_EXCH_RATIO","DY262=D","PY204=N","PX391=20251201","PX392=20251210")</f>
        <v>#N/A N/A</v>
      </c>
      <c r="M11">
        <f>_xll.BDP("3483 HK Equity","EQY_SH_OUT")</f>
        <v>26.299999999999997</v>
      </c>
      <c r="N11">
        <f>_xll.BDP("3483 HK Equity","EQY_TRR_PCT_YTD")</f>
        <v>4.5367459999999999</v>
      </c>
      <c r="O11">
        <f>_xll.BDP("3483 HK Equity","CHG_PCT_YTD")</f>
        <v>3.9081830000000002</v>
      </c>
      <c r="P11">
        <f>_xll.BDP("3483 HK Equity","CHG_PCT_1M")</f>
        <v>-7.7134970000000003</v>
      </c>
      <c r="Q11" t="str">
        <f>_xll.BDP("3483 HK Equity","LISTING_DATE")</f>
        <v>9/26/2025</v>
      </c>
      <c r="R11" t="str">
        <f>_xll.BDP("3483 HK Equity","FUND_INCEPT_DT")</f>
        <v>9/24/2025</v>
      </c>
      <c r="S11">
        <f>_xll.BDP("3483 HK Equity","AVG_DAILY_VALUE_TRADED_3M")</f>
        <v>5341690</v>
      </c>
      <c r="T11" t="str">
        <f>_xll.BDP("3483 HK Equity","PX596","PX395=HISTORICAL_MARKET_CAP","DY262=D","PY204=N","PX391=20231231","PX392=20231231","DS004=HKD")</f>
        <v>#N/A N/A</v>
      </c>
      <c r="U11" t="str">
        <f>_xll.BDP("3483 HK Equity","PX385","PX395=FUND_FLOW","DY262=D","PY204=N","PX391=20240102","PX392=20240930","DS004=HKD")</f>
        <v>#N/A N/A</v>
      </c>
      <c r="V11">
        <f>_xll.BDP("3483 HK Equity","PX596","PX395=CUR_MKT_CAP","DY262=D","PY204=N","PX391=20240101","DS004=HKD")</f>
        <v>617.39599999999996</v>
      </c>
      <c r="W11" t="str">
        <f>_xll.BDP("3483 HK Equity","FUND_INCEPT_DT")</f>
        <v>9/24/2025</v>
      </c>
      <c r="X11" t="str">
        <f>_xll.BDP("3483 HK Equity","PX388","PX395=TURNOVER","DY262=D","PY204=N","PX391=20240502","PX392=20240606","DS004=HKD")</f>
        <v>#N/A N/A</v>
      </c>
      <c r="Y11" t="str">
        <f>_xll.BDP("3483 HK Equity","PARENT_COMP_NAME")</f>
        <v>E Fund Management Hong Kong Co</v>
      </c>
      <c r="Z11" t="str">
        <f>_xll.BDP("3483 HK Equity","NAV_CRNCY")</f>
        <v>HKD</v>
      </c>
      <c r="AA11" t="str">
        <f>_xll.BDP("3483 HK Equity","FUND_GEO_FOCUS")</f>
        <v>Asian Pacific Region</v>
      </c>
      <c r="AB11" t="str">
        <f>_xll.BDP("3483 HK Equity","FUND_ASSET_CLASS_FOCUS")</f>
        <v>Equity</v>
      </c>
      <c r="AC11">
        <f>_xll.BDP("3483 HK Equity","PX_LAST")</f>
        <v>16.75</v>
      </c>
      <c r="AD11">
        <f>_xll.BDP("3483 HK Equity","PX388","PX395=TIME_WAVG_BID_ASK_SPREAD_PCT","DY262=D","PY204=N","PX391=20260601","PX392=20260626")</f>
        <v>0.24317082054958239</v>
      </c>
      <c r="AE11">
        <f>_xll.BDP("3483 HK Equity","PX388","PX395=AVERAGE_BID_ASK_SPREAD_%","DY262=D","PY204=N","PX391=20260601","PX392=20260626")</f>
        <v>0.35783525463932769</v>
      </c>
    </row>
    <row r="12" spans="1:31" x14ac:dyDescent="0.25">
      <c r="A12" t="s">
        <v>37</v>
      </c>
      <c r="B12" t="str">
        <f>_xll.BDP("3033 HK Equity","LONG_COMP_NAME")</f>
        <v>CSOP Hang Seng Tech Index ETF</v>
      </c>
      <c r="C12">
        <f>_xll.BDP("3033 HK Equity","PX385","PX395=FUND_FLOW","DY262=D","PY204=N","PX391=20260622","PX392=20260626","DS004=USD")</f>
        <v>41.484582234665623</v>
      </c>
      <c r="D12">
        <f>_xll.BDP("3033 HK Equity","PX388","PX395=TURNOVER","DY262=D","PY204=N","PX391=20260601","PX392=20260626","DS004=HKD")</f>
        <v>12985640473.684208</v>
      </c>
      <c r="E12">
        <f>_xll.BDP("3033 HK Equity","PX388","PX395=TURNOVER","DY262=D","PY204=N","PX391=20250101","PX392=20251231","DS004=HKD")</f>
        <v>6968622593.4959345</v>
      </c>
      <c r="F12">
        <f>_xll.BDP("3033 HK Equity","PX596","PX395=FUND_TOTAL_ASSETS","DY262=D","PY204=N","PX391=20260626","PX392=20260626","DS004=USD")</f>
        <v>8425.4079835592493</v>
      </c>
      <c r="G12">
        <f>_xll.BDP("3033 HK Equity","PX388","PX395=CUR_MKT_CAP","DY262=D","PY204=N","PX391=20260626","PX392=20260626","DS004=HKD")</f>
        <v>66181.522835999989</v>
      </c>
      <c r="H12" t="str">
        <f>_xll.BDP("3033 HK Equity","FUND_LEVERAGE_TYPE")</f>
        <v>#N/A N/A</v>
      </c>
      <c r="I12">
        <f>_xll.BDP("3033 HK Equity","PX388","PX395=TURNOVER","DY262=D","PY204=N","PX391=20260101","PX392=20260131","DS004=HKD")</f>
        <v>8532916047.6190472</v>
      </c>
      <c r="J12">
        <v>-1</v>
      </c>
      <c r="K12" t="str">
        <f>_xll.BDP("3033 HK Equity","FUND_INCEPT_DT")</f>
        <v>8/28/2020</v>
      </c>
      <c r="L12" t="str">
        <f>_xll.BDP("3033 HK Equity","PX388","PX395=TURNOVER_EXCH_RATIO","DY262=D","PY204=N","PX391=20251201","PX392=20251210")</f>
        <v>#N/A N/A</v>
      </c>
      <c r="M12">
        <f>_xll.BDP("3033 HK Equity","EQY_SH_OUT")</f>
        <v>15832.9</v>
      </c>
      <c r="N12">
        <f>_xll.BDP("3033 HK Equity","EQY_TRR_PCT_YTD")</f>
        <v>-22.768080000000001</v>
      </c>
      <c r="O12">
        <f>_xll.BDP("3033 HK Equity","CHG_PCT_YTD")</f>
        <v>-20.074210000000001</v>
      </c>
      <c r="P12">
        <f>_xll.BDP("3033 HK Equity","CHG_PCT_1M")</f>
        <v>-9.9498309999999996</v>
      </c>
      <c r="Q12" t="str">
        <f>_xll.BDP("3033 HK Equity","LISTING_DATE")</f>
        <v>8/28/2020</v>
      </c>
      <c r="R12" t="str">
        <f>_xll.BDP("3033 HK Equity","FUND_INCEPT_DT")</f>
        <v>8/28/2020</v>
      </c>
      <c r="S12">
        <f>_xll.BDP("3033 HK Equity","AVG_DAILY_VALUE_TRADED_3M")</f>
        <v>9320610000</v>
      </c>
      <c r="T12" t="str">
        <f>_xll.BDP("3033 HK Equity","PX596","PX395=HISTORICAL_MARKET_CAP","DY262=D","PY204=N","PX391=20231231","PX392=20231231","DS004=HKD")</f>
        <v>#N/A N/A</v>
      </c>
      <c r="U12">
        <f>_xll.BDP("3033 HK Equity","PX385","PX395=FUND_FLOW","DY262=D","PY204=N","PX391=20240102","PX392=20240930","DS004=HKD")</f>
        <v>-821.63370000000032</v>
      </c>
      <c r="V12">
        <f>_xll.BDP("3033 HK Equity","PX596","PX395=CUR_MKT_CAP","DY262=D","PY204=N","PX391=20240101","DS004=HKD")</f>
        <v>71557.102077999996</v>
      </c>
      <c r="W12" t="str">
        <f>_xll.BDP("3033 HK Equity","FUND_INCEPT_DT")</f>
        <v>8/28/2020</v>
      </c>
      <c r="X12">
        <f>_xll.BDP("3033 HK Equity","PX388","PX395=TURNOVER","DY262=D","PY204=N","PX391=20240502","PX392=20240606","DS004=HKD")</f>
        <v>2277046068</v>
      </c>
      <c r="Y12" t="str">
        <f>_xll.BDP("3033 HK Equity","PARENT_COMP_NAME")</f>
        <v>CSOP Asset Management Ltd/Hong</v>
      </c>
      <c r="Z12" t="str">
        <f>_xll.BDP("3033 HK Equity","NAV_CRNCY")</f>
        <v>HKD</v>
      </c>
      <c r="AA12" t="str">
        <f>_xll.BDP("3033 HK Equity","FUND_GEO_FOCUS")</f>
        <v>Hong Kong</v>
      </c>
      <c r="AB12" t="str">
        <f>_xll.BDP("3033 HK Equity","FUND_ASSET_CLASS_FOCUS")</f>
        <v>Equity</v>
      </c>
      <c r="AC12">
        <f>_xll.BDP("3033 HK Equity","PX_LAST")</f>
        <v>4.3079999999999998</v>
      </c>
      <c r="AD12">
        <f>_xll.BDP("3033 HK Equity","PX388","PX395=TIME_WAVG_BID_ASK_SPREAD_PCT","DY262=D","PY204=N","PX391=20260601","PX392=20260626")</f>
        <v>4.6889968645361019E-2</v>
      </c>
      <c r="AE12">
        <f>_xll.BDP("3033 HK Equity","PX388","PX395=AVERAGE_BID_ASK_SPREAD_%","DY262=D","PY204=N","PX391=20260601","PX392=20260626")</f>
        <v>4.8033764560882902E-2</v>
      </c>
    </row>
    <row r="13" spans="1:31" x14ac:dyDescent="0.25">
      <c r="A13" t="s">
        <v>38</v>
      </c>
      <c r="B13" t="str">
        <f>_xll.BDP("3489 HK Equity","LONG_COMP_NAME")</f>
        <v>E Fund HK FTSE AI Select Index ETF</v>
      </c>
      <c r="C13">
        <f>_xll.BDP("3489 HK Equity","PX385","PX395=FUND_FLOW","DY262=D","PY204=N","PX391=20260622","PX392=20260626","DS004=USD")</f>
        <v>40.776438501582035</v>
      </c>
      <c r="D13">
        <f>_xll.BDP("3489 HK Equity","PX388","PX395=TURNOVER","DY262=D","PY204=N","PX391=20260601","PX392=20260626","DS004=HKD")</f>
        <v>15978594.210526317</v>
      </c>
      <c r="E13">
        <f>_xll.BDP("3489 HK Equity","PX388","PX395=TURNOVER","DY262=D","PY204=N","PX391=20250101","PX392=20251231","DS004=HKD")</f>
        <v>1969943.8593749998</v>
      </c>
      <c r="F13">
        <f>_xll.BDP("3489 HK Equity","PX596","PX395=FUND_TOTAL_ASSETS","DY262=D","PY204=N","PX391=20260626","PX392=20260626","DS004=USD")</f>
        <v>53.903141765598491</v>
      </c>
      <c r="G13">
        <f>_xll.BDP("3489 HK Equity","PX388","PX395=CUR_MKT_CAP","DY262=D","PY204=N","PX391=20260626","PX392=20260626","DS004=HKD")</f>
        <v>419.32799999999997</v>
      </c>
      <c r="H13" t="str">
        <f>_xll.BDP("3489 HK Equity","FUND_LEVERAGE_TYPE")</f>
        <v>#N/A N/A</v>
      </c>
      <c r="I13">
        <f>_xll.BDP("3489 HK Equity","PX388","PX395=TURNOVER","DY262=D","PY204=N","PX391=20260101","PX392=20260131","DS004=HKD")</f>
        <v>753956.19047619053</v>
      </c>
      <c r="J13">
        <v>-1</v>
      </c>
      <c r="K13" t="str">
        <f>_xll.BDP("3489 HK Equity","FUND_INCEPT_DT")</f>
        <v>9/24/2025</v>
      </c>
      <c r="L13" t="str">
        <f>_xll.BDP("3489 HK Equity","PX388","PX395=TURNOVER_EXCH_RATIO","DY262=D","PY204=N","PX391=20251201","PX392=20251210")</f>
        <v>#N/A N/A</v>
      </c>
      <c r="M13">
        <f>_xll.BDP("3489 HK Equity","EQY_SH_OUT")</f>
        <v>31.7</v>
      </c>
      <c r="N13">
        <f>_xll.BDP("3489 HK Equity","EQY_TRR_PCT_YTD")</f>
        <v>0.97896760000000005</v>
      </c>
      <c r="O13">
        <f>_xll.BDP("3489 HK Equity","CHG_PCT_YTD")</f>
        <v>2.5203869999999999</v>
      </c>
      <c r="P13">
        <f>_xll.BDP("3489 HK Equity","CHG_PCT_1M")</f>
        <v>-0.93123239999999996</v>
      </c>
      <c r="Q13" t="str">
        <f>_xll.BDP("3489 HK Equity","LISTING_DATE")</f>
        <v>9/26/2025</v>
      </c>
      <c r="R13" t="str">
        <f>_xll.BDP("3489 HK Equity","FUND_INCEPT_DT")</f>
        <v>9/24/2025</v>
      </c>
      <c r="S13">
        <f>_xll.BDP("3489 HK Equity","AVG_DAILY_VALUE_TRADED_3M")</f>
        <v>6167360</v>
      </c>
      <c r="T13" t="str">
        <f>_xll.BDP("3489 HK Equity","PX596","PX395=HISTORICAL_MARKET_CAP","DY262=D","PY204=N","PX391=20231231","PX392=20231231","DS004=HKD")</f>
        <v>#N/A N/A</v>
      </c>
      <c r="U13" t="str">
        <f>_xll.BDP("3489 HK Equity","PX385","PX395=FUND_FLOW","DY262=D","PY204=N","PX391=20240102","PX392=20240930","DS004=HKD")</f>
        <v>#N/A N/A</v>
      </c>
      <c r="V13">
        <f>_xll.BDP("3489 HK Equity","PX596","PX395=CUR_MKT_CAP","DY262=D","PY204=N","PX391=20240101","DS004=HKD")</f>
        <v>539.6</v>
      </c>
      <c r="W13" t="str">
        <f>_xll.BDP("3489 HK Equity","FUND_INCEPT_DT")</f>
        <v>9/24/2025</v>
      </c>
      <c r="X13" t="str">
        <f>_xll.BDP("3489 HK Equity","PX388","PX395=TURNOVER","DY262=D","PY204=N","PX391=20240502","PX392=20240606","DS004=HKD")</f>
        <v>#N/A N/A</v>
      </c>
      <c r="Y13" t="str">
        <f>_xll.BDP("3489 HK Equity","PARENT_COMP_NAME")</f>
        <v>E Fund Management Hong Kong Co</v>
      </c>
      <c r="Z13" t="str">
        <f>_xll.BDP("3489 HK Equity","NAV_CRNCY")</f>
        <v>HKD</v>
      </c>
      <c r="AA13" t="str">
        <f>_xll.BDP("3489 HK Equity","FUND_GEO_FOCUS")</f>
        <v>Global</v>
      </c>
      <c r="AB13" t="str">
        <f>_xll.BDP("3489 HK Equity","FUND_ASSET_CLASS_FOCUS")</f>
        <v>Equity</v>
      </c>
      <c r="AC13">
        <f>_xll.BDP("3489 HK Equity","PX_LAST")</f>
        <v>13.83</v>
      </c>
      <c r="AD13">
        <f>_xll.BDP("3489 HK Equity","PX388","PX395=TIME_WAVG_BID_ASK_SPREAD_PCT","DY262=D","PY204=N","PX391=20260601","PX392=20260626")</f>
        <v>0.24872197680643246</v>
      </c>
      <c r="AE13">
        <f>_xll.BDP("3489 HK Equity","PX388","PX395=AVERAGE_BID_ASK_SPREAD_%","DY262=D","PY204=N","PX391=20260601","PX392=20260626")</f>
        <v>0.33894718595447121</v>
      </c>
    </row>
    <row r="14" spans="1:31" x14ac:dyDescent="0.25">
      <c r="A14" t="s">
        <v>39</v>
      </c>
      <c r="B14" t="str">
        <f>_xll.BDP("3191 HK Equity","LONG_COMP_NAME")</f>
        <v>Global X China Semiconductor ETF</v>
      </c>
      <c r="C14">
        <f>_xll.BDP("3191 HK Equity","PX385","PX395=FUND_FLOW","DY262=D","PY204=N","PX391=20260622","PX392=20260626","DS004=USD")</f>
        <v>31.512320012984013</v>
      </c>
      <c r="D14">
        <f>_xll.BDP("3191 HK Equity","PX388","PX395=TURNOVER","DY262=D","PY204=N","PX391=20260601","PX392=20260626","DS004=HKD")</f>
        <v>37781388.736842103</v>
      </c>
      <c r="E14">
        <f>_xll.BDP("3191 HK Equity","PX388","PX395=TURNOVER","DY262=D","PY204=N","PX391=20250101","PX392=20251231","DS004=HKD")</f>
        <v>11505251.02845528</v>
      </c>
      <c r="F14">
        <f>_xll.BDP("3191 HK Equity","PX596","PX395=FUND_TOTAL_ASSETS","DY262=D","PY204=N","PX391=20260626","PX392=20260626","DS004=USD")</f>
        <v>567.03563291592809</v>
      </c>
      <c r="G14">
        <f>_xll.BDP("3191 HK Equity","PX388","PX395=CUR_MKT_CAP","DY262=D","PY204=N","PX391=20260626","PX392=20260626","DS004=HKD")</f>
        <v>4419.6274999999996</v>
      </c>
      <c r="H14" t="str">
        <f>_xll.BDP("3191 HK Equity","FUND_LEVERAGE_TYPE")</f>
        <v>#N/A N/A</v>
      </c>
      <c r="I14">
        <f>_xll.BDP("3191 HK Equity","PX388","PX395=TURNOVER","DY262=D","PY204=N","PX391=20260101","PX392=20260131","DS004=HKD")</f>
        <v>18441601.380952381</v>
      </c>
      <c r="J14">
        <v>-1</v>
      </c>
      <c r="K14" t="str">
        <f>_xll.BDP("3191 HK Equity","FUND_INCEPT_DT")</f>
        <v>8/7/2020</v>
      </c>
      <c r="L14" t="str">
        <f>_xll.BDP("3191 HK Equity","PX388","PX395=TURNOVER_EXCH_RATIO","DY262=D","PY204=N","PX391=20251201","PX392=20251210")</f>
        <v>#N/A N/A</v>
      </c>
      <c r="M14">
        <f>_xll.BDP("3191 HK Equity","EQY_SH_OUT")</f>
        <v>39.049999999999997</v>
      </c>
      <c r="N14">
        <f>_xll.BDP("3191 HK Equity","EQY_TRR_PCT_YTD")</f>
        <v>96.801730000000006</v>
      </c>
      <c r="O14">
        <f>_xll.BDP("3191 HK Equity","CHG_PCT_YTD")</f>
        <v>108.9029</v>
      </c>
      <c r="P14">
        <f>_xll.BDP("3191 HK Equity","CHG_PCT_1M")</f>
        <v>33.19896</v>
      </c>
      <c r="Q14" t="str">
        <f>_xll.BDP("3191 HK Equity","LISTING_DATE")</f>
        <v>8/7/2020</v>
      </c>
      <c r="R14" t="str">
        <f>_xll.BDP("3191 HK Equity","FUND_INCEPT_DT")</f>
        <v>8/7/2020</v>
      </c>
      <c r="S14">
        <f>_xll.BDP("3191 HK Equity","AVG_DAILY_VALUE_TRADED_3M")</f>
        <v>29712040</v>
      </c>
      <c r="T14" t="str">
        <f>_xll.BDP("3191 HK Equity","PX596","PX395=HISTORICAL_MARKET_CAP","DY262=D","PY204=N","PX391=20231231","PX392=20231231","DS004=HKD")</f>
        <v>#N/A N/A</v>
      </c>
      <c r="U14">
        <f>_xll.BDP("3191 HK Equity","PX385","PX395=FUND_FLOW","DY262=D","PY204=N","PX391=20240102","PX392=20240930","DS004=HKD")</f>
        <v>-95.953275000000019</v>
      </c>
      <c r="V14">
        <f>_xll.BDP("3191 HK Equity","PX596","PX395=CUR_MKT_CAP","DY262=D","PY204=N","PX391=20240101","DS004=HKD")</f>
        <v>1404.48</v>
      </c>
      <c r="W14" t="str">
        <f>_xll.BDP("3191 HK Equity","FUND_INCEPT_DT")</f>
        <v>8/7/2020</v>
      </c>
      <c r="X14">
        <f>_xll.BDP("3191 HK Equity","PX388","PX395=TURNOVER","DY262=D","PY204=N","PX391=20240502","PX392=20240606","DS004=HKD")</f>
        <v>624595.4800000001</v>
      </c>
      <c r="Y14" t="str">
        <f>_xll.BDP("3191 HK Equity","PARENT_COMP_NAME")</f>
        <v>Mirae Asset Global Investments</v>
      </c>
      <c r="Z14" t="str">
        <f>_xll.BDP("3191 HK Equity","NAV_CRNCY")</f>
        <v>HKD</v>
      </c>
      <c r="AA14" t="str">
        <f>_xll.BDP("3191 HK Equity","FUND_GEO_FOCUS")</f>
        <v>China</v>
      </c>
      <c r="AB14" t="str">
        <f>_xll.BDP("3191 HK Equity","FUND_ASSET_CLASS_FOCUS")</f>
        <v>Equity</v>
      </c>
      <c r="AC14">
        <f>_xll.BDP("3191 HK Equity","PX_LAST")</f>
        <v>122.25</v>
      </c>
      <c r="AD14">
        <f>_xll.BDP("3191 HK Equity","PX388","PX395=TIME_WAVG_BID_ASK_SPREAD_PCT","DY262=D","PY204=N","PX391=20260601","PX392=20260626")</f>
        <v>0.23823637699241276</v>
      </c>
      <c r="AE14">
        <f>_xll.BDP("3191 HK Equity","PX388","PX395=AVERAGE_BID_ASK_SPREAD_%","DY262=D","PY204=N","PX391=20260601","PX392=20260626")</f>
        <v>0.31141094824752025</v>
      </c>
    </row>
    <row r="15" spans="1:31" x14ac:dyDescent="0.25">
      <c r="A15" t="s">
        <v>40</v>
      </c>
      <c r="B15" t="str">
        <f>_xll.BDP("3115 HK Equity","LONG_COMP_NAME")</f>
        <v>iShares Core Hang Seng Index ETF</v>
      </c>
      <c r="C15">
        <f>_xll.BDP("3115 HK Equity","PX385","PX395=FUND_FLOW","DY262=D","PY204=N","PX391=20260622","PX392=20260626","DS004=USD")</f>
        <v>27.250573906389491</v>
      </c>
      <c r="D15">
        <f>_xll.BDP("3115 HK Equity","PX388","PX395=TURNOVER","DY262=D","PY204=N","PX391=20260601","PX392=20260626","DS004=HKD")</f>
        <v>4249589.6105263159</v>
      </c>
      <c r="E15">
        <f>_xll.BDP("3115 HK Equity","PX388","PX395=TURNOVER","DY262=D","PY204=N","PX391=20250101","PX392=20251231","DS004=HKD")</f>
        <v>6182076.8902439</v>
      </c>
      <c r="F15">
        <f>_xll.BDP("3115 HK Equity","PX596","PX395=FUND_TOTAL_ASSETS","DY262=D","PY204=N","PX391=20260626","PX392=20260626","DS004=USD")</f>
        <v>288.04892108236311</v>
      </c>
      <c r="G15">
        <f>_xll.BDP("3115 HK Equity","PX388","PX395=CUR_MKT_CAP","DY262=D","PY204=N","PX391=20260626","PX392=20260626","DS004=HKD")</f>
        <v>2259.232</v>
      </c>
      <c r="H15" t="str">
        <f>_xll.BDP("3115 HK Equity","FUND_LEVERAGE_TYPE")</f>
        <v>#N/A N/A</v>
      </c>
      <c r="I15">
        <f>_xll.BDP("3115 HK Equity","PX388","PX395=TURNOVER","DY262=D","PY204=N","PX391=20260101","PX392=20260131","DS004=HKD")</f>
        <v>8204420.4761904757</v>
      </c>
      <c r="J15">
        <v>-1</v>
      </c>
      <c r="K15" t="str">
        <f>_xll.BDP("3115 HK Equity","FUND_INCEPT_DT")</f>
        <v>11/18/2016</v>
      </c>
      <c r="L15" t="str">
        <f>_xll.BDP("3115 HK Equity","PX388","PX395=TURNOVER_EXCH_RATIO","DY262=D","PY204=N","PX391=20251201","PX392=20251210")</f>
        <v>#N/A N/A</v>
      </c>
      <c r="M15">
        <f>_xll.BDP("3115 HK Equity","EQY_SH_OUT")</f>
        <v>27.2</v>
      </c>
      <c r="N15">
        <f>_xll.BDP("3115 HK Equity","EQY_TRR_PCT_YTD")</f>
        <v>-8.6450750000000003</v>
      </c>
      <c r="O15">
        <f>_xll.BDP("3115 HK Equity","CHG_PCT_YTD")</f>
        <v>-9.3293219999999994</v>
      </c>
      <c r="P15">
        <f>_xll.BDP("3115 HK Equity","CHG_PCT_1M")</f>
        <v>-8.7012999999999998</v>
      </c>
      <c r="Q15" t="str">
        <f>_xll.BDP("3115 HK Equity","LISTING_DATE")</f>
        <v>11/23/2016</v>
      </c>
      <c r="R15" t="str">
        <f>_xll.BDP("3115 HK Equity","FUND_INCEPT_DT")</f>
        <v>11/18/2016</v>
      </c>
      <c r="S15">
        <f>_xll.BDP("3115 HK Equity","AVG_DAILY_VALUE_TRADED_3M")</f>
        <v>5918000</v>
      </c>
      <c r="T15" t="str">
        <f>_xll.BDP("3115 HK Equity","PX596","PX395=HISTORICAL_MARKET_CAP","DY262=D","PY204=N","PX391=20231231","PX392=20231231","DS004=HKD")</f>
        <v>#N/A N/A</v>
      </c>
      <c r="U15">
        <f>_xll.BDP("3115 HK Equity","PX385","PX395=FUND_FLOW","DY262=D","PY204=N","PX391=20240102","PX392=20240930","DS004=HKD")</f>
        <v>189.04846999999992</v>
      </c>
      <c r="V15">
        <f>_xll.BDP("3115 HK Equity","PX596","PX395=CUR_MKT_CAP","DY262=D","PY204=N","PX391=20240101","DS004=HKD")</f>
        <v>2284.1320000000001</v>
      </c>
      <c r="W15" t="str">
        <f>_xll.BDP("3115 HK Equity","FUND_INCEPT_DT")</f>
        <v>11/18/2016</v>
      </c>
      <c r="X15">
        <f>_xll.BDP("3115 HK Equity","PX388","PX395=TURNOVER","DY262=D","PY204=N","PX391=20240502","PX392=20240606","DS004=HKD")</f>
        <v>5283631.1879999992</v>
      </c>
      <c r="Y15" t="str">
        <f>_xll.BDP("3115 HK Equity","PARENT_COMP_NAME")</f>
        <v>iShares ETFs/Hong Kong</v>
      </c>
      <c r="Z15" t="str">
        <f>_xll.BDP("3115 HK Equity","NAV_CRNCY")</f>
        <v>HKD</v>
      </c>
      <c r="AA15" t="str">
        <f>_xll.BDP("3115 HK Equity","FUND_GEO_FOCUS")</f>
        <v>Hong Kong</v>
      </c>
      <c r="AB15" t="str">
        <f>_xll.BDP("3115 HK Equity","FUND_ASSET_CLASS_FOCUS")</f>
        <v>Equity</v>
      </c>
      <c r="AC15">
        <f>_xll.BDP("3115 HK Equity","PX_LAST")</f>
        <v>84.36</v>
      </c>
      <c r="AD15">
        <f>_xll.BDP("3115 HK Equity","PX388","PX395=TIME_WAVG_BID_ASK_SPREAD_PCT","DY262=D","PY204=N","PX391=20260601","PX392=20260626")</f>
        <v>0.10534562827020066</v>
      </c>
      <c r="AE15">
        <f>_xll.BDP("3115 HK Equity","PX388","PX395=AVERAGE_BID_ASK_SPREAD_%","DY262=D","PY204=N","PX391=20260601","PX392=20260626")</f>
        <v>0.11039848343802369</v>
      </c>
    </row>
    <row r="16" spans="1:31" x14ac:dyDescent="0.25">
      <c r="A16" t="s">
        <v>41</v>
      </c>
      <c r="B16" t="str">
        <f>_xll.BDP("3119 HK Equity","LONG_COMP_NAME")</f>
        <v>Global X Asia Semiconductor Etf</v>
      </c>
      <c r="C16">
        <f>_xll.BDP("3119 HK Equity","PX385","PX395=FUND_FLOW","DY262=D","PY204=N","PX391=20260622","PX392=20260626","DS004=USD")</f>
        <v>17.979728065994955</v>
      </c>
      <c r="D16">
        <f>_xll.BDP("3119 HK Equity","PX388","PX395=TURNOVER","DY262=D","PY204=N","PX391=20260601","PX392=20260626","DS004=HKD")</f>
        <v>36366876.315789476</v>
      </c>
      <c r="E16">
        <f>_xll.BDP("3119 HK Equity","PX388","PX395=TURNOVER","DY262=D","PY204=N","PX391=20250101","PX392=20251231","DS004=HKD")</f>
        <v>767673.20836134418</v>
      </c>
      <c r="F16">
        <f>_xll.BDP("3119 HK Equity","PX596","PX395=FUND_TOTAL_ASSETS","DY262=D","PY204=N","PX391=20260626","PX392=20260626","DS004=USD")</f>
        <v>156.96472672880986</v>
      </c>
      <c r="G16">
        <f>_xll.BDP("3119 HK Equity","PX388","PX395=CUR_MKT_CAP","DY262=D","PY204=N","PX391=20260626","PX392=20260626","DS004=HKD")</f>
        <v>1194.57</v>
      </c>
      <c r="H16" t="str">
        <f>_xll.BDP("3119 HK Equity","FUND_LEVERAGE_TYPE")</f>
        <v>#N/A N/A</v>
      </c>
      <c r="I16">
        <f>_xll.BDP("3119 HK Equity","PX388","PX395=TURNOVER","DY262=D","PY204=N","PX391=20260101","PX392=20260131","DS004=HKD")</f>
        <v>5883976.9047619058</v>
      </c>
      <c r="J16">
        <v>-1</v>
      </c>
      <c r="K16" t="str">
        <f>_xll.BDP("3119 HK Equity","FUND_INCEPT_DT")</f>
        <v>7/23/2021</v>
      </c>
      <c r="L16" t="str">
        <f>_xll.BDP("3119 HK Equity","PX388","PX395=TURNOVER_EXCH_RATIO","DY262=D","PY204=N","PX391=20251201","PX392=20251210")</f>
        <v>#N/A N/A</v>
      </c>
      <c r="M16">
        <f>_xll.BDP("3119 HK Equity","EQY_SH_OUT")</f>
        <v>6.1</v>
      </c>
      <c r="N16">
        <f>_xll.BDP("3119 HK Equity","EQY_TRR_PCT_YTD")</f>
        <v>121.8278</v>
      </c>
      <c r="O16">
        <f>_xll.BDP("3119 HK Equity","CHG_PCT_YTD")</f>
        <v>111.0532</v>
      </c>
      <c r="P16">
        <f>_xll.BDP("3119 HK Equity","CHG_PCT_1M")</f>
        <v>8.7879579999999997</v>
      </c>
      <c r="Q16" t="str">
        <f>_xll.BDP("3119 HK Equity","LISTING_DATE")</f>
        <v>7/23/2021</v>
      </c>
      <c r="R16" t="str">
        <f>_xll.BDP("3119 HK Equity","FUND_INCEPT_DT")</f>
        <v>7/23/2021</v>
      </c>
      <c r="S16">
        <f>_xll.BDP("3119 HK Equity","AVG_DAILY_VALUE_TRADED_3M")</f>
        <v>24115820</v>
      </c>
      <c r="T16" t="str">
        <f>_xll.BDP("3119 HK Equity","PX596","PX395=HISTORICAL_MARKET_CAP","DY262=D","PY204=N","PX391=20231231","PX392=20231231","DS004=HKD")</f>
        <v>#N/A N/A</v>
      </c>
      <c r="U16">
        <f>_xll.BDP("3119 HK Equity","PX385","PX395=FUND_FLOW","DY262=D","PY204=N","PX391=20240102","PX392=20240930","DS004=HKD")</f>
        <v>-40.391485000000003</v>
      </c>
      <c r="V16">
        <f>_xll.BDP("3119 HK Equity","PX596","PX395=CUR_MKT_CAP","DY262=D","PY204=N","PX391=20240101","DS004=HKD")</f>
        <v>100.69500000000001</v>
      </c>
      <c r="W16" t="str">
        <f>_xll.BDP("3119 HK Equity","FUND_INCEPT_DT")</f>
        <v>7/23/2021</v>
      </c>
      <c r="X16">
        <f>_xll.BDP("3119 HK Equity","PX388","PX395=TURNOVER","DY262=D","PY204=N","PX391=20240502","PX392=20240606","DS004=HKD")</f>
        <v>400601.09583333338</v>
      </c>
      <c r="Y16" t="str">
        <f>_xll.BDP("3119 HK Equity","PARENT_COMP_NAME")</f>
        <v>Mirae Asset Global Investments</v>
      </c>
      <c r="Z16" t="str">
        <f>_xll.BDP("3119 HK Equity","NAV_CRNCY")</f>
        <v>HKD</v>
      </c>
      <c r="AA16" t="str">
        <f>_xll.BDP("3119 HK Equity","FUND_GEO_FOCUS")</f>
        <v>Asian Pacific Region</v>
      </c>
      <c r="AB16" t="str">
        <f>_xll.BDP("3119 HK Equity","FUND_ASSET_CLASS_FOCUS")</f>
        <v>Equity</v>
      </c>
      <c r="AC16">
        <f>_xll.BDP("3119 HK Equity","PX_LAST")</f>
        <v>202.4</v>
      </c>
      <c r="AD16">
        <f>_xll.BDP("3119 HK Equity","PX388","PX395=TIME_WAVG_BID_ASK_SPREAD_PCT","DY262=D","PY204=N","PX391=20260601","PX392=20260626")</f>
        <v>0.14152501372280502</v>
      </c>
      <c r="AE16">
        <f>_xll.BDP("3119 HK Equity","PX388","PX395=AVERAGE_BID_ASK_SPREAD_%","DY262=D","PY204=N","PX391=20260601","PX392=20260626")</f>
        <v>0.18470082595617304</v>
      </c>
    </row>
    <row r="17" spans="1:31" x14ac:dyDescent="0.25">
      <c r="A17" t="s">
        <v>42</v>
      </c>
      <c r="B17" t="str">
        <f>_xll.BDP("2802 HK Equity","LONG_COMP_NAME")</f>
        <v>CSOP HSCEI Covered Call Active ETF</v>
      </c>
      <c r="C17">
        <f>_xll.BDP("2802 HK Equity","PX385","PX395=FUND_FLOW","DY262=D","PY204=N","PX391=20260622","PX392=20260626","DS004=USD")</f>
        <v>17.4341097620824</v>
      </c>
      <c r="D17">
        <f>_xll.BDP("2802 HK Equity","PX388","PX395=TURNOVER","DY262=D","PY204=N","PX391=20260601","PX392=20260626","DS004=HKD")</f>
        <v>128618025.78947368</v>
      </c>
      <c r="E17">
        <f>_xll.BDP("2802 HK Equity","PX388","PX395=TURNOVER","DY262=D","PY204=N","PX391=20250101","PX392=20251231","DS004=HKD")</f>
        <v>14711936.46153846</v>
      </c>
      <c r="F17">
        <f>_xll.BDP("2802 HK Equity","PX596","PX395=FUND_TOTAL_ASSETS","DY262=D","PY204=N","PX391=20260626","PX392=20260626","DS004=USD")</f>
        <v>1072.3595510883563</v>
      </c>
      <c r="G17">
        <f>_xll.BDP("2802 HK Equity","PX388","PX395=CUR_MKT_CAP","DY262=D","PY204=N","PX391=20260626","PX392=20260626","DS004=HKD")</f>
        <v>8415.2525000000005</v>
      </c>
      <c r="H17" t="str">
        <f>_xll.BDP("2802 HK Equity","FUND_LEVERAGE_TYPE")</f>
        <v>#N/A N/A</v>
      </c>
      <c r="I17">
        <f>_xll.BDP("2802 HK Equity","PX388","PX395=TURNOVER","DY262=D","PY204=N","PX391=20260101","PX392=20260131","DS004=HKD")</f>
        <v>194014172.42857146</v>
      </c>
      <c r="J17">
        <v>-1</v>
      </c>
      <c r="K17" t="str">
        <f>_xll.BDP("2802 HK Equity","FUND_INCEPT_DT")</f>
        <v>12/10/2025</v>
      </c>
      <c r="L17" t="str">
        <f>_xll.BDP("2802 HK Equity","PX388","PX395=TURNOVER_EXCH_RATIO","DY262=D","PY204=N","PX391=20251201","PX392=20251210")</f>
        <v>#N/A N/A</v>
      </c>
      <c r="M17">
        <f>_xll.BDP("2802 HK Equity","EQY_SH_OUT")</f>
        <v>1194.5</v>
      </c>
      <c r="N17">
        <f>_xll.BDP("2802 HK Equity","EQY_TRR_PCT_YTD")</f>
        <v>-13.38716</v>
      </c>
      <c r="O17">
        <f>_xll.BDP("2802 HK Equity","CHG_PCT_YTD")</f>
        <v>-18.602029999999999</v>
      </c>
      <c r="P17">
        <f>_xll.BDP("2802 HK Equity","CHG_PCT_1M")</f>
        <v>-6.9587659999999998</v>
      </c>
      <c r="Q17" t="str">
        <f>_xll.BDP("2802 HK Equity","LISTING_DATE")</f>
        <v>12/11/2025</v>
      </c>
      <c r="R17" t="str">
        <f>_xll.BDP("2802 HK Equity","FUND_INCEPT_DT")</f>
        <v>12/10/2025</v>
      </c>
      <c r="S17">
        <f>_xll.BDP("2802 HK Equity","AVG_DAILY_VALUE_TRADED_3M")</f>
        <v>158484900</v>
      </c>
      <c r="T17" t="str">
        <f>_xll.BDP("2802 HK Equity","PX596","PX395=HISTORICAL_MARKET_CAP","DY262=D","PY204=N","PX391=20231231","PX392=20231231","DS004=HKD")</f>
        <v>#N/A N/A</v>
      </c>
      <c r="U17" t="str">
        <f>_xll.BDP("2802 HK Equity","PX385","PX395=FUND_FLOW","DY262=D","PY204=N","PX391=20240102","PX392=20240930","DS004=HKD")</f>
        <v>#N/A N/A</v>
      </c>
      <c r="V17">
        <f>_xll.BDP("2802 HK Equity","PX596","PX395=CUR_MKT_CAP","DY262=D","PY204=N","PX391=20240101","DS004=HKD")</f>
        <v>141.91999999999999</v>
      </c>
      <c r="W17" t="str">
        <f>_xll.BDP("2802 HK Equity","FUND_INCEPT_DT")</f>
        <v>12/10/2025</v>
      </c>
      <c r="X17" t="str">
        <f>_xll.BDP("2802 HK Equity","PX388","PX395=TURNOVER","DY262=D","PY204=N","PX391=20240502","PX392=20240606","DS004=HKD")</f>
        <v>#N/A N/A</v>
      </c>
      <c r="Y17" t="str">
        <f>_xll.BDP("2802 HK Equity","PARENT_COMP_NAME")</f>
        <v>CSOP Asset Management Ltd/Hong</v>
      </c>
      <c r="Z17" t="str">
        <f>_xll.BDP("2802 HK Equity","NAV_CRNCY")</f>
        <v>HKD</v>
      </c>
      <c r="AA17" t="str">
        <f>_xll.BDP("2802 HK Equity","FUND_GEO_FOCUS")</f>
        <v>Hong Kong</v>
      </c>
      <c r="AB17" t="str">
        <f>_xll.BDP("2802 HK Equity","FUND_ASSET_CLASS_FOCUS")</f>
        <v>Equity</v>
      </c>
      <c r="AC17">
        <f>_xll.BDP("2802 HK Equity","PX_LAST")</f>
        <v>7.22</v>
      </c>
      <c r="AD17">
        <f>_xll.BDP("2802 HK Equity","PX388","PX395=TIME_WAVG_BID_ASK_SPREAD_PCT","DY262=D","PY204=N","PX391=20260601","PX392=20260626")</f>
        <v>6.4499339533006447E-2</v>
      </c>
      <c r="AE17">
        <f>_xll.BDP("2802 HK Equity","PX388","PX395=AVERAGE_BID_ASK_SPREAD_%","DY262=D","PY204=N","PX391=20260601","PX392=20260626")</f>
        <v>7.0557502111793638E-2</v>
      </c>
    </row>
    <row r="18" spans="1:31" x14ac:dyDescent="0.25">
      <c r="A18" t="s">
        <v>43</v>
      </c>
      <c r="B18" t="str">
        <f>_xll.BDP("3466 HK Equity","LONG_COMP_NAME")</f>
        <v>Hang Seng High Dividend 30 Index ETF</v>
      </c>
      <c r="C18">
        <f>_xll.BDP("3466 HK Equity","PX385","PX395=FUND_FLOW","DY262=D","PY204=N","PX391=20260622","PX392=20260626","DS004=USD")</f>
        <v>13.360036551169767</v>
      </c>
      <c r="D18">
        <f>_xll.BDP("3466 HK Equity","PX388","PX395=TURNOVER","DY262=D","PY204=N","PX391=20260601","PX392=20260626","DS004=HKD")</f>
        <v>168190907.36842108</v>
      </c>
      <c r="E18">
        <f>_xll.BDP("3466 HK Equity","PX388","PX395=TURNOVER","DY262=D","PY204=N","PX391=20250101","PX392=20251231","DS004=HKD")</f>
        <v>71354241.994535476</v>
      </c>
      <c r="F18">
        <f>_xll.BDP("3466 HK Equity","PX596","PX395=FUND_TOTAL_ASSETS","DY262=D","PY204=N","PX391=20260626","PX392=20260626","DS004=USD")</f>
        <v>1530.8028121013499</v>
      </c>
      <c r="G18">
        <f>_xll.BDP("3466 HK Equity","PX388","PX395=CUR_MKT_CAP","DY262=D","PY204=N","PX391=20260626","PX392=20260626","DS004=HKD")</f>
        <v>11068.092000000001</v>
      </c>
      <c r="H18" t="str">
        <f>_xll.BDP("3466 HK Equity","FUND_LEVERAGE_TYPE")</f>
        <v>#N/A N/A</v>
      </c>
      <c r="I18">
        <f>_xll.BDP("3466 HK Equity","PX388","PX395=TURNOVER","DY262=D","PY204=N","PX391=20260101","PX392=20260131","DS004=HKD")</f>
        <v>87136592.380952388</v>
      </c>
      <c r="J18">
        <v>-1</v>
      </c>
      <c r="K18" t="str">
        <f>_xll.BDP("3466 HK Equity","FUND_INCEPT_DT")</f>
        <v>4/2/2025</v>
      </c>
      <c r="L18" t="str">
        <f>_xll.BDP("3466 HK Equity","PX388","PX395=TURNOVER_EXCH_RATIO","DY262=D","PY204=N","PX391=20251201","PX392=20251210")</f>
        <v>#N/A N/A</v>
      </c>
      <c r="M18">
        <f>_xll.BDP("3466 HK Equity","EQY_SH_OUT")</f>
        <v>601.19999999999993</v>
      </c>
      <c r="N18">
        <f>_xll.BDP("3466 HK Equity","EQY_TRR_PCT_YTD")</f>
        <v>-2.6247820000000002</v>
      </c>
      <c r="O18">
        <f>_xll.BDP("3466 HK Equity","CHG_PCT_YTD")</f>
        <v>-5.8405310000000004</v>
      </c>
      <c r="P18">
        <f>_xll.BDP("3466 HK Equity","CHG_PCT_1M")</f>
        <v>-14.40443</v>
      </c>
      <c r="Q18" t="str">
        <f>_xll.BDP("3466 HK Equity","LISTING_DATE")</f>
        <v>4/7/2025</v>
      </c>
      <c r="R18" t="str">
        <f>_xll.BDP("3466 HK Equity","FUND_INCEPT_DT")</f>
        <v>4/2/2025</v>
      </c>
      <c r="S18">
        <f>_xll.BDP("3466 HK Equity","AVG_DAILY_VALUE_TRADED_3M")</f>
        <v>128849200</v>
      </c>
      <c r="T18" t="str">
        <f>_xll.BDP("3466 HK Equity","PX596","PX395=HISTORICAL_MARKET_CAP","DY262=D","PY204=N","PX391=20231231","PX392=20231231","DS004=HKD")</f>
        <v>#N/A N/A</v>
      </c>
      <c r="U18" t="str">
        <f>_xll.BDP("3466 HK Equity","PX385","PX395=FUND_FLOW","DY262=D","PY204=N","PX391=20240102","PX392=20240930","DS004=HKD")</f>
        <v>#N/A N/A</v>
      </c>
      <c r="V18">
        <f>_xll.BDP("3466 HK Equity","PX596","PX395=CUR_MKT_CAP","DY262=D","PY204=N","PX391=20240101","DS004=HKD")</f>
        <v>5954.2560000000003</v>
      </c>
      <c r="W18" t="str">
        <f>_xll.BDP("3466 HK Equity","FUND_INCEPT_DT")</f>
        <v>4/2/2025</v>
      </c>
      <c r="X18" t="str">
        <f>_xll.BDP("3466 HK Equity","PX388","PX395=TURNOVER","DY262=D","PY204=N","PX391=20240502","PX392=20240606","DS004=HKD")</f>
        <v>#N/A N/A</v>
      </c>
      <c r="Y18" t="str">
        <f>_xll.BDP("3466 HK Equity","PARENT_COMP_NAME")</f>
        <v>Hang Seng Investment Managemen</v>
      </c>
      <c r="Z18" t="str">
        <f>_xll.BDP("3466 HK Equity","NAV_CRNCY")</f>
        <v>HKD</v>
      </c>
      <c r="AA18" t="str">
        <f>_xll.BDP("3466 HK Equity","FUND_GEO_FOCUS")</f>
        <v>Hong Kong</v>
      </c>
      <c r="AB18" t="str">
        <f>_xll.BDP("3466 HK Equity","FUND_ASSET_CLASS_FOCUS")</f>
        <v>Equity</v>
      </c>
      <c r="AC18">
        <f>_xll.BDP("3466 HK Equity","PX_LAST")</f>
        <v>18.54</v>
      </c>
      <c r="AD18">
        <f>_xll.BDP("3466 HK Equity","PX388","PX395=TIME_WAVG_BID_ASK_SPREAD_PCT","DY262=D","PY204=N","PX391=20260601","PX392=20260626")</f>
        <v>9.6199837885557637E-2</v>
      </c>
      <c r="AE18">
        <f>_xll.BDP("3466 HK Equity","PX388","PX395=AVERAGE_BID_ASK_SPREAD_%","DY262=D","PY204=N","PX391=20260601","PX392=20260626")</f>
        <v>0.10697566856276075</v>
      </c>
    </row>
    <row r="19" spans="1:31" x14ac:dyDescent="0.25">
      <c r="A19" t="s">
        <v>44</v>
      </c>
      <c r="B19" t="str">
        <f>_xll.BDP("3419 HK Equity","LONG_COMP_NAME")</f>
        <v>Global X HSI Covered Call Active ETF</v>
      </c>
      <c r="C19">
        <f>_xll.BDP("3419 HK Equity","PX385","PX395=FUND_FLOW","DY262=D","PY204=N","PX391=20260622","PX392=20260626","DS004=USD")</f>
        <v>11.979978538929059</v>
      </c>
      <c r="D19">
        <f>_xll.BDP("3419 HK Equity","PX388","PX395=TURNOVER","DY262=D","PY204=N","PX391=20260601","PX392=20260626","DS004=HKD")</f>
        <v>33826023.684210524</v>
      </c>
      <c r="E19">
        <f>_xll.BDP("3419 HK Equity","PX388","PX395=TURNOVER","DY262=D","PY204=N","PX391=20250101","PX392=20251231","DS004=HKD")</f>
        <v>4274004.1321138199</v>
      </c>
      <c r="F19">
        <f>_xll.BDP("3419 HK Equity","PX596","PX395=FUND_TOTAL_ASSETS","DY262=D","PY204=N","PX391=20260626","PX392=20260626","DS004=USD")</f>
        <v>237.86222766095813</v>
      </c>
      <c r="G19">
        <f>_xll.BDP("3419 HK Equity","PX388","PX395=CUR_MKT_CAP","DY262=D","PY204=N","PX391=20260626","PX392=20260626","DS004=HKD")</f>
        <v>1864.8</v>
      </c>
      <c r="H19" t="str">
        <f>_xll.BDP("3419 HK Equity","FUND_LEVERAGE_TYPE")</f>
        <v>#N/A N/A</v>
      </c>
      <c r="I19">
        <f>_xll.BDP("3419 HK Equity","PX388","PX395=TURNOVER","DY262=D","PY204=N","PX391=20260101","PX392=20260131","DS004=HKD")</f>
        <v>14500173.761904761</v>
      </c>
      <c r="J19">
        <v>-1</v>
      </c>
      <c r="K19" t="str">
        <f>_xll.BDP("3419 HK Equity","FUND_INCEPT_DT")</f>
        <v>2/29/2024</v>
      </c>
      <c r="L19" t="str">
        <f>_xll.BDP("3419 HK Equity","PX388","PX395=TURNOVER_EXCH_RATIO","DY262=D","PY204=N","PX391=20251201","PX392=20251210")</f>
        <v>#N/A N/A</v>
      </c>
      <c r="M19">
        <f>_xll.BDP("3419 HK Equity","EQY_SH_OUT")</f>
        <v>202</v>
      </c>
      <c r="N19">
        <f>_xll.BDP("3419 HK Equity","EQY_TRR_PCT_YTD")</f>
        <v>-6.6851349999999998</v>
      </c>
      <c r="O19">
        <f>_xll.BDP("3419 HK Equity","CHG_PCT_YTD")</f>
        <v>-13.30869</v>
      </c>
      <c r="P19">
        <f>_xll.BDP("3419 HK Equity","CHG_PCT_1M")</f>
        <v>-6.5737050000000004</v>
      </c>
      <c r="Q19" t="str">
        <f>_xll.BDP("3419 HK Equity","LISTING_DATE")</f>
        <v>2/29/2024</v>
      </c>
      <c r="R19" t="str">
        <f>_xll.BDP("3419 HK Equity","FUND_INCEPT_DT")</f>
        <v>2/29/2024</v>
      </c>
      <c r="S19">
        <f>_xll.BDP("3419 HK Equity","AVG_DAILY_VALUE_TRADED_3M")</f>
        <v>32885680</v>
      </c>
      <c r="T19" t="str">
        <f>_xll.BDP("3419 HK Equity","PX596","PX395=HISTORICAL_MARKET_CAP","DY262=D","PY204=N","PX391=20231231","PX392=20231231","DS004=HKD")</f>
        <v>#N/A N/A</v>
      </c>
      <c r="U19">
        <f>_xll.BDP("3419 HK Equity","PX385","PX395=FUND_FLOW","DY262=D","PY204=N","PX391=20240102","PX392=20240930","DS004=HKD")</f>
        <v>20.147680000000001</v>
      </c>
      <c r="V19">
        <f>_xll.BDP("3419 HK Equity","PX596","PX395=CUR_MKT_CAP","DY262=D","PY204=N","PX391=20240101","DS004=HKD")</f>
        <v>566.96799999999996</v>
      </c>
      <c r="W19" t="str">
        <f>_xll.BDP("3419 HK Equity","FUND_INCEPT_DT")</f>
        <v>2/29/2024</v>
      </c>
      <c r="X19">
        <f>_xll.BDP("3419 HK Equity","PX388","PX395=TURNOVER","DY262=D","PY204=N","PX391=20240502","PX392=20240606","DS004=HKD")</f>
        <v>134796.66666666666</v>
      </c>
      <c r="Y19" t="str">
        <f>_xll.BDP("3419 HK Equity","PARENT_COMP_NAME")</f>
        <v>Mirae Asset Global Investments</v>
      </c>
      <c r="Z19" t="str">
        <f>_xll.BDP("3419 HK Equity","NAV_CRNCY")</f>
        <v>HKD</v>
      </c>
      <c r="AA19" t="str">
        <f>_xll.BDP("3419 HK Equity","FUND_GEO_FOCUS")</f>
        <v>Hong Kong</v>
      </c>
      <c r="AB19" t="str">
        <f>_xll.BDP("3419 HK Equity","FUND_ASSET_CLASS_FOCUS")</f>
        <v>Equity</v>
      </c>
      <c r="AC19">
        <f>_xll.BDP("3419 HK Equity","PX_LAST")</f>
        <v>9.3800000000000008</v>
      </c>
      <c r="AD19">
        <f>_xll.BDP("3419 HK Equity","PX388","PX395=TIME_WAVG_BID_ASK_SPREAD_PCT","DY262=D","PY204=N","PX391=20260601","PX392=20260626")</f>
        <v>0.10217348978721763</v>
      </c>
      <c r="AE19">
        <f>_xll.BDP("3419 HK Equity","PX388","PX395=AVERAGE_BID_ASK_SPREAD_%","DY262=D","PY204=N","PX391=20260601","PX392=20260626")</f>
        <v>0.12018702800516089</v>
      </c>
    </row>
    <row r="20" spans="1:31" x14ac:dyDescent="0.25">
      <c r="A20" t="s">
        <v>45</v>
      </c>
      <c r="B20" t="str">
        <f>_xll.BDP("3067 HK Equity","LONG_COMP_NAME")</f>
        <v>iShares Hang Seng TECH ETF</v>
      </c>
      <c r="C20">
        <f>_xll.BDP("3067 HK Equity","PX385","PX395=FUND_FLOW","DY262=D","PY204=N","PX391=20260622","PX392=20260626","DS004=USD")</f>
        <v>10.687800868601014</v>
      </c>
      <c r="D20">
        <f>_xll.BDP("3067 HK Equity","PX388","PX395=TURNOVER","DY262=D","PY204=N","PX391=20260601","PX392=20260626","DS004=HKD")</f>
        <v>436786242.10526311</v>
      </c>
      <c r="E20">
        <f>_xll.BDP("3067 HK Equity","PX388","PX395=TURNOVER","DY262=D","PY204=N","PX391=20250101","PX392=20251231","DS004=HKD")</f>
        <v>337389198.41463405</v>
      </c>
      <c r="F20">
        <f>_xll.BDP("3067 HK Equity","PX596","PX395=FUND_TOTAL_ASSETS","DY262=D","PY204=N","PX391=20260626","PX392=20260626","DS004=USD")</f>
        <v>1684.3703251845805</v>
      </c>
      <c r="G20">
        <f>_xll.BDP("3067 HK Equity","PX388","PX395=CUR_MKT_CAP","DY262=D","PY204=N","PX391=20260626","PX392=20260626","DS004=HKD")</f>
        <v>13240.36875</v>
      </c>
      <c r="H20" t="str">
        <f>_xll.BDP("3067 HK Equity","FUND_LEVERAGE_TYPE")</f>
        <v>#N/A N/A</v>
      </c>
      <c r="I20">
        <f>_xll.BDP("3067 HK Equity","PX388","PX395=TURNOVER","DY262=D","PY204=N","PX391=20260101","PX392=20260131","DS004=HKD")</f>
        <v>415390195.23809522</v>
      </c>
      <c r="J20">
        <v>-1</v>
      </c>
      <c r="K20" t="str">
        <f>_xll.BDP("3067 HK Equity","FUND_INCEPT_DT")</f>
        <v>9/17/2020</v>
      </c>
      <c r="L20" t="str">
        <f>_xll.BDP("3067 HK Equity","PX388","PX395=TURNOVER_EXCH_RATIO","DY262=D","PY204=N","PX391=20251201","PX392=20251210")</f>
        <v>#N/A N/A</v>
      </c>
      <c r="M20">
        <f>_xll.BDP("3067 HK Equity","EQY_SH_OUT")</f>
        <v>1473.3</v>
      </c>
      <c r="N20">
        <f>_xll.BDP("3067 HK Equity","EQY_TRR_PCT_YTD")</f>
        <v>-19.75985</v>
      </c>
      <c r="O20">
        <f>_xll.BDP("3067 HK Equity","CHG_PCT_YTD")</f>
        <v>-19.800689999999999</v>
      </c>
      <c r="P20">
        <f>_xll.BDP("3067 HK Equity","CHG_PCT_1M")</f>
        <v>-9.7073169999999998</v>
      </c>
      <c r="Q20" t="str">
        <f>_xll.BDP("3067 HK Equity","LISTING_DATE")</f>
        <v>9/17/2020</v>
      </c>
      <c r="R20" t="str">
        <f>_xll.BDP("3067 HK Equity","FUND_INCEPT_DT")</f>
        <v>9/17/2020</v>
      </c>
      <c r="S20">
        <f>_xll.BDP("3067 HK Equity","AVG_DAILY_VALUE_TRADED_3M")</f>
        <v>353767300</v>
      </c>
      <c r="T20" t="str">
        <f>_xll.BDP("3067 HK Equity","PX596","PX395=HISTORICAL_MARKET_CAP","DY262=D","PY204=N","PX391=20231231","PX392=20231231","DS004=HKD")</f>
        <v>#N/A N/A</v>
      </c>
      <c r="U20">
        <f>_xll.BDP("3067 HK Equity","PX385","PX395=FUND_FLOW","DY262=D","PY204=N","PX391=20240102","PX392=20240930","DS004=HKD")</f>
        <v>-519.47058000000027</v>
      </c>
      <c r="V20">
        <f>_xll.BDP("3067 HK Equity","PX596","PX395=CUR_MKT_CAP","DY262=D","PY204=N","PX391=20240101","DS004=HKD")</f>
        <v>18634.215</v>
      </c>
      <c r="W20" t="str">
        <f>_xll.BDP("3067 HK Equity","FUND_INCEPT_DT")</f>
        <v>9/17/2020</v>
      </c>
      <c r="X20">
        <f>_xll.BDP("3067 HK Equity","PX388","PX395=TURNOVER","DY262=D","PY204=N","PX391=20240502","PX392=20240606","DS004=HKD")</f>
        <v>135389982.00000003</v>
      </c>
      <c r="Y20" t="str">
        <f>_xll.BDP("3067 HK Equity","PARENT_COMP_NAME")</f>
        <v>iShares ETFs/Hong Kong</v>
      </c>
      <c r="Z20" t="str">
        <f>_xll.BDP("3067 HK Equity","NAV_CRNCY")</f>
        <v>HKD</v>
      </c>
      <c r="AA20" t="str">
        <f>_xll.BDP("3067 HK Equity","FUND_GEO_FOCUS")</f>
        <v>Hong Kong</v>
      </c>
      <c r="AB20" t="str">
        <f>_xll.BDP("3067 HK Equity","FUND_ASSET_CLASS_FOCUS")</f>
        <v>Equity</v>
      </c>
      <c r="AC20">
        <f>_xll.BDP("3067 HK Equity","PX_LAST")</f>
        <v>9.2550000000000008</v>
      </c>
      <c r="AD20">
        <f>_xll.BDP("3067 HK Equity","PX388","PX395=TIME_WAVG_BID_ASK_SPREAD_PCT","DY262=D","PY204=N","PX391=20260601","PX392=20260626")</f>
        <v>6.4662662478549807E-2</v>
      </c>
      <c r="AE20">
        <f>_xll.BDP("3067 HK Equity","PX388","PX395=AVERAGE_BID_ASK_SPREAD_%","DY262=D","PY204=N","PX391=20260601","PX392=20260626")</f>
        <v>7.4039153954558526E-2</v>
      </c>
    </row>
    <row r="21" spans="1:31" x14ac:dyDescent="0.25">
      <c r="A21" t="s">
        <v>46</v>
      </c>
      <c r="B21" t="str">
        <f>_xll.BDP("3151 HK Equity","LONG_COMP_NAME")</f>
        <v>Premia China STAR 50 ETF</v>
      </c>
      <c r="C21">
        <f>_xll.BDP("3151 HK Equity","PX385","PX395=FUND_FLOW","DY262=D","PY204=N","PX391=20260622","PX392=20260626","DS004=USD")</f>
        <v>10.136427059153615</v>
      </c>
      <c r="D21">
        <f>_xll.BDP("3151 HK Equity","PX388","PX395=TURNOVER","DY262=D","PY204=N","PX391=20260601","PX392=20260626","DS004=HKD")</f>
        <v>6667107.3157894742</v>
      </c>
      <c r="E21">
        <f>_xll.BDP("3151 HK Equity","PX388","PX395=TURNOVER","DY262=D","PY204=N","PX391=20250101","PX392=20251231","DS004=HKD")</f>
        <v>3467047.9372384916</v>
      </c>
      <c r="F21">
        <f>_xll.BDP("3151 HK Equity","PX596","PX395=FUND_TOTAL_ASSETS","DY262=D","PY204=N","PX391=20260626","PX392=20260626","DS004=USD")</f>
        <v>129.32324808506883</v>
      </c>
      <c r="G21">
        <f>_xll.BDP("3151 HK Equity","PX388","PX395=CUR_MKT_CAP","DY262=D","PY204=N","PX391=20260626","PX392=20260626","DS004=HKD")</f>
        <v>1011.7529999999999</v>
      </c>
      <c r="H21" t="str">
        <f>_xll.BDP("3151 HK Equity","FUND_LEVERAGE_TYPE")</f>
        <v>#N/A N/A</v>
      </c>
      <c r="I21">
        <f>_xll.BDP("3151 HK Equity","PX388","PX395=TURNOVER","DY262=D","PY204=N","PX391=20260101","PX392=20260131","DS004=HKD")</f>
        <v>4404355.4285714282</v>
      </c>
      <c r="J21">
        <v>-1</v>
      </c>
      <c r="K21" t="str">
        <f>_xll.BDP("3151 HK Equity","FUND_INCEPT_DT")</f>
        <v>7/26/2021</v>
      </c>
      <c r="L21" t="str">
        <f>_xll.BDP("3151 HK Equity","PX388","PX395=TURNOVER_EXCH_RATIO","DY262=D","PY204=N","PX391=20251201","PX392=20251210")</f>
        <v>#N/A N/A</v>
      </c>
      <c r="M21">
        <f>_xll.BDP("3151 HK Equity","EQY_SH_OUT")</f>
        <v>71.099999999999994</v>
      </c>
      <c r="N21">
        <f>_xll.BDP("3151 HK Equity","EQY_TRR_PCT_YTD")</f>
        <v>55.260429999999999</v>
      </c>
      <c r="O21">
        <f>_xll.BDP("3151 HK Equity","CHG_PCT_YTD")</f>
        <v>62.173920000000003</v>
      </c>
      <c r="P21">
        <f>_xll.BDP("3151 HK Equity","CHG_PCT_1M")</f>
        <v>20.61439</v>
      </c>
      <c r="Q21" t="str">
        <f>_xll.BDP("3151 HK Equity","LISTING_DATE")</f>
        <v>7/28/2021</v>
      </c>
      <c r="R21" t="str">
        <f>_xll.BDP("3151 HK Equity","FUND_INCEPT_DT")</f>
        <v>7/26/2021</v>
      </c>
      <c r="S21">
        <f>_xll.BDP("3151 HK Equity","AVG_DAILY_VALUE_TRADED_3M")</f>
        <v>5788639</v>
      </c>
      <c r="T21" t="str">
        <f>_xll.BDP("3151 HK Equity","PX596","PX395=HISTORICAL_MARKET_CAP","DY262=D","PY204=N","PX391=20231231","PX392=20231231","DS004=HKD")</f>
        <v>#N/A N/A</v>
      </c>
      <c r="U21">
        <f>_xll.BDP("3151 HK Equity","PX385","PX395=FUND_FLOW","DY262=D","PY204=N","PX391=20240102","PX392=20240930","DS004=HKD")</f>
        <v>-143.45934</v>
      </c>
      <c r="V21">
        <f>_xll.BDP("3151 HK Equity","PX596","PX395=CUR_MKT_CAP","DY262=D","PY204=N","PX391=20240101","DS004=HKD")</f>
        <v>634.79999999999995</v>
      </c>
      <c r="W21" t="str">
        <f>_xll.BDP("3151 HK Equity","FUND_INCEPT_DT")</f>
        <v>7/26/2021</v>
      </c>
      <c r="X21">
        <f>_xll.BDP("3151 HK Equity","PX388","PX395=TURNOVER","DY262=D","PY204=N","PX391=20240502","PX392=20240606","DS004=HKD")</f>
        <v>655381.39199999999</v>
      </c>
      <c r="Y21" t="str">
        <f>_xll.BDP("3151 HK Equity","PARENT_COMP_NAME")</f>
        <v>Premia Partners Co Ltd/Hong Ko</v>
      </c>
      <c r="Z21" t="str">
        <f>_xll.BDP("3151 HK Equity","NAV_CRNCY")</f>
        <v>HKD</v>
      </c>
      <c r="AA21" t="str">
        <f>_xll.BDP("3151 HK Equity","FUND_GEO_FOCUS")</f>
        <v>China</v>
      </c>
      <c r="AB21" t="str">
        <f>_xll.BDP("3151 HK Equity","FUND_ASSET_CLASS_FOCUS")</f>
        <v>Equity</v>
      </c>
      <c r="AC21">
        <f>_xll.BDP("3151 HK Equity","PX_LAST")</f>
        <v>14.92</v>
      </c>
      <c r="AD21">
        <f>_xll.BDP("3151 HK Equity","PX388","PX395=TIME_WAVG_BID_ASK_SPREAD_PCT","DY262=D","PY204=N","PX391=20260601","PX392=20260626")</f>
        <v>0.3002781122241811</v>
      </c>
      <c r="AE21">
        <f>_xll.BDP("3151 HK Equity","PX388","PX395=AVERAGE_BID_ASK_SPREAD_%","DY262=D","PY204=N","PX391=20260601","PX392=20260626")</f>
        <v>0.35178327509213436</v>
      </c>
    </row>
    <row r="22" spans="1:31" x14ac:dyDescent="0.25">
      <c r="A22" t="s">
        <v>47</v>
      </c>
      <c r="B22" t="str">
        <f>_xll.BDP("7347 HK Equity","LONG_COMP_NAME")</f>
        <v>CSOP Samsung Electronics Daily -2x Inverse Product</v>
      </c>
      <c r="C22">
        <f>_xll.BDP("7347 HK Equity","PX385","PX395=FUND_FLOW","DY262=D","PY204=N","PX391=20260622","PX392=20260626","DS004=USD")</f>
        <v>8.6236499999999996</v>
      </c>
      <c r="D22">
        <f>_xll.BDP("7347 HK Equity","PX388","PX395=TURNOVER","DY262=D","PY204=N","PX391=20260601","PX392=20260626","DS004=HKD")</f>
        <v>42886116.263157897</v>
      </c>
      <c r="E22">
        <f>_xll.BDP("7347 HK Equity","PX388","PX395=TURNOVER","DY262=D","PY204=N","PX391=20250101","PX392=20251231","DS004=HKD")</f>
        <v>196396.77272727274</v>
      </c>
      <c r="F22">
        <f>_xll.BDP("7347 HK Equity","PX596","PX395=FUND_TOTAL_ASSETS","DY262=D","PY204=N","PX391=20260626","PX392=20260626","DS004=USD")</f>
        <v>21.895721989999998</v>
      </c>
      <c r="G22">
        <f>_xll.BDP("7347 HK Equity","PX388","PX395=CUR_MKT_CAP","DY262=D","PY204=N","PX391=20260626","PX392=20260626","DS004=HKD")</f>
        <v>172.5</v>
      </c>
      <c r="H22" t="str">
        <f>_xll.BDP("7347 HK Equity","FUND_LEVERAGE_TYPE")</f>
        <v>Short</v>
      </c>
      <c r="I22">
        <f>_xll.BDP("7347 HK Equity","PX388","PX395=TURNOVER","DY262=D","PY204=N","PX391=20260101","PX392=20260131","DS004=HKD")</f>
        <v>1738274.3809523811</v>
      </c>
      <c r="J22">
        <v>-1</v>
      </c>
      <c r="K22" t="str">
        <f>_xll.BDP("7347 HK Equity","FUND_INCEPT_DT")</f>
        <v>5/28/2025</v>
      </c>
      <c r="L22" t="str">
        <f>_xll.BDP("7347 HK Equity","PX388","PX395=TURNOVER_EXCH_RATIO","DY262=D","PY204=N","PX391=20251201","PX392=20251210")</f>
        <v>#N/A N/A</v>
      </c>
      <c r="M22">
        <f>_xll.BDP("7347 HK Equity","EQY_SH_OUT")</f>
        <v>3750</v>
      </c>
      <c r="N22">
        <f>_xll.BDP("7347 HK Equity","EQY_TRR_PCT_YTD")</f>
        <v>-96.08108</v>
      </c>
      <c r="O22">
        <f>_xll.BDP("7347 HK Equity","CHG_PCT_YTD")</f>
        <v>-95.614040000000003</v>
      </c>
      <c r="P22">
        <f>_xll.BDP("7347 HK Equity","CHG_PCT_1M")</f>
        <v>-27.53623</v>
      </c>
      <c r="Q22" t="str">
        <f>_xll.BDP("7347 HK Equity","LISTING_DATE")</f>
        <v>5/28/2025</v>
      </c>
      <c r="R22" t="str">
        <f>_xll.BDP("7347 HK Equity","FUND_INCEPT_DT")</f>
        <v>5/28/2025</v>
      </c>
      <c r="S22">
        <f>_xll.BDP("7347 HK Equity","AVG_DAILY_VALUE_TRADED_3M")</f>
        <v>28761190</v>
      </c>
      <c r="T22" t="str">
        <f>_xll.BDP("7347 HK Equity","PX596","PX395=HISTORICAL_MARKET_CAP","DY262=D","PY204=N","PX391=20231231","PX392=20231231","DS004=HKD")</f>
        <v>#N/A N/A</v>
      </c>
      <c r="U22" t="str">
        <f>_xll.BDP("7347 HK Equity","PX385","PX395=FUND_FLOW","DY262=D","PY204=N","PX391=20240102","PX392=20240930","DS004=HKD")</f>
        <v>#N/A N/A</v>
      </c>
      <c r="V22">
        <f>_xll.BDP("7347 HK Equity","PX596","PX395=CUR_MKT_CAP","DY262=D","PY204=N","PX391=20240101","DS004=HKD")</f>
        <v>5.6999999999999993</v>
      </c>
      <c r="W22" t="str">
        <f>_xll.BDP("7347 HK Equity","FUND_INCEPT_DT")</f>
        <v>5/28/2025</v>
      </c>
      <c r="X22" t="str">
        <f>_xll.BDP("7347 HK Equity","PX388","PX395=TURNOVER","DY262=D","PY204=N","PX391=20240502","PX392=20240606","DS004=HKD")</f>
        <v>#N/A N/A</v>
      </c>
      <c r="Y22" t="str">
        <f>_xll.BDP("7347 HK Equity","PARENT_COMP_NAME")</f>
        <v>CSOP Asset Management Ltd/Hong</v>
      </c>
      <c r="Z22" t="str">
        <f>_xll.BDP("7347 HK Equity","NAV_CRNCY")</f>
        <v>USD</v>
      </c>
      <c r="AA22" t="str">
        <f>_xll.BDP("7347 HK Equity","FUND_GEO_FOCUS")</f>
        <v>South Korea</v>
      </c>
      <c r="AB22" t="str">
        <f>_xll.BDP("7347 HK Equity","FUND_ASSET_CLASS_FOCUS")</f>
        <v>Specialty</v>
      </c>
      <c r="AC22">
        <f>_xll.BDP("7347 HK Equity","PX_LAST")</f>
        <v>0.05</v>
      </c>
      <c r="AD22">
        <f>_xll.BDP("7347 HK Equity","PX388","PX395=TIME_WAVG_BID_ASK_SPREAD_PCT","DY262=D","PY204=N","PX391=20260601","PX392=20260626")</f>
        <v>1.8357055897644865</v>
      </c>
      <c r="AE22">
        <f>_xll.BDP("7347 HK Equity","PX388","PX395=AVERAGE_BID_ASK_SPREAD_%","DY262=D","PY204=N","PX391=20260601","PX392=20260626")</f>
        <v>1.9358562019951882</v>
      </c>
    </row>
    <row r="23" spans="1:31" x14ac:dyDescent="0.25">
      <c r="A23" t="s">
        <v>48</v>
      </c>
      <c r="B23" t="str">
        <f>_xll.BDP("3086 HK Equity","LONG_COMP_NAME")</f>
        <v>ChinaAMC NASDAQ 100 ETF/HK</v>
      </c>
      <c r="C23">
        <f>_xll.BDP("3086 HK Equity","PX385","PX395=FUND_FLOW","DY262=D","PY204=N","PX391=20260622","PX392=20260626","DS004=USD")</f>
        <v>6.0731178391407603</v>
      </c>
      <c r="D23">
        <f>_xll.BDP("3086 HK Equity","PX388","PX395=TURNOVER","DY262=D","PY204=N","PX391=20260601","PX392=20260626","DS004=HKD")</f>
        <v>9782956.8947368413</v>
      </c>
      <c r="E23">
        <f>_xll.BDP("3086 HK Equity","PX388","PX395=TURNOVER","DY262=D","PY204=N","PX391=20250101","PX392=20251231","DS004=HKD")</f>
        <v>3897590.3004065049</v>
      </c>
      <c r="F23">
        <f>_xll.BDP("3086 HK Equity","PX596","PX395=FUND_TOTAL_ASSETS","DY262=D","PY204=N","PX391=20260626","PX392=20260626","DS004=USD")</f>
        <v>174.08995192614222</v>
      </c>
      <c r="G23">
        <f>_xll.BDP("3086 HK Equity","PX388","PX395=CUR_MKT_CAP","DY262=D","PY204=N","PX391=20260626","PX392=20260626","DS004=HKD")</f>
        <v>1343.7</v>
      </c>
      <c r="H23" t="str">
        <f>_xll.BDP("3086 HK Equity","FUND_LEVERAGE_TYPE")</f>
        <v>#N/A N/A</v>
      </c>
      <c r="I23">
        <f>_xll.BDP("3086 HK Equity","PX388","PX395=TURNOVER","DY262=D","PY204=N","PX391=20260101","PX392=20260131","DS004=HKD")</f>
        <v>4849229.0333333332</v>
      </c>
      <c r="J23">
        <v>-1</v>
      </c>
      <c r="K23" t="str">
        <f>_xll.BDP("3086 HK Equity","FUND_INCEPT_DT")</f>
        <v>2/18/2016</v>
      </c>
      <c r="L23" t="str">
        <f>_xll.BDP("3086 HK Equity","PX388","PX395=TURNOVER_EXCH_RATIO","DY262=D","PY204=N","PX391=20251201","PX392=20251210")</f>
        <v>#N/A N/A</v>
      </c>
      <c r="M23">
        <f>_xll.BDP("3086 HK Equity","EQY_SH_OUT")</f>
        <v>23</v>
      </c>
      <c r="N23">
        <f>_xll.BDP("3086 HK Equity","EQY_TRR_PCT_YTD")</f>
        <v>17.462129999999998</v>
      </c>
      <c r="O23">
        <f>_xll.BDP("3086 HK Equity","CHG_PCT_YTD")</f>
        <v>16.46602</v>
      </c>
      <c r="P23">
        <f>_xll.BDP("3086 HK Equity","CHG_PCT_1M")</f>
        <v>-2.6298680000000001</v>
      </c>
      <c r="Q23" t="str">
        <f>_xll.BDP("3086 HK Equity","LISTING_DATE")</f>
        <v>2/18/2016</v>
      </c>
      <c r="R23" t="str">
        <f>_xll.BDP("3086 HK Equity","FUND_INCEPT_DT")</f>
        <v>2/18/2016</v>
      </c>
      <c r="S23">
        <f>_xll.BDP("3086 HK Equity","AVG_DAILY_VALUE_TRADED_3M")</f>
        <v>5949283</v>
      </c>
      <c r="T23" t="str">
        <f>_xll.BDP("3086 HK Equity","PX596","PX395=HISTORICAL_MARKET_CAP","DY262=D","PY204=N","PX391=20231231","PX392=20231231","DS004=HKD")</f>
        <v>#N/A N/A</v>
      </c>
      <c r="U23">
        <f>_xll.BDP("3086 HK Equity","PX385","PX395=FUND_FLOW","DY262=D","PY204=N","PX391=20240102","PX392=20240930","DS004=HKD")</f>
        <v>20.028729999999999</v>
      </c>
      <c r="V23">
        <f>_xll.BDP("3086 HK Equity","PX596","PX395=CUR_MKT_CAP","DY262=D","PY204=N","PX391=20240101","DS004=HKD")</f>
        <v>988.8</v>
      </c>
      <c r="W23" t="str">
        <f>_xll.BDP("3086 HK Equity","FUND_INCEPT_DT")</f>
        <v>2/18/2016</v>
      </c>
      <c r="X23">
        <f>_xll.BDP("3086 HK Equity","PX388","PX395=TURNOVER","DY262=D","PY204=N","PX391=20240502","PX392=20240606","DS004=HKD")</f>
        <v>2151535.3119999999</v>
      </c>
      <c r="Y23" t="str">
        <f>_xll.BDP("3086 HK Equity","PARENT_COMP_NAME")</f>
        <v>China Asset Management Hong Ko</v>
      </c>
      <c r="Z23" t="str">
        <f>_xll.BDP("3086 HK Equity","NAV_CRNCY")</f>
        <v>HKD</v>
      </c>
      <c r="AA23" t="str">
        <f>_xll.BDP("3086 HK Equity","FUND_GEO_FOCUS")</f>
        <v>U.S.</v>
      </c>
      <c r="AB23" t="str">
        <f>_xll.BDP("3086 HK Equity","FUND_ASSET_CLASS_FOCUS")</f>
        <v>Equity</v>
      </c>
      <c r="AC23">
        <f>_xll.BDP("3086 HK Equity","PX_LAST")</f>
        <v>59.98</v>
      </c>
      <c r="AD23">
        <f>_xll.BDP("3086 HK Equity","PX388","PX395=TIME_WAVG_BID_ASK_SPREAD_PCT","DY262=D","PY204=N","PX391=20260601","PX392=20260626")</f>
        <v>9.7706855208629456E-2</v>
      </c>
      <c r="AE23">
        <f>_xll.BDP("3086 HK Equity","PX388","PX395=AVERAGE_BID_ASK_SPREAD_%","DY262=D","PY204=N","PX391=20260601","PX392=20260626")</f>
        <v>0.11774971632851489</v>
      </c>
    </row>
    <row r="24" spans="1:31" x14ac:dyDescent="0.25">
      <c r="A24" t="s">
        <v>49</v>
      </c>
      <c r="B24" t="str">
        <f>_xll.BDP("3145 HK Equity","LONG_COMP_NAME")</f>
        <v>ChinaAMC Asia High Dividend ETF</v>
      </c>
      <c r="C24">
        <f>_xll.BDP("3145 HK Equity","PX385","PX395=FUND_FLOW","DY262=D","PY204=N","PX391=20260622","PX392=20260626","DS004=USD")</f>
        <v>5.0309419860060576</v>
      </c>
      <c r="D24">
        <f>_xll.BDP("3145 HK Equity","PX388","PX395=TURNOVER","DY262=D","PY204=N","PX391=20260601","PX392=20260626","DS004=HKD")</f>
        <v>18926234.789473686</v>
      </c>
      <c r="E24">
        <f>_xll.BDP("3145 HK Equity","PX388","PX395=TURNOVER","DY262=D","PY204=N","PX391=20250101","PX392=20251231","DS004=HKD")</f>
        <v>1548567.4756756756</v>
      </c>
      <c r="F24">
        <f>_xll.BDP("3145 HK Equity","PX596","PX395=FUND_TOTAL_ASSETS","DY262=D","PY204=N","PX391=20260626","PX392=20260626","DS004=USD")</f>
        <v>126.77838924522766</v>
      </c>
      <c r="G24">
        <f>_xll.BDP("3145 HK Equity","PX388","PX395=CUR_MKT_CAP","DY262=D","PY204=N","PX391=20260626","PX392=20260626","DS004=HKD")</f>
        <v>979.99700000000018</v>
      </c>
      <c r="H24" t="str">
        <f>_xll.BDP("3145 HK Equity","FUND_LEVERAGE_TYPE")</f>
        <v>#N/A N/A</v>
      </c>
      <c r="I24">
        <f>_xll.BDP("3145 HK Equity","PX388","PX395=TURNOVER","DY262=D","PY204=N","PX391=20260101","PX392=20260131","DS004=HKD")</f>
        <v>5503660.4285714282</v>
      </c>
      <c r="J24">
        <v>-1</v>
      </c>
      <c r="K24" t="str">
        <f>_xll.BDP("3145 HK Equity","FUND_INCEPT_DT")</f>
        <v>11/13/2014</v>
      </c>
      <c r="L24" t="str">
        <f>_xll.BDP("3145 HK Equity","PX388","PX395=TURNOVER_EXCH_RATIO","DY262=D","PY204=N","PX391=20251201","PX392=20251210")</f>
        <v>#N/A N/A</v>
      </c>
      <c r="M24">
        <f>_xll.BDP("3145 HK Equity","EQY_SH_OUT")</f>
        <v>73.399999999999991</v>
      </c>
      <c r="N24">
        <f>_xll.BDP("3145 HK Equity","EQY_TRR_PCT_YTD")</f>
        <v>4.7536940000000003</v>
      </c>
      <c r="O24">
        <f>_xll.BDP("3145 HK Equity","CHG_PCT_YTD")</f>
        <v>1.6176440000000001</v>
      </c>
      <c r="P24">
        <f>_xll.BDP("3145 HK Equity","CHG_PCT_1M")</f>
        <v>-7.9280489999999997</v>
      </c>
      <c r="Q24" t="str">
        <f>_xll.BDP("3145 HK Equity","LISTING_DATE")</f>
        <v>11/13/2014</v>
      </c>
      <c r="R24" t="str">
        <f>_xll.BDP("3145 HK Equity","FUND_INCEPT_DT")</f>
        <v>11/13/2014</v>
      </c>
      <c r="S24">
        <f>_xll.BDP("3145 HK Equity","AVG_DAILY_VALUE_TRADED_3M")</f>
        <v>15295760</v>
      </c>
      <c r="T24" t="str">
        <f>_xll.BDP("3145 HK Equity","PX596","PX395=HISTORICAL_MARKET_CAP","DY262=D","PY204=N","PX391=20231231","PX392=20231231","DS004=HKD")</f>
        <v>#N/A N/A</v>
      </c>
      <c r="U24">
        <f>_xll.BDP("3145 HK Equity","PX385","PX395=FUND_FLOW","DY262=D","PY204=N","PX391=20240102","PX392=20240930","DS004=HKD")</f>
        <v>-4.1157899999999978</v>
      </c>
      <c r="V24">
        <f>_xll.BDP("3145 HK Equity","PX596","PX395=CUR_MKT_CAP","DY262=D","PY204=N","PX391=20240101","DS004=HKD")</f>
        <v>214.88</v>
      </c>
      <c r="W24" t="str">
        <f>_xll.BDP("3145 HK Equity","FUND_INCEPT_DT")</f>
        <v>11/13/2014</v>
      </c>
      <c r="X24">
        <f>_xll.BDP("3145 HK Equity","PX388","PX395=TURNOVER","DY262=D","PY204=N","PX391=20240502","PX392=20240606","DS004=HKD")</f>
        <v>246775.64705882352</v>
      </c>
      <c r="Y24" t="str">
        <f>_xll.BDP("3145 HK Equity","PARENT_COMP_NAME")</f>
        <v>China Asset Management Hong Ko</v>
      </c>
      <c r="Z24" t="str">
        <f>_xll.BDP("3145 HK Equity","NAV_CRNCY")</f>
        <v>HKD</v>
      </c>
      <c r="AA24" t="str">
        <f>_xll.BDP("3145 HK Equity","FUND_GEO_FOCUS")</f>
        <v>Asian Pacific Region ex Japan</v>
      </c>
      <c r="AB24" t="str">
        <f>_xll.BDP("3145 HK Equity","FUND_ASSET_CLASS_FOCUS")</f>
        <v>Equity</v>
      </c>
      <c r="AC24">
        <f>_xll.BDP("3145 HK Equity","PX_LAST")</f>
        <v>13.82</v>
      </c>
      <c r="AD24">
        <f>_xll.BDP("3145 HK Equity","PX388","PX395=TIME_WAVG_BID_ASK_SPREAD_PCT","DY262=D","PY204=N","PX391=20260601","PX392=20260626")</f>
        <v>0.14721384086627234</v>
      </c>
      <c r="AE24">
        <f>_xll.BDP("3145 HK Equity","PX388","PX395=AVERAGE_BID_ASK_SPREAD_%","DY262=D","PY204=N","PX391=20260601","PX392=20260626")</f>
        <v>0.20216142658324635</v>
      </c>
    </row>
    <row r="25" spans="1:31" x14ac:dyDescent="0.25">
      <c r="A25" t="s">
        <v>50</v>
      </c>
      <c r="B25" t="str">
        <f>_xll.BDP("3069 HK Equity","LONG_COMP_NAME")</f>
        <v>ChinaAMC Hang Seng Biotech ETF</v>
      </c>
      <c r="C25">
        <f>_xll.BDP("3069 HK Equity","PX385","PX395=FUND_FLOW","DY262=D","PY204=N","PX391=20260622","PX392=20260626","DS004=USD")</f>
        <v>4.719740836160498</v>
      </c>
      <c r="D25">
        <f>_xll.BDP("3069 HK Equity","PX388","PX395=TURNOVER","DY262=D","PY204=N","PX391=20260601","PX392=20260626","DS004=HKD")</f>
        <v>80523830.526315793</v>
      </c>
      <c r="E25">
        <f>_xll.BDP("3069 HK Equity","PX388","PX395=TURNOVER","DY262=D","PY204=N","PX391=20250101","PX392=20251231","DS004=HKD")</f>
        <v>31350760.735772353</v>
      </c>
      <c r="F25">
        <f>_xll.BDP("3069 HK Equity","PX596","PX395=FUND_TOTAL_ASSETS","DY262=D","PY204=N","PX391=20260626","PX392=20260626","DS004=USD")</f>
        <v>240.16271151859831</v>
      </c>
      <c r="G25">
        <f>_xll.BDP("3069 HK Equity","PX388","PX395=CUR_MKT_CAP","DY262=D","PY204=N","PX391=20260626","PX392=20260626","DS004=HKD")</f>
        <v>1874.18</v>
      </c>
      <c r="H25" t="str">
        <f>_xll.BDP("3069 HK Equity","FUND_LEVERAGE_TYPE")</f>
        <v>#N/A N/A</v>
      </c>
      <c r="I25">
        <f>_xll.BDP("3069 HK Equity","PX388","PX395=TURNOVER","DY262=D","PY204=N","PX391=20260101","PX392=20260131","DS004=HKD")</f>
        <v>103172834.2857143</v>
      </c>
      <c r="J25">
        <v>-1</v>
      </c>
      <c r="K25" t="str">
        <f>_xll.BDP("3069 HK Equity","FUND_INCEPT_DT")</f>
        <v>3/18/2021</v>
      </c>
      <c r="L25" t="str">
        <f>_xll.BDP("3069 HK Equity","PX388","PX395=TURNOVER_EXCH_RATIO","DY262=D","PY204=N","PX391=20251201","PX392=20251210")</f>
        <v>#N/A N/A</v>
      </c>
      <c r="M25">
        <f>_xll.BDP("3069 HK Equity","EQY_SH_OUT")</f>
        <v>154</v>
      </c>
      <c r="N25">
        <f>_xll.BDP("3069 HK Equity","EQY_TRR_PCT_YTD")</f>
        <v>-14.674709999999999</v>
      </c>
      <c r="O25">
        <f>_xll.BDP("3069 HK Equity","CHG_PCT_YTD")</f>
        <v>-8.8501770000000004</v>
      </c>
      <c r="P25">
        <f>_xll.BDP("3069 HK Equity","CHG_PCT_1M")</f>
        <v>-4.1055739999999998</v>
      </c>
      <c r="Q25" t="str">
        <f>_xll.BDP("3069 HK Equity","LISTING_DATE")</f>
        <v>3/18/2021</v>
      </c>
      <c r="R25" t="str">
        <f>_xll.BDP("3069 HK Equity","FUND_INCEPT_DT")</f>
        <v>3/18/2021</v>
      </c>
      <c r="S25">
        <f>_xll.BDP("3069 HK Equity","AVG_DAILY_VALUE_TRADED_3M")</f>
        <v>76630500</v>
      </c>
      <c r="T25" t="str">
        <f>_xll.BDP("3069 HK Equity","PX596","PX395=HISTORICAL_MARKET_CAP","DY262=D","PY204=N","PX391=20231231","PX392=20231231","DS004=HKD")</f>
        <v>#N/A N/A</v>
      </c>
      <c r="U25">
        <f>_xll.BDP("3069 HK Equity","PX385","PX395=FUND_FLOW","DY262=D","PY204=N","PX391=20240102","PX392=20240930","DS004=HKD")</f>
        <v>192.33083999999999</v>
      </c>
      <c r="V25">
        <f>_xll.BDP("3069 HK Equity","PX596","PX395=CUR_MKT_CAP","DY262=D","PY204=N","PX391=20240101","DS004=HKD")</f>
        <v>1696.17</v>
      </c>
      <c r="W25" t="str">
        <f>_xll.BDP("3069 HK Equity","FUND_INCEPT_DT")</f>
        <v>3/18/2021</v>
      </c>
      <c r="X25">
        <f>_xll.BDP("3069 HK Equity","PX388","PX395=TURNOVER","DY262=D","PY204=N","PX391=20240502","PX392=20240606","DS004=HKD")</f>
        <v>2288578.716</v>
      </c>
      <c r="Y25" t="str">
        <f>_xll.BDP("3069 HK Equity","PARENT_COMP_NAME")</f>
        <v>China Asset Management Hong Ko</v>
      </c>
      <c r="Z25" t="str">
        <f>_xll.BDP("3069 HK Equity","NAV_CRNCY")</f>
        <v>HKD</v>
      </c>
      <c r="AA25" t="str">
        <f>_xll.BDP("3069 HK Equity","FUND_GEO_FOCUS")</f>
        <v>Hong Kong</v>
      </c>
      <c r="AB25" t="str">
        <f>_xll.BDP("3069 HK Equity","FUND_ASSET_CLASS_FOCUS")</f>
        <v>Equity</v>
      </c>
      <c r="AC25">
        <f>_xll.BDP("3069 HK Equity","PX_LAST")</f>
        <v>13.08</v>
      </c>
      <c r="AD25">
        <f>_xll.BDP("3069 HK Equity","PX388","PX395=TIME_WAVG_BID_ASK_SPREAD_PCT","DY262=D","PY204=N","PX391=20260601","PX392=20260626")</f>
        <v>0.10232943154164573</v>
      </c>
      <c r="AE25">
        <f>_xll.BDP("3069 HK Equity","PX388","PX395=AVERAGE_BID_ASK_SPREAD_%","DY262=D","PY204=N","PX391=20260601","PX392=20260626")</f>
        <v>0.12297968933650612</v>
      </c>
    </row>
    <row r="26" spans="1:31" x14ac:dyDescent="0.25">
      <c r="A26" t="s">
        <v>51</v>
      </c>
      <c r="B26" t="str">
        <f>_xll.BDP("3195 HK Equity","LONG_COMP_NAME")</f>
        <v>Hang Seng S&amp;P 500 Index ETF</v>
      </c>
      <c r="C26">
        <f>_xll.BDP("3195 HK Equity","PX385","PX395=FUND_FLOW","DY262=D","PY204=N","PX391=20260622","PX392=20260626","DS004=USD")</f>
        <v>4.4522485524067035</v>
      </c>
      <c r="D26">
        <f>_xll.BDP("3195 HK Equity","PX388","PX395=TURNOVER","DY262=D","PY204=N","PX391=20260601","PX392=20260626","DS004=HKD")</f>
        <v>7843170.2105263164</v>
      </c>
      <c r="E26">
        <f>_xll.BDP("3195 HK Equity","PX388","PX395=TURNOVER","DY262=D","PY204=N","PX391=20250101","PX392=20251231","DS004=HKD")</f>
        <v>2111103.1443089424</v>
      </c>
      <c r="F26">
        <f>_xll.BDP("3195 HK Equity","PX596","PX395=FUND_TOTAL_ASSETS","DY262=D","PY204=N","PX391=20260626","PX392=20260626","DS004=USD")</f>
        <v>164.24590249000002</v>
      </c>
      <c r="G26">
        <f>_xll.BDP("3195 HK Equity","PX388","PX395=CUR_MKT_CAP","DY262=D","PY204=N","PX391=20260626","PX392=20260626","DS004=HKD")</f>
        <v>799.36768800000004</v>
      </c>
      <c r="H26" t="str">
        <f>_xll.BDP("3195 HK Equity","FUND_LEVERAGE_TYPE")</f>
        <v>#N/A N/A</v>
      </c>
      <c r="I26">
        <f>_xll.BDP("3195 HK Equity","PX388","PX395=TURNOVER","DY262=D","PY204=N","PX391=20260101","PX392=20260131","DS004=HKD")</f>
        <v>4259500.1904761903</v>
      </c>
      <c r="J26">
        <v>-1</v>
      </c>
      <c r="K26" t="str">
        <f>_xll.BDP("3195 HK Equity","FUND_INCEPT_DT")</f>
        <v>4/23/2024</v>
      </c>
      <c r="L26" t="str">
        <f>_xll.BDP("3195 HK Equity","PX388","PX395=TURNOVER_EXCH_RATIO","DY262=D","PY204=N","PX391=20251201","PX392=20251210")</f>
        <v>#N/A N/A</v>
      </c>
      <c r="M26">
        <f>_xll.BDP("3195 HK Equity","EQY_SH_OUT")</f>
        <v>68.674199999999999</v>
      </c>
      <c r="N26">
        <f>_xll.BDP("3195 HK Equity","EQY_TRR_PCT_YTD")</f>
        <v>8.3381439999999998</v>
      </c>
      <c r="O26">
        <f>_xll.BDP("3195 HK Equity","CHG_PCT_YTD")</f>
        <v>8.2255109999999991</v>
      </c>
      <c r="P26">
        <f>_xll.BDP("3195 HK Equity","CHG_PCT_1M")</f>
        <v>-2.2537530000000001</v>
      </c>
      <c r="Q26" t="str">
        <f>_xll.BDP("3195 HK Equity","LISTING_DATE")</f>
        <v>4/23/2024</v>
      </c>
      <c r="R26" t="str">
        <f>_xll.BDP("3195 HK Equity","FUND_INCEPT_DT")</f>
        <v>4/23/2024</v>
      </c>
      <c r="S26">
        <f>_xll.BDP("3195 HK Equity","AVG_DAILY_VALUE_TRADED_3M")</f>
        <v>6059329</v>
      </c>
      <c r="T26" t="str">
        <f>_xll.BDP("3195 HK Equity","PX596","PX395=HISTORICAL_MARKET_CAP","DY262=D","PY204=N","PX391=20231231","PX392=20231231","DS004=HKD")</f>
        <v>#N/A N/A</v>
      </c>
      <c r="U26">
        <f>_xll.BDP("3195 HK Equity","PX385","PX395=FUND_FLOW","DY262=D","PY204=N","PX391=20240102","PX392=20240930","DS004=HKD")</f>
        <v>38.351599999999976</v>
      </c>
      <c r="V26">
        <f>_xll.BDP("3195 HK Equity","PX596","PX395=CUR_MKT_CAP","DY262=D","PY204=N","PX391=20240101","DS004=HKD")</f>
        <v>402.22484400000002</v>
      </c>
      <c r="W26" t="str">
        <f>_xll.BDP("3195 HK Equity","FUND_INCEPT_DT")</f>
        <v>4/23/2024</v>
      </c>
      <c r="X26">
        <f>_xll.BDP("3195 HK Equity","PX388","PX395=TURNOVER","DY262=D","PY204=N","PX391=20240502","PX392=20240606","DS004=HKD")</f>
        <v>332379.39999999997</v>
      </c>
      <c r="Y26" t="str">
        <f>_xll.BDP("3195 HK Equity","PARENT_COMP_NAME")</f>
        <v>Hang Seng Investment Managemen</v>
      </c>
      <c r="Z26" t="str">
        <f>_xll.BDP("3195 HK Equity","NAV_CRNCY")</f>
        <v>HKD</v>
      </c>
      <c r="AA26" t="str">
        <f>_xll.BDP("3195 HK Equity","FUND_GEO_FOCUS")</f>
        <v>U.S.</v>
      </c>
      <c r="AB26" t="str">
        <f>_xll.BDP("3195 HK Equity","FUND_ASSET_CLASS_FOCUS")</f>
        <v>Equity</v>
      </c>
      <c r="AC26">
        <f>_xll.BDP("3195 HK Equity","PX_LAST")</f>
        <v>11.71</v>
      </c>
      <c r="AD26">
        <f>_xll.BDP("3195 HK Equity","PX388","PX395=TIME_WAVG_BID_ASK_SPREAD_PCT","DY262=D","PY204=N","PX391=20260601","PX392=20260626")</f>
        <v>0.12551952251008999</v>
      </c>
      <c r="AE26">
        <f>_xll.BDP("3195 HK Equity","PX388","PX395=AVERAGE_BID_ASK_SPREAD_%","DY262=D","PY204=N","PX391=20260601","PX392=20260626")</f>
        <v>0.13684268588833404</v>
      </c>
    </row>
    <row r="27" spans="1:31" x14ac:dyDescent="0.25">
      <c r="A27" t="s">
        <v>52</v>
      </c>
      <c r="B27" t="str">
        <f>_xll.BDP("3431 HK Equity","LONG_COMP_NAME")</f>
        <v>CSOP FTSE HK-Korea Tech+ Index ETF</v>
      </c>
      <c r="C27">
        <f>_xll.BDP("3431 HK Equity","PX385","PX395=FUND_FLOW","DY262=D","PY204=N","PX391=20260622","PX392=20260626","DS004=USD")</f>
        <v>4.3055304063962447</v>
      </c>
      <c r="D27">
        <f>_xll.BDP("3431 HK Equity","PX388","PX395=TURNOVER","DY262=D","PY204=N","PX391=20260601","PX392=20260626","DS004=HKD")</f>
        <v>139552080.00000003</v>
      </c>
      <c r="E27">
        <f>_xll.BDP("3431 HK Equity","PX388","PX395=TURNOVER","DY262=D","PY204=N","PX391=20250101","PX392=20251231","DS004=HKD")</f>
        <v>74083.769230769249</v>
      </c>
      <c r="F27">
        <f>_xll.BDP("3431 HK Equity","PX596","PX395=FUND_TOTAL_ASSETS","DY262=D","PY204=N","PX391=20260626","PX392=20260626","DS004=USD")</f>
        <v>219.58183805868322</v>
      </c>
      <c r="G27">
        <f>_xll.BDP("3431 HK Equity","PX388","PX395=CUR_MKT_CAP","DY262=D","PY204=N","PX391=20260626","PX392=20260626","DS004=HKD")</f>
        <v>1748.79</v>
      </c>
      <c r="H27" t="str">
        <f>_xll.BDP("3431 HK Equity","FUND_LEVERAGE_TYPE")</f>
        <v>#N/A N/A</v>
      </c>
      <c r="I27">
        <f>_xll.BDP("3431 HK Equity","PX388","PX395=TURNOVER","DY262=D","PY204=N","PX391=20260101","PX392=20260131","DS004=HKD")</f>
        <v>59165.5</v>
      </c>
      <c r="J27">
        <v>-1</v>
      </c>
      <c r="K27" t="str">
        <f>_xll.BDP("3431 HK Equity","FUND_INCEPT_DT")</f>
        <v>9/29/2025</v>
      </c>
      <c r="L27" t="str">
        <f>_xll.BDP("3431 HK Equity","PX388","PX395=TURNOVER_EXCH_RATIO","DY262=D","PY204=N","PX391=20251201","PX392=20251210")</f>
        <v>#N/A N/A</v>
      </c>
      <c r="M27">
        <f>_xll.BDP("3431 HK Equity","EQY_SH_OUT")</f>
        <v>153</v>
      </c>
      <c r="N27">
        <f>_xll.BDP("3431 HK Equity","EQY_TRR_PCT_YTD")</f>
        <v>42.52355</v>
      </c>
      <c r="O27">
        <f>_xll.BDP("3431 HK Equity","CHG_PCT_YTD")</f>
        <v>44.783709999999999</v>
      </c>
      <c r="P27">
        <f>_xll.BDP("3431 HK Equity","CHG_PCT_1M")</f>
        <v>-3.2312940000000001</v>
      </c>
      <c r="Q27" t="str">
        <f>_xll.BDP("3431 HK Equity","LISTING_DATE")</f>
        <v>9/29/2025</v>
      </c>
      <c r="R27" t="str">
        <f>_xll.BDP("3431 HK Equity","FUND_INCEPT_DT")</f>
        <v>9/29/2025</v>
      </c>
      <c r="S27">
        <f>_xll.BDP("3431 HK Equity","AVG_DAILY_VALUE_TRADED_3M")</f>
        <v>66021710</v>
      </c>
      <c r="T27" t="str">
        <f>_xll.BDP("3431 HK Equity","PX596","PX395=HISTORICAL_MARKET_CAP","DY262=D","PY204=N","PX391=20231231","PX392=20231231","DS004=HKD")</f>
        <v>#N/A N/A</v>
      </c>
      <c r="U27" t="str">
        <f>_xll.BDP("3431 HK Equity","PX385","PX395=FUND_FLOW","DY262=D","PY204=N","PX391=20240102","PX392=20240930","DS004=HKD")</f>
        <v>#N/A N/A</v>
      </c>
      <c r="V27">
        <f>_xll.BDP("3431 HK Equity","PX596","PX395=CUR_MKT_CAP","DY262=D","PY204=N","PX391=20240101","DS004=HKD")</f>
        <v>632.73</v>
      </c>
      <c r="W27" t="str">
        <f>_xll.BDP("3431 HK Equity","FUND_INCEPT_DT")</f>
        <v>9/29/2025</v>
      </c>
      <c r="X27" t="str">
        <f>_xll.BDP("3431 HK Equity","PX388","PX395=TURNOVER","DY262=D","PY204=N","PX391=20240502","PX392=20240606","DS004=HKD")</f>
        <v>#N/A N/A</v>
      </c>
      <c r="Y27" t="str">
        <f>_xll.BDP("3431 HK Equity","PARENT_COMP_NAME")</f>
        <v>CSOP Asset Management Ltd/Hong</v>
      </c>
      <c r="Z27" t="str">
        <f>_xll.BDP("3431 HK Equity","NAV_CRNCY")</f>
        <v>HKD</v>
      </c>
      <c r="AA27" t="str">
        <f>_xll.BDP("3431 HK Equity","FUND_GEO_FOCUS")</f>
        <v>South Korea</v>
      </c>
      <c r="AB27" t="str">
        <f>_xll.BDP("3431 HK Equity","FUND_ASSET_CLASS_FOCUS")</f>
        <v>Equity</v>
      </c>
      <c r="AC27">
        <f>_xll.BDP("3431 HK Equity","PX_LAST")</f>
        <v>11.38</v>
      </c>
      <c r="AD27">
        <f>_xll.BDP("3431 HK Equity","PX388","PX395=TIME_WAVG_BID_ASK_SPREAD_PCT","DY262=D","PY204=N","PX391=20260601","PX392=20260626")</f>
        <v>0.12936261010602668</v>
      </c>
      <c r="AE27">
        <f>_xll.BDP("3431 HK Equity","PX388","PX395=AVERAGE_BID_ASK_SPREAD_%","DY262=D","PY204=N","PX391=20260601","PX392=20260626")</f>
        <v>0.14329891633332606</v>
      </c>
    </row>
    <row r="28" spans="1:31" x14ac:dyDescent="0.25">
      <c r="A28" t="s">
        <v>53</v>
      </c>
      <c r="B28" t="str">
        <f>_xll.BDP("3417 HK Equity","LONG_COMP_NAME")</f>
        <v>Global X Hang Seng TECH Covered Call Active ETF</v>
      </c>
      <c r="C28">
        <f>_xll.BDP("3417 HK Equity","PX385","PX395=FUND_FLOW","DY262=D","PY204=N","PX391=20260622","PX392=20260626","DS004=USD")</f>
        <v>4.2048567711654501</v>
      </c>
      <c r="D28">
        <f>_xll.BDP("3417 HK Equity","PX388","PX395=TURNOVER","DY262=D","PY204=N","PX391=20260601","PX392=20260626","DS004=HKD")</f>
        <v>32022716.47368421</v>
      </c>
      <c r="E28">
        <f>_xll.BDP("3417 HK Equity","PX388","PX395=TURNOVER","DY262=D","PY204=N","PX391=20250101","PX392=20251231","DS004=HKD")</f>
        <v>27651603.798994977</v>
      </c>
      <c r="F28">
        <f>_xll.BDP("3417 HK Equity","PX596","PX395=FUND_TOTAL_ASSETS","DY262=D","PY204=N","PX391=20260626","PX392=20260626","DS004=USD")</f>
        <v>344.91529545657409</v>
      </c>
      <c r="G28">
        <f>_xll.BDP("3417 HK Equity","PX388","PX395=CUR_MKT_CAP","DY262=D","PY204=N","PX391=20260626","PX392=20260626","DS004=HKD")</f>
        <v>2712.84</v>
      </c>
      <c r="H28" t="str">
        <f>_xll.BDP("3417 HK Equity","FUND_LEVERAGE_TYPE")</f>
        <v>#N/A N/A</v>
      </c>
      <c r="I28">
        <f>_xll.BDP("3417 HK Equity","PX388","PX395=TURNOVER","DY262=D","PY204=N","PX391=20260101","PX392=20260131","DS004=HKD")</f>
        <v>49651289.52380953</v>
      </c>
      <c r="J28">
        <v>-1</v>
      </c>
      <c r="K28" t="str">
        <f>_xll.BDP("3417 HK Equity","FUND_INCEPT_DT")</f>
        <v>3/13/2025</v>
      </c>
      <c r="L28" t="str">
        <f>_xll.BDP("3417 HK Equity","PX388","PX395=TURNOVER_EXCH_RATIO","DY262=D","PY204=N","PX391=20251201","PX392=20251210")</f>
        <v>#N/A N/A</v>
      </c>
      <c r="M28">
        <f>_xll.BDP("3417 HK Equity","EQY_SH_OUT")</f>
        <v>376</v>
      </c>
      <c r="N28">
        <f>_xll.BDP("3417 HK Equity","EQY_TRR_PCT_YTD")</f>
        <v>-12.94398</v>
      </c>
      <c r="O28">
        <f>_xll.BDP("3417 HK Equity","CHG_PCT_YTD")</f>
        <v>-19.065719999999999</v>
      </c>
      <c r="P28">
        <f>_xll.BDP("3417 HK Equity","CHG_PCT_1M")</f>
        <v>-7.0492869999999996</v>
      </c>
      <c r="Q28" t="str">
        <f>_xll.BDP("3417 HK Equity","LISTING_DATE")</f>
        <v>3/13/2025</v>
      </c>
      <c r="R28" t="str">
        <f>_xll.BDP("3417 HK Equity","FUND_INCEPT_DT")</f>
        <v>3/13/2025</v>
      </c>
      <c r="S28">
        <f>_xll.BDP("3417 HK Equity","AVG_DAILY_VALUE_TRADED_3M")</f>
        <v>32494770</v>
      </c>
      <c r="T28" t="str">
        <f>_xll.BDP("3417 HK Equity","PX596","PX395=HISTORICAL_MARKET_CAP","DY262=D","PY204=N","PX391=20231231","PX392=20231231","DS004=HKD")</f>
        <v>#N/A N/A</v>
      </c>
      <c r="U28" t="str">
        <f>_xll.BDP("3417 HK Equity","PX385","PX395=FUND_FLOW","DY262=D","PY204=N","PX391=20240102","PX392=20240930","DS004=HKD")</f>
        <v>#N/A N/A</v>
      </c>
      <c r="V28">
        <f>_xll.BDP("3417 HK Equity","PX596","PX395=CUR_MKT_CAP","DY262=D","PY204=N","PX391=20240101","DS004=HKD")</f>
        <v>2584.7640000000001</v>
      </c>
      <c r="W28" t="str">
        <f>_xll.BDP("3417 HK Equity","FUND_INCEPT_DT")</f>
        <v>3/13/2025</v>
      </c>
      <c r="X28" t="str">
        <f>_xll.BDP("3417 HK Equity","PX388","PX395=TURNOVER","DY262=D","PY204=N","PX391=20240502","PX392=20240606","DS004=HKD")</f>
        <v>#N/A N/A</v>
      </c>
      <c r="Y28" t="str">
        <f>_xll.BDP("3417 HK Equity","PARENT_COMP_NAME")</f>
        <v>Mirae Asset Global Investments</v>
      </c>
      <c r="Z28" t="str">
        <f>_xll.BDP("3417 HK Equity","NAV_CRNCY")</f>
        <v>HKD</v>
      </c>
      <c r="AA28" t="str">
        <f>_xll.BDP("3417 HK Equity","FUND_GEO_FOCUS")</f>
        <v>Hong Kong</v>
      </c>
      <c r="AB28" t="str">
        <f>_xll.BDP("3417 HK Equity","FUND_ASSET_CLASS_FOCUS")</f>
        <v>Equity</v>
      </c>
      <c r="AC28">
        <f>_xll.BDP("3417 HK Equity","PX_LAST")</f>
        <v>7.45</v>
      </c>
      <c r="AD28">
        <f>_xll.BDP("3417 HK Equity","PX388","PX395=TIME_WAVG_BID_ASK_SPREAD_PCT","DY262=D","PY204=N","PX391=20260601","PX392=20260626")</f>
        <v>0.12663956123082881</v>
      </c>
      <c r="AE28">
        <f>_xll.BDP("3417 HK Equity","PX388","PX395=AVERAGE_BID_ASK_SPREAD_%","DY262=D","PY204=N","PX391=20260601","PX392=20260626")</f>
        <v>0.14872345686376159</v>
      </c>
    </row>
    <row r="29" spans="1:31" x14ac:dyDescent="0.25">
      <c r="A29" t="s">
        <v>54</v>
      </c>
      <c r="B29" t="str">
        <f>_xll.BDP("2825 HK Equity","LONG_COMP_NAME")</f>
        <v>W.I.S.E. - CSI HK100 Tracker</v>
      </c>
      <c r="C29">
        <f>_xll.BDP("2825 HK Equity","PX385","PX395=FUND_FLOW","DY262=D","PY204=N","PX391=20260622","PX392=20260626","DS004=USD")</f>
        <v>4.1691893386473602</v>
      </c>
      <c r="D29">
        <f>_xll.BDP("2825 HK Equity","PX388","PX395=TURNOVER","DY262=D","PY204=N","PX391=20260601","PX392=20260626","DS004=HKD")</f>
        <v>628221.8823529412</v>
      </c>
      <c r="E29">
        <f>_xll.BDP("2825 HK Equity","PX388","PX395=TURNOVER","DY262=D","PY204=N","PX391=20250101","PX392=20251231","DS004=HKD")</f>
        <v>129789.22249999996</v>
      </c>
      <c r="F29">
        <f>_xll.BDP("2825 HK Equity","PX596","PX395=FUND_TOTAL_ASSETS","DY262=D","PY204=N","PX391=20260626","PX392=20260626","DS004=USD")</f>
        <v>311.17359119368535</v>
      </c>
      <c r="G29">
        <f>_xll.BDP("2825 HK Equity","PX388","PX395=CUR_MKT_CAP","DY262=D","PY204=N","PX391=20260626","PX392=20260626","DS004=HKD")</f>
        <v>2444.5079999999998</v>
      </c>
      <c r="H29" t="str">
        <f>_xll.BDP("2825 HK Equity","FUND_LEVERAGE_TYPE")</f>
        <v>#N/A N/A</v>
      </c>
      <c r="I29">
        <f>_xll.BDP("2825 HK Equity","PX388","PX395=TURNOVER","DY262=D","PY204=N","PX391=20260101","PX392=20260131","DS004=HKD")</f>
        <v>305402.8571428571</v>
      </c>
      <c r="J29">
        <v>-1</v>
      </c>
      <c r="K29" t="str">
        <f>_xll.BDP("2825 HK Equity","FUND_INCEPT_DT")</f>
        <v>5/15/2008</v>
      </c>
      <c r="L29" t="str">
        <f>_xll.BDP("2825 HK Equity","PX388","PX395=TURNOVER_EXCH_RATIO","DY262=D","PY204=N","PX391=20251201","PX392=20251210")</f>
        <v>#N/A N/A</v>
      </c>
      <c r="M29">
        <f>_xll.BDP("2825 HK Equity","EQY_SH_OUT")</f>
        <v>92.844999999999999</v>
      </c>
      <c r="N29">
        <f>_xll.BDP("2825 HK Equity","EQY_TRR_PCT_YTD")</f>
        <v>-10.12181</v>
      </c>
      <c r="O29">
        <f>_xll.BDP("2825 HK Equity","CHG_PCT_YTD")</f>
        <v>-10.16722</v>
      </c>
      <c r="P29">
        <f>_xll.BDP("2825 HK Equity","CHG_PCT_1M")</f>
        <v>-7.6975959999999999</v>
      </c>
      <c r="Q29" t="str">
        <f>_xll.BDP("2825 HK Equity","LISTING_DATE")</f>
        <v>5/15/2008</v>
      </c>
      <c r="R29" t="str">
        <f>_xll.BDP("2825 HK Equity","FUND_INCEPT_DT")</f>
        <v>5/15/2008</v>
      </c>
      <c r="S29">
        <f>_xll.BDP("2825 HK Equity","AVG_DAILY_VALUE_TRADED_3M")</f>
        <v>288119.7</v>
      </c>
      <c r="T29" t="str">
        <f>_xll.BDP("2825 HK Equity","PX596","PX395=HISTORICAL_MARKET_CAP","DY262=D","PY204=N","PX391=20231231","PX392=20231231","DS004=HKD")</f>
        <v>#N/A N/A</v>
      </c>
      <c r="U29">
        <f>_xll.BDP("2825 HK Equity","PX385","PX395=FUND_FLOW","DY262=D","PY204=N","PX391=20240102","PX392=20240930","DS004=HKD")</f>
        <v>0.27275219999991229</v>
      </c>
      <c r="V29">
        <f>_xll.BDP("2825 HK Equity","PX596","PX395=CUR_MKT_CAP","DY262=D","PY204=N","PX391=20240101","DS004=HKD")</f>
        <v>2659.605</v>
      </c>
      <c r="W29" t="str">
        <f>_xll.BDP("2825 HK Equity","FUND_INCEPT_DT")</f>
        <v>5/15/2008</v>
      </c>
      <c r="X29">
        <f>_xll.BDP("2825 HK Equity","PX388","PX395=TURNOVER","DY262=D","PY204=N","PX391=20240502","PX392=20240606","DS004=HKD")</f>
        <v>151894</v>
      </c>
      <c r="Y29" t="str">
        <f>_xll.BDP("2825 HK Equity","PARENT_COMP_NAME")</f>
        <v>BOCI-Prudential Asset Manageme</v>
      </c>
      <c r="Z29" t="str">
        <f>_xll.BDP("2825 HK Equity","NAV_CRNCY")</f>
        <v>HKD</v>
      </c>
      <c r="AA29" t="str">
        <f>_xll.BDP("2825 HK Equity","FUND_GEO_FOCUS")</f>
        <v>China</v>
      </c>
      <c r="AB29" t="str">
        <f>_xll.BDP("2825 HK Equity","FUND_ASSET_CLASS_FOCUS")</f>
        <v>Equity</v>
      </c>
      <c r="AC29">
        <f>_xll.BDP("2825 HK Equity","PX_LAST")</f>
        <v>26.86</v>
      </c>
      <c r="AD29">
        <f>_xll.BDP("2825 HK Equity","PX388","PX395=TIME_WAVG_BID_ASK_SPREAD_PCT","DY262=D","PY204=N","PX391=20260601","PX392=20260626")</f>
        <v>0.2616399967827806</v>
      </c>
      <c r="AE29">
        <f>_xll.BDP("2825 HK Equity","PX388","PX395=AVERAGE_BID_ASK_SPREAD_%","DY262=D","PY204=N","PX391=20260601","PX392=20260626")</f>
        <v>0.35084873531296346</v>
      </c>
    </row>
    <row r="30" spans="1:31" x14ac:dyDescent="0.25">
      <c r="A30" t="s">
        <v>55</v>
      </c>
      <c r="B30" t="str">
        <f>_xll.BDP("3110 HK Equity","LONG_COMP_NAME")</f>
        <v>Global X Hang Seng High Dividend Yield ETF</v>
      </c>
      <c r="C30">
        <f>_xll.BDP("3110 HK Equity","PX385","PX395=FUND_FLOW","DY262=D","PY204=N","PX391=20260622","PX392=20260626","DS004=USD")</f>
        <v>3.7203275259546462</v>
      </c>
      <c r="D30">
        <f>_xll.BDP("3110 HK Equity","PX388","PX395=TURNOVER","DY262=D","PY204=N","PX391=20260601","PX392=20260626","DS004=HKD")</f>
        <v>24217544.105263159</v>
      </c>
      <c r="E30">
        <f>_xll.BDP("3110 HK Equity","PX388","PX395=TURNOVER","DY262=D","PY204=N","PX391=20250101","PX392=20251231","DS004=HKD")</f>
        <v>33028880.398373965</v>
      </c>
      <c r="F30">
        <f>_xll.BDP("3110 HK Equity","PX596","PX395=FUND_TOTAL_ASSETS","DY262=D","PY204=N","PX391=20260626","PX392=20260626","DS004=USD")</f>
        <v>714.59867605233285</v>
      </c>
      <c r="G30">
        <f>_xll.BDP("3110 HK Equity","PX388","PX395=CUR_MKT_CAP","DY262=D","PY204=N","PX391=20260626","PX392=20260626","DS004=HKD")</f>
        <v>5606.5999999999995</v>
      </c>
      <c r="H30" t="str">
        <f>_xll.BDP("3110 HK Equity","FUND_LEVERAGE_TYPE")</f>
        <v>#N/A N/A</v>
      </c>
      <c r="I30">
        <f>_xll.BDP("3110 HK Equity","PX388","PX395=TURNOVER","DY262=D","PY204=N","PX391=20260101","PX392=20260131","DS004=HKD")</f>
        <v>35153089.47619047</v>
      </c>
      <c r="J30">
        <v>-1</v>
      </c>
      <c r="K30" t="str">
        <f>_xll.BDP("3110 HK Equity","FUND_INCEPT_DT")</f>
        <v>6/17/2013</v>
      </c>
      <c r="L30" t="str">
        <f>_xll.BDP("3110 HK Equity","PX388","PX395=TURNOVER_EXCH_RATIO","DY262=D","PY204=N","PX391=20251201","PX392=20251210")</f>
        <v>#N/A N/A</v>
      </c>
      <c r="M30">
        <f>_xll.BDP("3110 HK Equity","EQY_SH_OUT")</f>
        <v>194</v>
      </c>
      <c r="N30">
        <f>_xll.BDP("3110 HK Equity","EQY_TRR_PCT_YTD")</f>
        <v>-2.9940660000000001</v>
      </c>
      <c r="O30">
        <f>_xll.BDP("3110 HK Equity","CHG_PCT_YTD")</f>
        <v>-4.4078939999999998</v>
      </c>
      <c r="P30">
        <f>_xll.BDP("3110 HK Equity","CHG_PCT_1M")</f>
        <v>-8.9028200000000002</v>
      </c>
      <c r="Q30" t="str">
        <f>_xll.BDP("3110 HK Equity","LISTING_DATE")</f>
        <v>6/17/2013</v>
      </c>
      <c r="R30" t="str">
        <f>_xll.BDP("3110 HK Equity","FUND_INCEPT_DT")</f>
        <v>6/17/2013</v>
      </c>
      <c r="S30">
        <f>_xll.BDP("3110 HK Equity","AVG_DAILY_VALUE_TRADED_3M")</f>
        <v>26296730</v>
      </c>
      <c r="T30" t="str">
        <f>_xll.BDP("3110 HK Equity","PX596","PX395=HISTORICAL_MARKET_CAP","DY262=D","PY204=N","PX391=20231231","PX392=20231231","DS004=HKD")</f>
        <v>#N/A N/A</v>
      </c>
      <c r="U30">
        <f>_xll.BDP("3110 HK Equity","PX385","PX395=FUND_FLOW","DY262=D","PY204=N","PX391=20240102","PX392=20240930","DS004=HKD")</f>
        <v>2521.7078599999995</v>
      </c>
      <c r="V30">
        <f>_xll.BDP("3110 HK Equity","PX596","PX395=CUR_MKT_CAP","DY262=D","PY204=N","PX391=20240101","DS004=HKD")</f>
        <v>3702.72</v>
      </c>
      <c r="W30" t="str">
        <f>_xll.BDP("3110 HK Equity","FUND_INCEPT_DT")</f>
        <v>6/17/2013</v>
      </c>
      <c r="X30">
        <f>_xll.BDP("3110 HK Equity","PX388","PX395=TURNOVER","DY262=D","PY204=N","PX391=20240502","PX392=20240606","DS004=HKD")</f>
        <v>10061715.960000001</v>
      </c>
      <c r="Y30" t="str">
        <f>_xll.BDP("3110 HK Equity","PARENT_COMP_NAME")</f>
        <v>Mirae Asset Global Investments</v>
      </c>
      <c r="Z30" t="str">
        <f>_xll.BDP("3110 HK Equity","NAV_CRNCY")</f>
        <v>HKD</v>
      </c>
      <c r="AA30" t="str">
        <f>_xll.BDP("3110 HK Equity","FUND_GEO_FOCUS")</f>
        <v>China</v>
      </c>
      <c r="AB30" t="str">
        <f>_xll.BDP("3110 HK Equity","FUND_ASSET_CLASS_FOCUS")</f>
        <v>Equity</v>
      </c>
      <c r="AC30">
        <f>_xll.BDP("3110 HK Equity","PX_LAST")</f>
        <v>29.06</v>
      </c>
      <c r="AD30">
        <f>_xll.BDP("3110 HK Equity","PX388","PX395=TIME_WAVG_BID_ASK_SPREAD_PCT","DY262=D","PY204=N","PX391=20260601","PX392=20260626")</f>
        <v>0.11900812236155466</v>
      </c>
      <c r="AE30">
        <f>_xll.BDP("3110 HK Equity","PX388","PX395=AVERAGE_BID_ASK_SPREAD_%","DY262=D","PY204=N","PX391=20260601","PX392=20260626")</f>
        <v>0.14866576232496123</v>
      </c>
    </row>
    <row r="31" spans="1:31" x14ac:dyDescent="0.25">
      <c r="A31" t="s">
        <v>56</v>
      </c>
      <c r="B31" t="str">
        <f>_xll.BDP("3076 HK Equity","LONG_COMP_NAME")</f>
        <v>Fubon NYSE FactSet Taiwan Core Semiconductor Index ETF</v>
      </c>
      <c r="C31">
        <f>_xll.BDP("3076 HK Equity","PX385","PX395=FUND_FLOW","DY262=D","PY204=N","PX391=20260622","PX392=20260626","DS004=USD")</f>
        <v>3.0619891878481824</v>
      </c>
      <c r="D31">
        <f>_xll.BDP("3076 HK Equity","PX388","PX395=TURNOVER","DY262=D","PY204=N","PX391=20260601","PX392=20260626","DS004=HKD")</f>
        <v>8796860.6842105258</v>
      </c>
      <c r="E31">
        <f>_xll.BDP("3076 HK Equity","PX388","PX395=TURNOVER","DY262=D","PY204=N","PX391=20250101","PX392=20251231","DS004=HKD")</f>
        <v>70987.542763157879</v>
      </c>
      <c r="F31">
        <f>_xll.BDP("3076 HK Equity","PX596","PX395=FUND_TOTAL_ASSETS","DY262=D","PY204=N","PX391=20260626","PX392=20260626","DS004=USD")</f>
        <v>15.924684149999999</v>
      </c>
      <c r="G31">
        <f>_xll.BDP("3076 HK Equity","PX388","PX395=CUR_MKT_CAP","DY262=D","PY204=N","PX391=20260626","PX392=20260626","DS004=HKD")</f>
        <v>125.02200000000001</v>
      </c>
      <c r="H31" t="str">
        <f>_xll.BDP("3076 HK Equity","FUND_LEVERAGE_TYPE")</f>
        <v>#N/A N/A</v>
      </c>
      <c r="I31">
        <f>_xll.BDP("3076 HK Equity","PX388","PX395=TURNOVER","DY262=D","PY204=N","PX391=20260101","PX392=20260131","DS004=HKD")</f>
        <v>314459.99523809529</v>
      </c>
      <c r="J31">
        <v>-1</v>
      </c>
      <c r="K31" t="str">
        <f>_xll.BDP("3076 HK Equity","FUND_INCEPT_DT")</f>
        <v>1/12/2022</v>
      </c>
      <c r="L31" t="str">
        <f>_xll.BDP("3076 HK Equity","PX388","PX395=TURNOVER_EXCH_RATIO","DY262=D","PY204=N","PX391=20251201","PX392=20251210")</f>
        <v>#N/A N/A</v>
      </c>
      <c r="M31">
        <f>_xll.BDP("3076 HK Equity","EQY_SH_OUT")</f>
        <v>6.6999999999999993</v>
      </c>
      <c r="N31">
        <f>_xll.BDP("3076 HK Equity","EQY_TRR_PCT_YTD")</f>
        <v>96.622529999999998</v>
      </c>
      <c r="O31">
        <f>_xll.BDP("3076 HK Equity","CHG_PCT_YTD")</f>
        <v>103.6228</v>
      </c>
      <c r="P31">
        <f>_xll.BDP("3076 HK Equity","CHG_PCT_1M")</f>
        <v>-1.596293</v>
      </c>
      <c r="Q31" t="str">
        <f>_xll.BDP("3076 HK Equity","LISTING_DATE")</f>
        <v>1/13/2022</v>
      </c>
      <c r="R31" t="str">
        <f>_xll.BDP("3076 HK Equity","FUND_INCEPT_DT")</f>
        <v>1/12/2022</v>
      </c>
      <c r="S31">
        <f>_xll.BDP("3076 HK Equity","AVG_DAILY_VALUE_TRADED_3M")</f>
        <v>4784895</v>
      </c>
      <c r="T31" t="str">
        <f>_xll.BDP("3076 HK Equity","PX596","PX395=HISTORICAL_MARKET_CAP","DY262=D","PY204=N","PX391=20231231","PX392=20231231","DS004=HKD")</f>
        <v>#N/A N/A</v>
      </c>
      <c r="U31">
        <f>_xll.BDP("3076 HK Equity","PX385","PX395=FUND_FLOW","DY262=D","PY204=N","PX391=20240102","PX392=20240930","DS004=HKD")</f>
        <v>0</v>
      </c>
      <c r="V31">
        <f>_xll.BDP("3076 HK Equity","PX596","PX395=CUR_MKT_CAP","DY262=D","PY204=N","PX391=20240101","DS004=HKD")</f>
        <v>21.585499999999996</v>
      </c>
      <c r="W31" t="str">
        <f>_xll.BDP("3076 HK Equity","FUND_INCEPT_DT")</f>
        <v>1/12/2022</v>
      </c>
      <c r="X31">
        <f>_xll.BDP("3076 HK Equity","PX388","PX395=TURNOVER","DY262=D","PY204=N","PX391=20240502","PX392=20240606","DS004=HKD")</f>
        <v>119007.5652173913</v>
      </c>
      <c r="Y31" t="str">
        <f>_xll.BDP("3076 HK Equity","PARENT_COMP_NAME")</f>
        <v>Fubon Fund Management Hong Kon</v>
      </c>
      <c r="Z31" t="str">
        <f>_xll.BDP("3076 HK Equity","NAV_CRNCY")</f>
        <v>HKD</v>
      </c>
      <c r="AA31" t="str">
        <f>_xll.BDP("3076 HK Equity","FUND_GEO_FOCUS")</f>
        <v>Taiwan</v>
      </c>
      <c r="AB31" t="str">
        <f>_xll.BDP("3076 HK Equity","FUND_ASSET_CLASS_FOCUS")</f>
        <v>Equity</v>
      </c>
      <c r="AC31">
        <f>_xll.BDP("3076 HK Equity","PX_LAST")</f>
        <v>19.11</v>
      </c>
      <c r="AD31">
        <f>_xll.BDP("3076 HK Equity","PX388","PX395=TIME_WAVG_BID_ASK_SPREAD_PCT","DY262=D","PY204=N","PX391=20260601","PX392=20260626")</f>
        <v>0.27914468822269956</v>
      </c>
      <c r="AE31">
        <f>_xll.BDP("3076 HK Equity","PX388","PX395=AVERAGE_BID_ASK_SPREAD_%","DY262=D","PY204=N","PX391=20260601","PX392=20260626")</f>
        <v>0.51599101986417018</v>
      </c>
    </row>
    <row r="32" spans="1:31" x14ac:dyDescent="0.25">
      <c r="A32" t="s">
        <v>57</v>
      </c>
      <c r="B32" t="str">
        <f>_xll.BDP("7288 HK Equity","LONG_COMP_NAME")</f>
        <v>CSOP Hang Seng China Enterprises Index Daily 2x Leveraged Product</v>
      </c>
      <c r="C32">
        <f>_xll.BDP("7288 HK Equity","PX385","PX395=FUND_FLOW","DY262=D","PY204=N","PX391=20260622","PX392=20260626","DS004=USD")</f>
        <v>3.0439382731794442</v>
      </c>
      <c r="D32">
        <f>_xll.BDP("7288 HK Equity","PX388","PX395=TURNOVER","DY262=D","PY204=N","PX391=20260601","PX392=20260626","DS004=HKD")</f>
        <v>14380188.736842105</v>
      </c>
      <c r="E32">
        <f>_xll.BDP("7288 HK Equity","PX388","PX395=TURNOVER","DY262=D","PY204=N","PX391=20250101","PX392=20251231","DS004=HKD")</f>
        <v>13337230.971544713</v>
      </c>
      <c r="F32">
        <f>_xll.BDP("7288 HK Equity","PX596","PX395=FUND_TOTAL_ASSETS","DY262=D","PY204=N","PX391=20260626","PX392=20260626","DS004=USD")</f>
        <v>25.594402917585846</v>
      </c>
      <c r="G32">
        <f>_xll.BDP("7288 HK Equity","PX388","PX395=CUR_MKT_CAP","DY262=D","PY204=N","PX391=20260626","PX392=20260626","DS004=HKD")</f>
        <v>201.60639999999998</v>
      </c>
      <c r="H32" t="str">
        <f>_xll.BDP("7288 HK Equity","FUND_LEVERAGE_TYPE")</f>
        <v>Long</v>
      </c>
      <c r="I32">
        <f>_xll.BDP("7288 HK Equity","PX388","PX395=TURNOVER","DY262=D","PY204=N","PX391=20260101","PX392=20260131","DS004=HKD")</f>
        <v>8815756.7619047612</v>
      </c>
      <c r="J32">
        <v>-1</v>
      </c>
      <c r="K32" t="str">
        <f>_xll.BDP("7288 HK Equity","FUND_INCEPT_DT")</f>
        <v>3/14/2017</v>
      </c>
      <c r="L32" t="str">
        <f>_xll.BDP("7288 HK Equity","PX388","PX395=TURNOVER_EXCH_RATIO","DY262=D","PY204=N","PX391=20251201","PX392=20251210")</f>
        <v>#N/A N/A</v>
      </c>
      <c r="M32">
        <f>_xll.BDP("7288 HK Equity","EQY_SH_OUT")</f>
        <v>87.2</v>
      </c>
      <c r="N32">
        <f>_xll.BDP("7288 HK Equity","EQY_TRR_PCT_YTD")</f>
        <v>-31.11889</v>
      </c>
      <c r="O32">
        <f>_xll.BDP("7288 HK Equity","CHG_PCT_YTD")</f>
        <v>-29.705880000000001</v>
      </c>
      <c r="P32">
        <f>_xll.BDP("7288 HK Equity","CHG_PCT_1M")</f>
        <v>-18.374320000000001</v>
      </c>
      <c r="Q32" t="str">
        <f>_xll.BDP("7288 HK Equity","LISTING_DATE")</f>
        <v>3/14/2017</v>
      </c>
      <c r="R32" t="str">
        <f>_xll.BDP("7288 HK Equity","FUND_INCEPT_DT")</f>
        <v>3/14/2017</v>
      </c>
      <c r="S32">
        <f>_xll.BDP("7288 HK Equity","AVG_DAILY_VALUE_TRADED_3M")</f>
        <v>11063420</v>
      </c>
      <c r="T32" t="str">
        <f>_xll.BDP("7288 HK Equity","PX596","PX395=HISTORICAL_MARKET_CAP","DY262=D","PY204=N","PX391=20231231","PX392=20231231","DS004=HKD")</f>
        <v>#N/A N/A</v>
      </c>
      <c r="U32">
        <f>_xll.BDP("7288 HK Equity","PX385","PX395=FUND_FLOW","DY262=D","PY204=N","PX391=20240102","PX392=20240930","DS004=HKD")</f>
        <v>-20.466000000000012</v>
      </c>
      <c r="V32">
        <f>_xll.BDP("7288 HK Equity","PX596","PX395=CUR_MKT_CAP","DY262=D","PY204=N","PX391=20240101","DS004=HKD")</f>
        <v>255.68</v>
      </c>
      <c r="W32" t="str">
        <f>_xll.BDP("7288 HK Equity","FUND_INCEPT_DT")</f>
        <v>3/14/2017</v>
      </c>
      <c r="X32">
        <f>_xll.BDP("7288 HK Equity","PX388","PX395=TURNOVER","DY262=D","PY204=N","PX391=20240502","PX392=20240606","DS004=HKD")</f>
        <v>12502247.16</v>
      </c>
      <c r="Y32" t="str">
        <f>_xll.BDP("7288 HK Equity","PARENT_COMP_NAME")</f>
        <v>CSOP Asset Management Ltd/Hong</v>
      </c>
      <c r="Z32" t="str">
        <f>_xll.BDP("7288 HK Equity","NAV_CRNCY")</f>
        <v>HKD</v>
      </c>
      <c r="AA32" t="str">
        <f>_xll.BDP("7288 HK Equity","FUND_GEO_FOCUS")</f>
        <v>China</v>
      </c>
      <c r="AB32" t="str">
        <f>_xll.BDP("7288 HK Equity","FUND_ASSET_CLASS_FOCUS")</f>
        <v>Equity</v>
      </c>
      <c r="AC32">
        <f>_xll.BDP("7288 HK Equity","PX_LAST")</f>
        <v>2.39</v>
      </c>
      <c r="AD32">
        <f>_xll.BDP("7288 HK Equity","PX388","PX395=TIME_WAVG_BID_ASK_SPREAD_PCT","DY262=D","PY204=N","PX391=20260601","PX392=20260626")</f>
        <v>0.11716774404535363</v>
      </c>
      <c r="AE32">
        <f>_xll.BDP("7288 HK Equity","PX388","PX395=AVERAGE_BID_ASK_SPREAD_%","DY262=D","PY204=N","PX391=20260601","PX392=20260626")</f>
        <v>0.12709983290488569</v>
      </c>
    </row>
    <row r="33" spans="1:31" x14ac:dyDescent="0.25">
      <c r="A33" t="s">
        <v>58</v>
      </c>
      <c r="B33" t="str">
        <f>_xll.BDP("3451 HK Equity","LONG_COMP_NAME")</f>
        <v>Global X Nasdaq 100 Covered Call Active ETF</v>
      </c>
      <c r="C33">
        <f>_xll.BDP("3451 HK Equity","PX385","PX395=FUND_FLOW","DY262=D","PY204=N","PX391=20260622","PX392=20260626","DS004=USD")</f>
        <v>3.0319962646572569</v>
      </c>
      <c r="D33">
        <f>_xll.BDP("3451 HK Equity","PX388","PX395=TURNOVER","DY262=D","PY204=N","PX391=20260601","PX392=20260626","DS004=HKD")</f>
        <v>4649994.6842105258</v>
      </c>
      <c r="E33">
        <f>_xll.BDP("3451 HK Equity","PX388","PX395=TURNOVER","DY262=D","PY204=N","PX391=20250101","PX392=20251231","DS004=HKD")</f>
        <v>420362.17741935491</v>
      </c>
      <c r="F33">
        <f>_xll.BDP("3451 HK Equity","PX596","PX395=FUND_TOTAL_ASSETS","DY262=D","PY204=N","PX391=20260626","PX392=20260626","DS004=USD")</f>
        <v>34.678080880121392</v>
      </c>
      <c r="G33">
        <f>_xll.BDP("3451 HK Equity","PX388","PX395=CUR_MKT_CAP","DY262=D","PY204=N","PX391=20260626","PX392=20260626","DS004=HKD")</f>
        <v>268.59999999999997</v>
      </c>
      <c r="H33" t="str">
        <f>_xll.BDP("3451 HK Equity","FUND_LEVERAGE_TYPE")</f>
        <v>#N/A N/A</v>
      </c>
      <c r="I33">
        <f>_xll.BDP("3451 HK Equity","PX388","PX395=TURNOVER","DY262=D","PY204=N","PX391=20260101","PX392=20260131","DS004=HKD")</f>
        <v>998563.61904761905</v>
      </c>
      <c r="J33">
        <v>-1</v>
      </c>
      <c r="K33" t="str">
        <f>_xll.BDP("3451 HK Equity","FUND_INCEPT_DT")</f>
        <v>9/30/2025</v>
      </c>
      <c r="L33" t="str">
        <f>_xll.BDP("3451 HK Equity","PX388","PX395=TURNOVER_EXCH_RATIO","DY262=D","PY204=N","PX391=20251201","PX392=20251210")</f>
        <v>#N/A N/A</v>
      </c>
      <c r="M33">
        <f>_xll.BDP("3451 HK Equity","EQY_SH_OUT")</f>
        <v>3.4499999999999997</v>
      </c>
      <c r="N33">
        <f>_xll.BDP("3451 HK Equity","EQY_TRR_PCT_YTD")</f>
        <v>7.0654430000000001</v>
      </c>
      <c r="O33">
        <f>_xll.BDP("3451 HK Equity","CHG_PCT_YTD")</f>
        <v>-3.068683</v>
      </c>
      <c r="P33">
        <f>_xll.BDP("3451 HK Equity","CHG_PCT_1M")</f>
        <v>-2.8557510000000002</v>
      </c>
      <c r="Q33" t="str">
        <f>_xll.BDP("3451 HK Equity","LISTING_DATE")</f>
        <v>9/30/2025</v>
      </c>
      <c r="R33" t="str">
        <f>_xll.BDP("3451 HK Equity","FUND_INCEPT_DT")</f>
        <v>9/30/2025</v>
      </c>
      <c r="S33">
        <f>_xll.BDP("3451 HK Equity","AVG_DAILY_VALUE_TRADED_3M")</f>
        <v>3310076</v>
      </c>
      <c r="T33" t="str">
        <f>_xll.BDP("3451 HK Equity","PX596","PX395=HISTORICAL_MARKET_CAP","DY262=D","PY204=N","PX391=20231231","PX392=20231231","DS004=HKD")</f>
        <v>#N/A N/A</v>
      </c>
      <c r="U33" t="str">
        <f>_xll.BDP("3451 HK Equity","PX385","PX395=FUND_FLOW","DY262=D","PY204=N","PX391=20240102","PX392=20240930","DS004=HKD")</f>
        <v>#N/A N/A</v>
      </c>
      <c r="V33">
        <f>_xll.BDP("3451 HK Equity","PX596","PX395=CUR_MKT_CAP","DY262=D","PY204=N","PX391=20240101","DS004=HKD")</f>
        <v>106.75600000000001</v>
      </c>
      <c r="W33" t="str">
        <f>_xll.BDP("3451 HK Equity","FUND_INCEPT_DT")</f>
        <v>9/30/2025</v>
      </c>
      <c r="X33" t="str">
        <f>_xll.BDP("3451 HK Equity","PX388","PX395=TURNOVER","DY262=D","PY204=N","PX391=20240502","PX392=20240606","DS004=HKD")</f>
        <v>#N/A N/A</v>
      </c>
      <c r="Y33" t="str">
        <f>_xll.BDP("3451 HK Equity","PARENT_COMP_NAME")</f>
        <v>Mirae Asset Global Investments</v>
      </c>
      <c r="Z33" t="str">
        <f>_xll.BDP("3451 HK Equity","NAV_CRNCY")</f>
        <v>HKD</v>
      </c>
      <c r="AA33" t="str">
        <f>_xll.BDP("3451 HK Equity","FUND_GEO_FOCUS")</f>
        <v>U.S.</v>
      </c>
      <c r="AB33" t="str">
        <f>_xll.BDP("3451 HK Equity","FUND_ASSET_CLASS_FOCUS")</f>
        <v>Equity</v>
      </c>
      <c r="AC33">
        <f>_xll.BDP("3451 HK Equity","PX_LAST")</f>
        <v>79.599999999999994</v>
      </c>
      <c r="AD33">
        <f>_xll.BDP("3451 HK Equity","PX388","PX395=TIME_WAVG_BID_ASK_SPREAD_PCT","DY262=D","PY204=N","PX391=20260601","PX392=20260626")</f>
        <v>0.21010738371466584</v>
      </c>
      <c r="AE33">
        <f>_xll.BDP("3451 HK Equity","PX388","PX395=AVERAGE_BID_ASK_SPREAD_%","DY262=D","PY204=N","PX391=20260601","PX392=20260626")</f>
        <v>0.25849307265196247</v>
      </c>
    </row>
    <row r="34" spans="1:31" x14ac:dyDescent="0.25">
      <c r="A34" t="s">
        <v>59</v>
      </c>
      <c r="B34" t="str">
        <f>_xll.BDP("3415 HK Equity","LONG_COMP_NAME")</f>
        <v>Global X S&amp;P 500 Covered Call Active ETF</v>
      </c>
      <c r="C34">
        <f>_xll.BDP("3415 HK Equity","PX385","PX395=FUND_FLOW","DY262=D","PY204=N","PX391=20260622","PX392=20260626","DS004=USD")</f>
        <v>3.0013856976341033</v>
      </c>
      <c r="D34">
        <f>_xll.BDP("3415 HK Equity","PX388","PX395=TURNOVER","DY262=D","PY204=N","PX391=20260601","PX392=20260626","DS004=HKD")</f>
        <v>3352005.6842105263</v>
      </c>
      <c r="E34">
        <f>_xll.BDP("3415 HK Equity","PX388","PX395=TURNOVER","DY262=D","PY204=N","PX391=20250101","PX392=20251231","DS004=HKD")</f>
        <v>924625.10714285669</v>
      </c>
      <c r="F34">
        <f>_xll.BDP("3415 HK Equity","PX596","PX395=FUND_TOTAL_ASSETS","DY262=D","PY204=N","PX391=20260626","PX392=20260626","DS004=USD")</f>
        <v>23.961804888996568</v>
      </c>
      <c r="G34">
        <f>_xll.BDP("3415 HK Equity","PX388","PX395=CUR_MKT_CAP","DY262=D","PY204=N","PX391=20260626","PX392=20260626","DS004=HKD")</f>
        <v>187.96799999999999</v>
      </c>
      <c r="H34" t="str">
        <f>_xll.BDP("3415 HK Equity","FUND_LEVERAGE_TYPE")</f>
        <v>#N/A N/A</v>
      </c>
      <c r="I34">
        <f>_xll.BDP("3415 HK Equity","PX388","PX395=TURNOVER","DY262=D","PY204=N","PX391=20260101","PX392=20260131","DS004=HKD")</f>
        <v>2222961.9904761901</v>
      </c>
      <c r="J34">
        <v>-1</v>
      </c>
      <c r="K34" t="str">
        <f>_xll.BDP("3415 HK Equity","FUND_INCEPT_DT")</f>
        <v>8/29/2025</v>
      </c>
      <c r="L34" t="str">
        <f>_xll.BDP("3415 HK Equity","PX388","PX395=TURNOVER_EXCH_RATIO","DY262=D","PY204=N","PX391=20251201","PX392=20251210")</f>
        <v>#N/A N/A</v>
      </c>
      <c r="M34">
        <f>_xll.BDP("3415 HK Equity","EQY_SH_OUT")</f>
        <v>2.4</v>
      </c>
      <c r="N34">
        <f>_xll.BDP("3415 HK Equity","EQY_TRR_PCT_YTD")</f>
        <v>4.9792120000000004</v>
      </c>
      <c r="O34">
        <f>_xll.BDP("3415 HK Equity","CHG_PCT_YTD")</f>
        <v>-2.9092739999999999</v>
      </c>
      <c r="P34">
        <f>_xll.BDP("3415 HK Equity","CHG_PCT_1M")</f>
        <v>-2.1614909999999998</v>
      </c>
      <c r="Q34" t="str">
        <f>_xll.BDP("3415 HK Equity","LISTING_DATE")</f>
        <v>8/29/2025</v>
      </c>
      <c r="R34" t="str">
        <f>_xll.BDP("3415 HK Equity","FUND_INCEPT_DT")</f>
        <v>8/29/2025</v>
      </c>
      <c r="S34">
        <f>_xll.BDP("3415 HK Equity","AVG_DAILY_VALUE_TRADED_3M")</f>
        <v>2823884</v>
      </c>
      <c r="T34" t="str">
        <f>_xll.BDP("3415 HK Equity","PX596","PX395=HISTORICAL_MARKET_CAP","DY262=D","PY204=N","PX391=20231231","PX392=20231231","DS004=HKD")</f>
        <v>#N/A N/A</v>
      </c>
      <c r="U34" t="str">
        <f>_xll.BDP("3415 HK Equity","PX385","PX395=FUND_FLOW","DY262=D","PY204=N","PX391=20240102","PX392=20240930","DS004=HKD")</f>
        <v>#N/A N/A</v>
      </c>
      <c r="V34">
        <f>_xll.BDP("3415 HK Equity","PX596","PX395=CUR_MKT_CAP","DY262=D","PY204=N","PX391=20240101","DS004=HKD")</f>
        <v>44.616000000000007</v>
      </c>
      <c r="W34" t="str">
        <f>_xll.BDP("3415 HK Equity","FUND_INCEPT_DT")</f>
        <v>8/29/2025</v>
      </c>
      <c r="X34" t="str">
        <f>_xll.BDP("3415 HK Equity","PX388","PX395=TURNOVER","DY262=D","PY204=N","PX391=20240502","PX392=20240606","DS004=HKD")</f>
        <v>#N/A N/A</v>
      </c>
      <c r="Y34" t="str">
        <f>_xll.BDP("3415 HK Equity","PARENT_COMP_NAME")</f>
        <v>Mirae Asset Global Investments</v>
      </c>
      <c r="Z34" t="str">
        <f>_xll.BDP("3415 HK Equity","NAV_CRNCY")</f>
        <v>HKD</v>
      </c>
      <c r="AA34" t="str">
        <f>_xll.BDP("3415 HK Equity","FUND_GEO_FOCUS")</f>
        <v>U.S.</v>
      </c>
      <c r="AB34" t="str">
        <f>_xll.BDP("3415 HK Equity","FUND_ASSET_CLASS_FOCUS")</f>
        <v>Equity</v>
      </c>
      <c r="AC34">
        <f>_xll.BDP("3415 HK Equity","PX_LAST")</f>
        <v>78.760000000000005</v>
      </c>
      <c r="AD34">
        <f>_xll.BDP("3415 HK Equity","PX388","PX395=TIME_WAVG_BID_ASK_SPREAD_PCT","DY262=D","PY204=N","PX391=20260601","PX392=20260626")</f>
        <v>0.10842798118355777</v>
      </c>
      <c r="AE34">
        <f>_xll.BDP("3415 HK Equity","PX388","PX395=AVERAGE_BID_ASK_SPREAD_%","DY262=D","PY204=N","PX391=20260601","PX392=20260626")</f>
        <v>0.15341086415892924</v>
      </c>
    </row>
    <row r="35" spans="1:31" x14ac:dyDescent="0.25">
      <c r="A35" t="s">
        <v>60</v>
      </c>
      <c r="B35" t="str">
        <f>_xll.BDP("3416 HK Equity","LONG_COMP_NAME")</f>
        <v>Global X HSCEI Covered Call Active ETF</v>
      </c>
      <c r="C35">
        <f>_xll.BDP("3416 HK Equity","PX385","PX395=FUND_FLOW","DY262=D","PY204=N","PX391=20260622","PX392=20260626","DS004=USD")</f>
        <v>2.6408876418825131</v>
      </c>
      <c r="D35">
        <f>_xll.BDP("3416 HK Equity","PX388","PX395=TURNOVER","DY262=D","PY204=N","PX391=20260601","PX392=20260626","DS004=HKD")</f>
        <v>196847510.52631578</v>
      </c>
      <c r="E35">
        <f>_xll.BDP("3416 HK Equity","PX388","PX395=TURNOVER","DY262=D","PY204=N","PX391=20250101","PX392=20251231","DS004=HKD")</f>
        <v>135922364.65853655</v>
      </c>
      <c r="F35">
        <f>_xll.BDP("3416 HK Equity","PX596","PX395=FUND_TOTAL_ASSETS","DY262=D","PY204=N","PX391=20260626","PX392=20260626","DS004=USD")</f>
        <v>2773.1362157126277</v>
      </c>
      <c r="G35">
        <f>_xll.BDP("3416 HK Equity","PX388","PX395=CUR_MKT_CAP","DY262=D","PY204=N","PX391=20260626","PX392=20260626","DS004=HKD")</f>
        <v>21746.171999999999</v>
      </c>
      <c r="H35" t="str">
        <f>_xll.BDP("3416 HK Equity","FUND_LEVERAGE_TYPE")</f>
        <v>#N/A N/A</v>
      </c>
      <c r="I35">
        <f>_xll.BDP("3416 HK Equity","PX388","PX395=TURNOVER","DY262=D","PY204=N","PX391=20260101","PX392=20260131","DS004=HKD")</f>
        <v>319867709.52380955</v>
      </c>
      <c r="J35">
        <v>-1</v>
      </c>
      <c r="K35" t="str">
        <f>_xll.BDP("3416 HK Equity","FUND_INCEPT_DT")</f>
        <v>2/29/2024</v>
      </c>
      <c r="L35" t="str">
        <f>_xll.BDP("3416 HK Equity","PX388","PX395=TURNOVER_EXCH_RATIO","DY262=D","PY204=N","PX391=20251201","PX392=20251210")</f>
        <v>#N/A N/A</v>
      </c>
      <c r="M35">
        <f>_xll.BDP("3416 HK Equity","EQY_SH_OUT")</f>
        <v>2621.6</v>
      </c>
      <c r="N35">
        <f>_xll.BDP("3416 HK Equity","EQY_TRR_PCT_YTD")</f>
        <v>-12.491250000000001</v>
      </c>
      <c r="O35">
        <f>_xll.BDP("3416 HK Equity","CHG_PCT_YTD")</f>
        <v>-18.666029999999999</v>
      </c>
      <c r="P35">
        <f>_xll.BDP("3416 HK Equity","CHG_PCT_1M")</f>
        <v>-7.5790629999999997</v>
      </c>
      <c r="Q35" t="str">
        <f>_xll.BDP("3416 HK Equity","LISTING_DATE")</f>
        <v>2/29/2024</v>
      </c>
      <c r="R35" t="str">
        <f>_xll.BDP("3416 HK Equity","FUND_INCEPT_DT")</f>
        <v>2/29/2024</v>
      </c>
      <c r="S35">
        <f>_xll.BDP("3416 HK Equity","AVG_DAILY_VALUE_TRADED_3M")</f>
        <v>224175600</v>
      </c>
      <c r="T35" t="str">
        <f>_xll.BDP("3416 HK Equity","PX596","PX395=HISTORICAL_MARKET_CAP","DY262=D","PY204=N","PX391=20231231","PX392=20231231","DS004=HKD")</f>
        <v>#N/A N/A</v>
      </c>
      <c r="U35">
        <f>_xll.BDP("3416 HK Equity","PX385","PX395=FUND_FLOW","DY262=D","PY204=N","PX391=20240102","PX392=20240930","DS004=HKD")</f>
        <v>201.58176000000003</v>
      </c>
      <c r="V35">
        <f>_xll.BDP("3416 HK Equity","PX596","PX395=CUR_MKT_CAP","DY262=D","PY204=N","PX391=20240101","DS004=HKD")</f>
        <v>16772.031999999999</v>
      </c>
      <c r="W35" t="str">
        <f>_xll.BDP("3416 HK Equity","FUND_INCEPT_DT")</f>
        <v>2/29/2024</v>
      </c>
      <c r="X35">
        <f>_xll.BDP("3416 HK Equity","PX388","PX395=TURNOVER","DY262=D","PY204=N","PX391=20240502","PX392=20240606","DS004=HKD")</f>
        <v>344991.39999999985</v>
      </c>
      <c r="Y35" t="str">
        <f>_xll.BDP("3416 HK Equity","PARENT_COMP_NAME")</f>
        <v>Mirae Asset Global Investments</v>
      </c>
      <c r="Z35" t="str">
        <f>_xll.BDP("3416 HK Equity","NAV_CRNCY")</f>
        <v>HKD</v>
      </c>
      <c r="AA35" t="str">
        <f>_xll.BDP("3416 HK Equity","FUND_GEO_FOCUS")</f>
        <v>Hong Kong</v>
      </c>
      <c r="AB35" t="str">
        <f>_xll.BDP("3416 HK Equity","FUND_ASSET_CLASS_FOCUS")</f>
        <v>Equity</v>
      </c>
      <c r="AC35">
        <f>_xll.BDP("3416 HK Equity","PX_LAST")</f>
        <v>8.4749999999999996</v>
      </c>
      <c r="AD35">
        <f>_xll.BDP("3416 HK Equity","PX388","PX395=TIME_WAVG_BID_ASK_SPREAD_PCT","DY262=D","PY204=N","PX391=20260601","PX392=20260626")</f>
        <v>6.1253988400822808E-2</v>
      </c>
      <c r="AE35">
        <f>_xll.BDP("3416 HK Equity","PX388","PX395=AVERAGE_BID_ASK_SPREAD_%","DY262=D","PY204=N","PX391=20260601","PX392=20260626")</f>
        <v>6.368270690362364E-2</v>
      </c>
    </row>
    <row r="36" spans="1:31" x14ac:dyDescent="0.25">
      <c r="A36" t="s">
        <v>61</v>
      </c>
      <c r="B36" t="str">
        <f>_xll.BDP("3074 HK Equity","LONG_COMP_NAME")</f>
        <v>iShares Core MSCI Taiwan ETF</v>
      </c>
      <c r="C36">
        <f>_xll.BDP("3074 HK Equity","PX385","PX395=FUND_FLOW","DY262=D","PY204=N","PX391=20260622","PX392=20260626","DS004=USD")</f>
        <v>2.5178359903073608</v>
      </c>
      <c r="D36">
        <f>_xll.BDP("3074 HK Equity","PX388","PX395=TURNOVER","DY262=D","PY204=N","PX391=20260601","PX392=20260626","DS004=HKD")</f>
        <v>8402459.8421052638</v>
      </c>
      <c r="E36">
        <f>_xll.BDP("3074 HK Equity","PX388","PX395=TURNOVER","DY262=D","PY204=N","PX391=20250101","PX392=20251231","DS004=HKD")</f>
        <v>1860736.2879668046</v>
      </c>
      <c r="F36">
        <f>_xll.BDP("3074 HK Equity","PX596","PX395=FUND_TOTAL_ASSETS","DY262=D","PY204=N","PX391=20260626","PX392=20260626","DS004=USD")</f>
        <v>124.37334188</v>
      </c>
      <c r="G36">
        <f>_xll.BDP("3074 HK Equity","PX388","PX395=CUR_MKT_CAP","DY262=D","PY204=N","PX391=20260626","PX392=20260626","DS004=HKD")</f>
        <v>987.92000000000007</v>
      </c>
      <c r="H36" t="str">
        <f>_xll.BDP("3074 HK Equity","FUND_LEVERAGE_TYPE")</f>
        <v>#N/A N/A</v>
      </c>
      <c r="I36">
        <f>_xll.BDP("3074 HK Equity","PX388","PX395=TURNOVER","DY262=D","PY204=N","PX391=20260101","PX392=20260131","DS004=HKD")</f>
        <v>2163224.8095238092</v>
      </c>
      <c r="J36">
        <v>-1</v>
      </c>
      <c r="K36" t="str">
        <f>_xll.BDP("3074 HK Equity","FUND_INCEPT_DT")</f>
        <v>6/22/2016</v>
      </c>
      <c r="L36" t="str">
        <f>_xll.BDP("3074 HK Equity","PX388","PX395=TURNOVER_EXCH_RATIO","DY262=D","PY204=N","PX391=20251201","PX392=20251210")</f>
        <v>#N/A N/A</v>
      </c>
      <c r="M36">
        <f>_xll.BDP("3074 HK Equity","EQY_SH_OUT")</f>
        <v>2.12</v>
      </c>
      <c r="N36">
        <f>_xll.BDP("3074 HK Equity","EQY_TRR_PCT_YTD")</f>
        <v>70.175070000000005</v>
      </c>
      <c r="O36">
        <f>_xll.BDP("3074 HK Equity","CHG_PCT_YTD")</f>
        <v>66.314310000000006</v>
      </c>
      <c r="P36">
        <f>_xll.BDP("3074 HK Equity","CHG_PCT_1M")</f>
        <v>-0.84033610000000003</v>
      </c>
      <c r="Q36" t="str">
        <f>_xll.BDP("3074 HK Equity","LISTING_DATE")</f>
        <v>6/29/2016</v>
      </c>
      <c r="R36" t="str">
        <f>_xll.BDP("3074 HK Equity","FUND_INCEPT_DT")</f>
        <v>6/22/2016</v>
      </c>
      <c r="S36">
        <f>_xll.BDP("3074 HK Equity","AVG_DAILY_VALUE_TRADED_3M")</f>
        <v>5070558</v>
      </c>
      <c r="T36" t="str">
        <f>_xll.BDP("3074 HK Equity","PX596","PX395=HISTORICAL_MARKET_CAP","DY262=D","PY204=N","PX391=20231231","PX392=20231231","DS004=HKD")</f>
        <v>#N/A N/A</v>
      </c>
      <c r="U36">
        <f>_xll.BDP("3074 HK Equity","PX385","PX395=FUND_FLOW","DY262=D","PY204=N","PX391=20240102","PX392=20240930","DS004=HKD")</f>
        <v>-99.808717999999629</v>
      </c>
      <c r="V36">
        <f>_xll.BDP("3074 HK Equity","PX596","PX395=CUR_MKT_CAP","DY262=D","PY204=N","PX391=20240101","DS004=HKD")</f>
        <v>476.78399999999999</v>
      </c>
      <c r="W36" t="str">
        <f>_xll.BDP("3074 HK Equity","FUND_INCEPT_DT")</f>
        <v>6/22/2016</v>
      </c>
      <c r="X36">
        <f>_xll.BDP("3074 HK Equity","PX388","PX395=TURNOVER","DY262=D","PY204=N","PX391=20240502","PX392=20240606","DS004=HKD")</f>
        <v>726471.40000000014</v>
      </c>
      <c r="Y36" t="str">
        <f>_xll.BDP("3074 HK Equity","PARENT_COMP_NAME")</f>
        <v>iShares ETFs/Hong Kong</v>
      </c>
      <c r="Z36" t="str">
        <f>_xll.BDP("3074 HK Equity","NAV_CRNCY")</f>
        <v>HKD</v>
      </c>
      <c r="AA36" t="str">
        <f>_xll.BDP("3074 HK Equity","FUND_GEO_FOCUS")</f>
        <v>Taiwan</v>
      </c>
      <c r="AB36" t="str">
        <f>_xll.BDP("3074 HK Equity","FUND_ASSET_CLASS_FOCUS")</f>
        <v>Equity</v>
      </c>
      <c r="AC36">
        <f>_xll.BDP("3074 HK Equity","PX_LAST")</f>
        <v>472</v>
      </c>
      <c r="AD36">
        <f>_xll.BDP("3074 HK Equity","PX388","PX395=TIME_WAVG_BID_ASK_SPREAD_PCT","DY262=D","PY204=N","PX391=20260601","PX392=20260626")</f>
        <v>0.1710923515132268</v>
      </c>
      <c r="AE36">
        <f>_xll.BDP("3074 HK Equity","PX388","PX395=AVERAGE_BID_ASK_SPREAD_%","DY262=D","PY204=N","PX391=20260601","PX392=20260626")</f>
        <v>0.23998400311459767</v>
      </c>
    </row>
    <row r="37" spans="1:31" x14ac:dyDescent="0.25">
      <c r="A37" t="s">
        <v>62</v>
      </c>
      <c r="B37" t="str">
        <f>_xll.BDP("3437 HK Equity","LONG_COMP_NAME")</f>
        <v>Bosera China Reform Hong Kong Central-SOEs High Dividend Yield Index ETF</v>
      </c>
      <c r="C37">
        <f>_xll.BDP("3437 HK Equity","PX385","PX395=FUND_FLOW","DY262=D","PY204=N","PX391=20260622","PX392=20260626","DS004=USD")</f>
        <v>2.4201209091140985</v>
      </c>
      <c r="D37">
        <f>_xll.BDP("3437 HK Equity","PX388","PX395=TURNOVER","DY262=D","PY204=N","PX391=20260601","PX392=20260626","DS004=HKD")</f>
        <v>5700064.4210526319</v>
      </c>
      <c r="E37">
        <f>_xll.BDP("3437 HK Equity","PX388","PX395=TURNOVER","DY262=D","PY204=N","PX391=20250101","PX392=20251231","DS004=HKD")</f>
        <v>5100063.0353658516</v>
      </c>
      <c r="F37">
        <f>_xll.BDP("3437 HK Equity","PX596","PX395=FUND_TOTAL_ASSETS","DY262=D","PY204=N","PX391=20260626","PX392=20260626","DS004=USD")</f>
        <v>107.836686807671</v>
      </c>
      <c r="G37">
        <f>_xll.BDP("3437 HK Equity","PX388","PX395=CUR_MKT_CAP","DY262=D","PY204=N","PX391=20260626","PX392=20260626","DS004=HKD")</f>
        <v>846.35099999999989</v>
      </c>
      <c r="H37" t="str">
        <f>_xll.BDP("3437 HK Equity","FUND_LEVERAGE_TYPE")</f>
        <v>#N/A N/A</v>
      </c>
      <c r="I37">
        <f>_xll.BDP("3437 HK Equity","PX388","PX395=TURNOVER","DY262=D","PY204=N","PX391=20260101","PX392=20260131","DS004=HKD")</f>
        <v>5943088.0952380951</v>
      </c>
      <c r="J37">
        <v>-1</v>
      </c>
      <c r="K37" t="str">
        <f>_xll.BDP("3437 HK Equity","FUND_INCEPT_DT")</f>
        <v>7/9/2024</v>
      </c>
      <c r="L37" t="str">
        <f>_xll.BDP("3437 HK Equity","PX388","PX395=TURNOVER_EXCH_RATIO","DY262=D","PY204=N","PX391=20251201","PX392=20251210")</f>
        <v>#N/A N/A</v>
      </c>
      <c r="M37">
        <f>_xll.BDP("3437 HK Equity","EQY_SH_OUT")</f>
        <v>91.3</v>
      </c>
      <c r="N37">
        <f>_xll.BDP("3437 HK Equity","EQY_TRR_PCT_YTD")</f>
        <v>-3.5957110000000001</v>
      </c>
      <c r="O37">
        <f>_xll.BDP("3437 HK Equity","CHG_PCT_YTD")</f>
        <v>-6.205851</v>
      </c>
      <c r="P37">
        <f>_xll.BDP("3437 HK Equity","CHG_PCT_1M")</f>
        <v>-10.882070000000001</v>
      </c>
      <c r="Q37" t="str">
        <f>_xll.BDP("3437 HK Equity","LISTING_DATE")</f>
        <v>7/10/2024</v>
      </c>
      <c r="R37" t="str">
        <f>_xll.BDP("3437 HK Equity","FUND_INCEPT_DT")</f>
        <v>7/9/2024</v>
      </c>
      <c r="S37">
        <f>_xll.BDP("3437 HK Equity","AVG_DAILY_VALUE_TRADED_3M")</f>
        <v>4965593</v>
      </c>
      <c r="T37" t="str">
        <f>_xll.BDP("3437 HK Equity","PX596","PX395=HISTORICAL_MARKET_CAP","DY262=D","PY204=N","PX391=20231231","PX392=20231231","DS004=HKD")</f>
        <v>#N/A N/A</v>
      </c>
      <c r="U37">
        <f>_xll.BDP("3437 HK Equity","PX385","PX395=FUND_FLOW","DY262=D","PY204=N","PX391=20240102","PX392=20240930","DS004=HKD")</f>
        <v>4.9136499999999996</v>
      </c>
      <c r="V37">
        <f>_xll.BDP("3437 HK Equity","PX596","PX395=CUR_MKT_CAP","DY262=D","PY204=N","PX391=20240101","DS004=HKD")</f>
        <v>660.99700000000007</v>
      </c>
      <c r="W37" t="str">
        <f>_xll.BDP("3437 HK Equity","FUND_INCEPT_DT")</f>
        <v>7/9/2024</v>
      </c>
      <c r="X37" t="str">
        <f>_xll.BDP("3437 HK Equity","PX388","PX395=TURNOVER","DY262=D","PY204=N","PX391=20240502","PX392=20240606","DS004=HKD")</f>
        <v>#N/A N/A</v>
      </c>
      <c r="Y37" t="str">
        <f>_xll.BDP("3437 HK Equity","PARENT_COMP_NAME")</f>
        <v>Bosera Asset Management Intern</v>
      </c>
      <c r="Z37" t="str">
        <f>_xll.BDP("3437 HK Equity","NAV_CRNCY")</f>
        <v>HKD</v>
      </c>
      <c r="AA37" t="str">
        <f>_xll.BDP("3437 HK Equity","FUND_GEO_FOCUS")</f>
        <v>Greater China</v>
      </c>
      <c r="AB37" t="str">
        <f>_xll.BDP("3437 HK Equity","FUND_ASSET_CLASS_FOCUS")</f>
        <v>Equity</v>
      </c>
      <c r="AC37">
        <f>_xll.BDP("3437 HK Equity","PX_LAST")</f>
        <v>9.2949999999999999</v>
      </c>
      <c r="AD37">
        <f>_xll.BDP("3437 HK Equity","PX388","PX395=TIME_WAVG_BID_ASK_SPREAD_PCT","DY262=D","PY204=N","PX391=20260601","PX392=20260626")</f>
        <v>0.19671020122767591</v>
      </c>
      <c r="AE37">
        <f>_xll.BDP("3437 HK Equity","PX388","PX395=AVERAGE_BID_ASK_SPREAD_%","DY262=D","PY204=N","PX391=20260601","PX392=20260626")</f>
        <v>0.24497784841023282</v>
      </c>
    </row>
    <row r="38" spans="1:31" x14ac:dyDescent="0.25">
      <c r="A38" t="s">
        <v>63</v>
      </c>
      <c r="B38" t="str">
        <f>_xll.BDP("3132 HK Equity","LONG_COMP_NAME")</f>
        <v>Samsung Bloomberg Global Semiconductor ETF</v>
      </c>
      <c r="C38">
        <f>_xll.BDP("3132 HK Equity","PX385","PX395=FUND_FLOW","DY262=D","PY204=N","PX391=20260622","PX392=20260626","DS004=USD")</f>
        <v>2.1942960081622243</v>
      </c>
      <c r="D38">
        <f>_xll.BDP("3132 HK Equity","PX388","PX395=TURNOVER","DY262=D","PY204=N","PX391=20260601","PX392=20260626","DS004=HKD")</f>
        <v>6523327.8947368423</v>
      </c>
      <c r="E38">
        <f>_xll.BDP("3132 HK Equity","PX388","PX395=TURNOVER","DY262=D","PY204=N","PX391=20250101","PX392=20251231","DS004=HKD")</f>
        <v>357391.35810699576</v>
      </c>
      <c r="F38">
        <f>_xll.BDP("3132 HK Equity","PX596","PX395=FUND_TOTAL_ASSETS","DY262=D","PY204=N","PX391=20260626","PX392=20260626","DS004=USD")</f>
        <v>30.60181704</v>
      </c>
      <c r="G38">
        <f>_xll.BDP("3132 HK Equity","PX388","PX395=CUR_MKT_CAP","DY262=D","PY204=N","PX391=20260626","PX392=20260626","DS004=HKD")</f>
        <v>245.91000000000003</v>
      </c>
      <c r="H38" t="str">
        <f>_xll.BDP("3132 HK Equity","FUND_LEVERAGE_TYPE")</f>
        <v>#N/A N/A</v>
      </c>
      <c r="I38">
        <f>_xll.BDP("3132 HK Equity","PX388","PX395=TURNOVER","DY262=D","PY204=N","PX391=20260101","PX392=20260131","DS004=HKD")</f>
        <v>1823902.5523809525</v>
      </c>
      <c r="J38">
        <v>-1</v>
      </c>
      <c r="K38" t="str">
        <f>_xll.BDP("3132 HK Equity","FUND_INCEPT_DT")</f>
        <v>11/9/2021</v>
      </c>
      <c r="L38" t="str">
        <f>_xll.BDP("3132 HK Equity","PX388","PX395=TURNOVER_EXCH_RATIO","DY262=D","PY204=N","PX391=20251201","PX392=20251210")</f>
        <v>#N/A N/A</v>
      </c>
      <c r="M38">
        <f>_xll.BDP("3132 HK Equity","EQY_SH_OUT")</f>
        <v>3.5</v>
      </c>
      <c r="N38">
        <f>_xll.BDP("3132 HK Equity","EQY_TRR_PCT_YTD")</f>
        <v>90.470089999999999</v>
      </c>
      <c r="O38">
        <f>_xll.BDP("3132 HK Equity","CHG_PCT_YTD")</f>
        <v>86.04898</v>
      </c>
      <c r="P38">
        <f>_xll.BDP("3132 HK Equity","CHG_PCT_1M")</f>
        <v>2.674115</v>
      </c>
      <c r="Q38" t="str">
        <f>_xll.BDP("3132 HK Equity","LISTING_DATE")</f>
        <v>11/9/2021</v>
      </c>
      <c r="R38" t="str">
        <f>_xll.BDP("3132 HK Equity","FUND_INCEPT_DT")</f>
        <v>11/9/2021</v>
      </c>
      <c r="S38">
        <f>_xll.BDP("3132 HK Equity","AVG_DAILY_VALUE_TRADED_3M")</f>
        <v>4691554</v>
      </c>
      <c r="T38" t="str">
        <f>_xll.BDP("3132 HK Equity","PX596","PX395=HISTORICAL_MARKET_CAP","DY262=D","PY204=N","PX391=20231231","PX392=20231231","DS004=HKD")</f>
        <v>#N/A N/A</v>
      </c>
      <c r="U38">
        <f>_xll.BDP("3132 HK Equity","PX385","PX395=FUND_FLOW","DY262=D","PY204=N","PX391=20240102","PX392=20240930","DS004=HKD")</f>
        <v>-25.5779</v>
      </c>
      <c r="V38">
        <f>_xll.BDP("3132 HK Equity","PX596","PX395=CUR_MKT_CAP","DY262=D","PY204=N","PX391=20240101","DS004=HKD")</f>
        <v>65.73</v>
      </c>
      <c r="W38" t="str">
        <f>_xll.BDP("3132 HK Equity","FUND_INCEPT_DT")</f>
        <v>11/9/2021</v>
      </c>
      <c r="X38">
        <f>_xll.BDP("3132 HK Equity","PX388","PX395=TURNOVER","DY262=D","PY204=N","PX391=20240502","PX392=20240606","DS004=HKD")</f>
        <v>617904.3679999999</v>
      </c>
      <c r="Y38" t="str">
        <f>_xll.BDP("3132 HK Equity","PARENT_COMP_NAME")</f>
        <v>Samsung Asset Management Hong</v>
      </c>
      <c r="Z38" t="str">
        <f>_xll.BDP("3132 HK Equity","NAV_CRNCY")</f>
        <v>HKD</v>
      </c>
      <c r="AA38" t="str">
        <f>_xll.BDP("3132 HK Equity","FUND_GEO_FOCUS")</f>
        <v>Global</v>
      </c>
      <c r="AB38" t="str">
        <f>_xll.BDP("3132 HK Equity","FUND_ASSET_CLASS_FOCUS")</f>
        <v>Equity</v>
      </c>
      <c r="AC38">
        <f>_xll.BDP("3132 HK Equity","PX_LAST")</f>
        <v>69.88</v>
      </c>
      <c r="AD38">
        <f>_xll.BDP("3132 HK Equity","PX388","PX395=TIME_WAVG_BID_ASK_SPREAD_PCT","DY262=D","PY204=N","PX391=20260601","PX392=20260626")</f>
        <v>0.37199977625634661</v>
      </c>
      <c r="AE38">
        <f>_xll.BDP("3132 HK Equity","PX388","PX395=AVERAGE_BID_ASK_SPREAD_%","DY262=D","PY204=N","PX391=20260601","PX392=20260626")</f>
        <v>0.55871239766459158</v>
      </c>
    </row>
    <row r="39" spans="1:31" x14ac:dyDescent="0.25">
      <c r="A39" t="s">
        <v>64</v>
      </c>
      <c r="B39" t="str">
        <f>_xll.BDP("3190 HK Equity","LONG_COMP_NAME")</f>
        <v>Fubon Shanghai-Shenzhen-Hong Kong High Dividend Yield ETF</v>
      </c>
      <c r="C39">
        <f>_xll.BDP("3190 HK Equity","PX385","PX395=FUND_FLOW","DY262=D","PY204=N","PX391=20260622","PX392=20260626","DS004=USD")</f>
        <v>2.1731755222814608</v>
      </c>
      <c r="D39">
        <f>_xll.BDP("3190 HK Equity","PX388","PX395=TURNOVER","DY262=D","PY204=N","PX391=20260601","PX392=20260626","DS004=HKD")</f>
        <v>7884079.5263157906</v>
      </c>
      <c r="E39">
        <f>_xll.BDP("3190 HK Equity","PX388","PX395=TURNOVER","DY262=D","PY204=N","PX391=20250101","PX392=20251231","DS004=HKD")</f>
        <v>2647946.7288617892</v>
      </c>
      <c r="F39">
        <f>_xll.BDP("3190 HK Equity","PX596","PX395=FUND_TOTAL_ASSETS","DY262=D","PY204=N","PX391=20260626","PX392=20260626","DS004=USD")</f>
        <v>93.431513963096606</v>
      </c>
      <c r="G39">
        <f>_xll.BDP("3190 HK Equity","PX388","PX395=CUR_MKT_CAP","DY262=D","PY204=N","PX391=20260626","PX392=20260626","DS004=HKD")</f>
        <v>666.43010600000002</v>
      </c>
      <c r="H39" t="str">
        <f>_xll.BDP("3190 HK Equity","FUND_LEVERAGE_TYPE")</f>
        <v>#N/A N/A</v>
      </c>
      <c r="I39">
        <f>_xll.BDP("3190 HK Equity","PX388","PX395=TURNOVER","DY262=D","PY204=N","PX391=20260101","PX392=20260131","DS004=HKD")</f>
        <v>4344969.4761904767</v>
      </c>
      <c r="J39">
        <v>-1</v>
      </c>
      <c r="K39" t="str">
        <f>_xll.BDP("3190 HK Equity","FUND_INCEPT_DT")</f>
        <v>7/6/2022</v>
      </c>
      <c r="L39" t="str">
        <f>_xll.BDP("3190 HK Equity","PX388","PX395=TURNOVER_EXCH_RATIO","DY262=D","PY204=N","PX391=20251201","PX392=20251210")</f>
        <v>#N/A N/A</v>
      </c>
      <c r="M39">
        <f>_xll.BDP("3190 HK Equity","EQY_SH_OUT")</f>
        <v>43.246600000000001</v>
      </c>
      <c r="N39">
        <f>_xll.BDP("3190 HK Equity","EQY_TRR_PCT_YTD")</f>
        <v>-2.4628589999999999</v>
      </c>
      <c r="O39">
        <f>_xll.BDP("3190 HK Equity","CHG_PCT_YTD")</f>
        <v>-5.5691560000000004</v>
      </c>
      <c r="P39">
        <f>_xll.BDP("3190 HK Equity","CHG_PCT_1M")</f>
        <v>-11.32184</v>
      </c>
      <c r="Q39" t="str">
        <f>_xll.BDP("3190 HK Equity","LISTING_DATE")</f>
        <v>7/8/2022</v>
      </c>
      <c r="R39" t="str">
        <f>_xll.BDP("3190 HK Equity","FUND_INCEPT_DT")</f>
        <v>7/6/2022</v>
      </c>
      <c r="S39">
        <f>_xll.BDP("3190 HK Equity","AVG_DAILY_VALUE_TRADED_3M")</f>
        <v>6073054</v>
      </c>
      <c r="T39" t="str">
        <f>_xll.BDP("3190 HK Equity","PX596","PX395=HISTORICAL_MARKET_CAP","DY262=D","PY204=N","PX391=20231231","PX392=20231231","DS004=HKD")</f>
        <v>#N/A N/A</v>
      </c>
      <c r="U39">
        <f>_xll.BDP("3190 HK Equity","PX385","PX395=FUND_FLOW","DY262=D","PY204=N","PX391=20240102","PX392=20240930","DS004=HKD")</f>
        <v>17.742719999999998</v>
      </c>
      <c r="V39">
        <f>_xll.BDP("3190 HK Equity","PX596","PX395=CUR_MKT_CAP","DY262=D","PY204=N","PX391=20240101","DS004=HKD")</f>
        <v>423.967444</v>
      </c>
      <c r="W39" t="str">
        <f>_xll.BDP("3190 HK Equity","FUND_INCEPT_DT")</f>
        <v>7/6/2022</v>
      </c>
      <c r="X39">
        <f>_xll.BDP("3190 HK Equity","PX388","PX395=TURNOVER","DY262=D","PY204=N","PX391=20240502","PX392=20240606","DS004=HKD")</f>
        <v>890566.88</v>
      </c>
      <c r="Y39" t="str">
        <f>_xll.BDP("3190 HK Equity","PARENT_COMP_NAME")</f>
        <v>Fubon Fund Management Hong Kon</v>
      </c>
      <c r="Z39" t="str">
        <f>_xll.BDP("3190 HK Equity","NAV_CRNCY")</f>
        <v>HKD</v>
      </c>
      <c r="AA39" t="str">
        <f>_xll.BDP("3190 HK Equity","FUND_GEO_FOCUS")</f>
        <v>Global</v>
      </c>
      <c r="AB39" t="str">
        <f>_xll.BDP("3190 HK Equity","FUND_ASSET_CLASS_FOCUS")</f>
        <v>Equity</v>
      </c>
      <c r="AC39">
        <f>_xll.BDP("3190 HK Equity","PX_LAST")</f>
        <v>15.43</v>
      </c>
      <c r="AD39">
        <f>_xll.BDP("3190 HK Equity","PX388","PX395=TIME_WAVG_BID_ASK_SPREAD_PCT","DY262=D","PY204=N","PX391=20260601","PX392=20260626")</f>
        <v>0.14568565990334895</v>
      </c>
      <c r="AE39">
        <f>_xll.BDP("3190 HK Equity","PX388","PX395=AVERAGE_BID_ASK_SPREAD_%","DY262=D","PY204=N","PX391=20260601","PX392=20260626")</f>
        <v>0.17999080904962078</v>
      </c>
    </row>
    <row r="40" spans="1:31" x14ac:dyDescent="0.25">
      <c r="A40" t="s">
        <v>65</v>
      </c>
      <c r="B40" t="str">
        <f>_xll.BDP("7515 HK Equity","LONG_COMP_NAME")</f>
        <v>CSOP Nikkei 225 Daily -2x Inverse Product</v>
      </c>
      <c r="C40">
        <f>_xll.BDP("7515 HK Equity","PX385","PX395=FUND_FLOW","DY262=D","PY204=N","PX391=20260622","PX392=20260626","DS004=USD")</f>
        <v>1.6302599009900962</v>
      </c>
      <c r="D40">
        <f>_xll.BDP("7515 HK Equity","PX388","PX395=TURNOVER","DY262=D","PY204=N","PX391=20260601","PX392=20260626","DS004=HKD")</f>
        <v>12066194.684210526</v>
      </c>
      <c r="E40">
        <f>_xll.BDP("7515 HK Equity","PX388","PX395=TURNOVER","DY262=D","PY204=N","PX391=20250101","PX392=20251231","DS004=HKD")</f>
        <v>4883825.9471544707</v>
      </c>
      <c r="F40">
        <f>_xll.BDP("7515 HK Equity","PX596","PX395=FUND_TOTAL_ASSETS","DY262=D","PY204=N","PX391=20260626","PX392=20260626","DS004=USD")</f>
        <v>26.133973562252724</v>
      </c>
      <c r="G40">
        <f>_xll.BDP("7515 HK Equity","PX388","PX395=CUR_MKT_CAP","DY262=D","PY204=N","PX391=20260626","PX392=20260626","DS004=HKD")</f>
        <v>203.48999999999998</v>
      </c>
      <c r="H40" t="str">
        <f>_xll.BDP("7515 HK Equity","FUND_LEVERAGE_TYPE")</f>
        <v>Short</v>
      </c>
      <c r="I40">
        <f>_xll.BDP("7515 HK Equity","PX388","PX395=TURNOVER","DY262=D","PY204=N","PX391=20260101","PX392=20260131","DS004=HKD")</f>
        <v>7292024.2380952397</v>
      </c>
      <c r="J40">
        <v>-1</v>
      </c>
      <c r="K40" t="str">
        <f>_xll.BDP("7515 HK Equity","FUND_INCEPT_DT")</f>
        <v>5/29/2024</v>
      </c>
      <c r="L40" t="str">
        <f>_xll.BDP("7515 HK Equity","PX388","PX395=TURNOVER_EXCH_RATIO","DY262=D","PY204=N","PX391=20251201","PX392=20251210")</f>
        <v>#N/A N/A</v>
      </c>
      <c r="M40">
        <f>_xll.BDP("7515 HK Equity","EQY_SH_OUT")</f>
        <v>16.149999999999999</v>
      </c>
      <c r="N40">
        <f>_xll.BDP("7515 HK Equity","EQY_TRR_PCT_YTD")</f>
        <v>-56.12838</v>
      </c>
      <c r="O40">
        <f>_xll.BDP("7515 HK Equity","CHG_PCT_YTD")</f>
        <v>-57.336039999999997</v>
      </c>
      <c r="P40">
        <f>_xll.BDP("7515 HK Equity","CHG_PCT_1M")</f>
        <v>-14.149660000000001</v>
      </c>
      <c r="Q40" t="str">
        <f>_xll.BDP("7515 HK Equity","LISTING_DATE")</f>
        <v>5/29/2024</v>
      </c>
      <c r="R40" t="str">
        <f>_xll.BDP("7515 HK Equity","FUND_INCEPT_DT")</f>
        <v>5/29/2024</v>
      </c>
      <c r="S40">
        <f>_xll.BDP("7515 HK Equity","AVG_DAILY_VALUE_TRADED_3M")</f>
        <v>12102700</v>
      </c>
      <c r="T40" t="str">
        <f>_xll.BDP("7515 HK Equity","PX596","PX395=HISTORICAL_MARKET_CAP","DY262=D","PY204=N","PX391=20231231","PX392=20231231","DS004=HKD")</f>
        <v>#N/A N/A</v>
      </c>
      <c r="U40">
        <f>_xll.BDP("7515 HK Equity","PX385","PX395=FUND_FLOW","DY262=D","PY204=N","PX391=20240102","PX392=20240930","DS004=HKD")</f>
        <v>74.307346919977604</v>
      </c>
      <c r="V40">
        <f>_xll.BDP("7515 HK Equity","PX596","PX395=CUR_MKT_CAP","DY262=D","PY204=N","PX391=20240101","DS004=HKD")</f>
        <v>201.14399999999998</v>
      </c>
      <c r="W40" t="str">
        <f>_xll.BDP("7515 HK Equity","FUND_INCEPT_DT")</f>
        <v>5/29/2024</v>
      </c>
      <c r="X40">
        <f>_xll.BDP("7515 HK Equity","PX388","PX395=TURNOVER","DY262=D","PY204=N","PX391=20240502","PX392=20240606","DS004=HKD")</f>
        <v>21252195.971428573</v>
      </c>
      <c r="Y40" t="str">
        <f>_xll.BDP("7515 HK Equity","PARENT_COMP_NAME")</f>
        <v>CSOP Asset Management Ltd/Hong</v>
      </c>
      <c r="Z40" t="str">
        <f>_xll.BDP("7515 HK Equity","NAV_CRNCY")</f>
        <v>JPY</v>
      </c>
      <c r="AA40" t="str">
        <f>_xll.BDP("7515 HK Equity","FUND_GEO_FOCUS")</f>
        <v>Japan</v>
      </c>
      <c r="AB40" t="str">
        <f>_xll.BDP("7515 HK Equity","FUND_ASSET_CLASS_FOCUS")</f>
        <v>Specialty</v>
      </c>
      <c r="AC40">
        <f>_xll.BDP("7515 HK Equity","PX_LAST")</f>
        <v>12.62</v>
      </c>
      <c r="AD40">
        <f>_xll.BDP("7515 HK Equity","PX388","PX395=TIME_WAVG_BID_ASK_SPREAD_PCT","DY262=D","PY204=N","PX391=20260601","PX392=20260626")</f>
        <v>0.19033176014128214</v>
      </c>
      <c r="AE40">
        <f>_xll.BDP("7515 HK Equity","PX388","PX395=AVERAGE_BID_ASK_SPREAD_%","DY262=D","PY204=N","PX391=20260601","PX392=20260626")</f>
        <v>0.20543958527590298</v>
      </c>
    </row>
    <row r="41" spans="1:31" x14ac:dyDescent="0.25">
      <c r="A41" t="s">
        <v>66</v>
      </c>
      <c r="B41" t="str">
        <f>_xll.BDP("3509 HK Equity","LONG_COMP_NAME")</f>
        <v>E Fund HK FTSE MPF China A ETF</v>
      </c>
      <c r="C41">
        <f>_xll.BDP("3509 HK Equity","PX385","PX395=FUND_FLOW","DY262=D","PY204=N","PX391=20260622","PX392=20260626","DS004=USD")</f>
        <v>1.5875240911565223</v>
      </c>
      <c r="D41">
        <f>_xll.BDP("3509 HK Equity","PX388","PX395=TURNOVER","DY262=D","PY204=N","PX391=20260601","PX392=20260626","DS004=HKD")</f>
        <v>2750320.875</v>
      </c>
      <c r="E41" t="str">
        <f>_xll.BDP("3509 HK Equity","PX388","PX395=TURNOVER","DY262=D","PY204=N","PX391=20250101","PX392=20251231","DS004=HKD")</f>
        <v>#N/A N/A</v>
      </c>
      <c r="F41">
        <f>_xll.BDP("3509 HK Equity","PX596","PX395=FUND_TOTAL_ASSETS","DY262=D","PY204=N","PX391=20260626","PX392=20260626","DS004=USD")</f>
        <v>4.6246761810212966</v>
      </c>
      <c r="G41">
        <f>_xll.BDP("3509 HK Equity","PX388","PX395=CUR_MKT_CAP","DY262=D","PY204=N","PX391=20260626","PX392=20260626","DS004=HKD")</f>
        <v>36.119999999999997</v>
      </c>
      <c r="H41" t="str">
        <f>_xll.BDP("3509 HK Equity","FUND_LEVERAGE_TYPE")</f>
        <v>#N/A N/A</v>
      </c>
      <c r="I41" t="str">
        <f>_xll.BDP("3509 HK Equity","PX388","PX395=TURNOVER","DY262=D","PY204=N","PX391=20260101","PX392=20260131","DS004=HKD")</f>
        <v>#N/A N/A</v>
      </c>
      <c r="J41" t="s">
        <v>31</v>
      </c>
      <c r="K41" t="str">
        <f>_xll.BDP("3509 HK Equity","FUND_INCEPT_DT")</f>
        <v>6/23/2026</v>
      </c>
      <c r="L41" t="str">
        <f>_xll.BDP("3509 HK Equity","PX388","PX395=TURNOVER_EXCH_RATIO","DY262=D","PY204=N","PX391=20251201","PX392=20251210")</f>
        <v>#N/A N/A</v>
      </c>
      <c r="M41">
        <f>_xll.BDP("3509 HK Equity","EQY_SH_OUT")</f>
        <v>4.8</v>
      </c>
      <c r="N41" t="str">
        <f>_xll.BDP("3509 HK Equity","EQY_TRR_PCT_YTD")</f>
        <v>#N/A N/A</v>
      </c>
      <c r="O41" t="str">
        <f>_xll.BDP("3509 HK Equity","CHG_PCT_YTD")</f>
        <v>#N/A N/A</v>
      </c>
      <c r="P41" t="str">
        <f>_xll.BDP("3509 HK Equity","CHG_PCT_1M")</f>
        <v>#N/A N/A</v>
      </c>
      <c r="Q41" t="str">
        <f>_xll.BDP("3509 HK Equity","LISTING_DATE")</f>
        <v>6/23/2026</v>
      </c>
      <c r="R41" t="str">
        <f>_xll.BDP("3509 HK Equity","FUND_INCEPT_DT")</f>
        <v>6/23/2026</v>
      </c>
      <c r="S41" t="str">
        <f>_xll.BDP("3509 HK Equity","AVG_DAILY_VALUE_TRADED_3M")</f>
        <v>#N/A N/A</v>
      </c>
      <c r="T41" t="str">
        <f>_xll.BDP("3509 HK Equity","PX596","PX395=HISTORICAL_MARKET_CAP","DY262=D","PY204=N","PX391=20231231","PX392=20231231","DS004=HKD")</f>
        <v>#N/A N/A</v>
      </c>
      <c r="U41" t="str">
        <f>_xll.BDP("3509 HK Equity","PX385","PX395=FUND_FLOW","DY262=D","PY204=N","PX391=20240102","PX392=20240930","DS004=HKD")</f>
        <v>#N/A N/A</v>
      </c>
      <c r="V41" t="str">
        <f>_xll.BDP("3509 HK Equity","PX596","PX395=CUR_MKT_CAP","DY262=D","PY204=N","PX391=20240101","DS004=HKD")</f>
        <v>#N/A N/A</v>
      </c>
      <c r="W41" t="str">
        <f>_xll.BDP("3509 HK Equity","FUND_INCEPT_DT")</f>
        <v>6/23/2026</v>
      </c>
      <c r="X41" t="str">
        <f>_xll.BDP("3509 HK Equity","PX388","PX395=TURNOVER","DY262=D","PY204=N","PX391=20240502","PX392=20240606","DS004=HKD")</f>
        <v>#N/A N/A</v>
      </c>
      <c r="Y41" t="str">
        <f>_xll.BDP("3509 HK Equity","PARENT_COMP_NAME")</f>
        <v>E Fund Management Hong Kong Co</v>
      </c>
      <c r="Z41" t="str">
        <f>_xll.BDP("3509 HK Equity","NAV_CRNCY")</f>
        <v>CNY</v>
      </c>
      <c r="AA41" t="str">
        <f>_xll.BDP("3509 HK Equity","FUND_GEO_FOCUS")</f>
        <v>Greater China</v>
      </c>
      <c r="AB41" t="str">
        <f>_xll.BDP("3509 HK Equity","FUND_ASSET_CLASS_FOCUS")</f>
        <v>Equity</v>
      </c>
      <c r="AC41">
        <f>_xll.BDP("3509 HK Equity","PX_LAST")</f>
        <v>7.625</v>
      </c>
      <c r="AD41">
        <f>_xll.BDP("3509 HK Equity","PX388","PX395=TIME_WAVG_BID_ASK_SPREAD_PCT","DY262=D","PY204=N","PX391=20260601","PX392=20260626")</f>
        <v>0.60077563287573055</v>
      </c>
      <c r="AE41">
        <f>_xll.BDP("3509 HK Equity","PX388","PX395=AVERAGE_BID_ASK_SPREAD_%","DY262=D","PY204=N","PX391=20260601","PX392=20260626")</f>
        <v>1.4022911949525401</v>
      </c>
    </row>
    <row r="42" spans="1:31" x14ac:dyDescent="0.25">
      <c r="A42" t="s">
        <v>67</v>
      </c>
      <c r="B42" t="str">
        <f>_xll.BDP("3589 HK Equity","LONG_COMP_NAME")</f>
        <v>Hang Seng TECH Covered Call Active ETF</v>
      </c>
      <c r="C42">
        <f>_xll.BDP("3589 HK Equity","PX385","PX395=FUND_FLOW","DY262=D","PY204=N","PX391=20260622","PX392=20260626","DS004=USD")</f>
        <v>1.015432492411295</v>
      </c>
      <c r="D42">
        <f>_xll.BDP("3589 HK Equity","PX388","PX395=TURNOVER","DY262=D","PY204=N","PX391=20260601","PX392=20260626","DS004=HKD")</f>
        <v>1970087.2736842106</v>
      </c>
      <c r="E42" t="str">
        <f>_xll.BDP("3589 HK Equity","PX388","PX395=TURNOVER","DY262=D","PY204=N","PX391=20250101","PX392=20251231","DS004=HKD")</f>
        <v>#N/A N/A</v>
      </c>
      <c r="F42">
        <f>_xll.BDP("3589 HK Equity","PX596","PX395=FUND_TOTAL_ASSETS","DY262=D","PY204=N","PX391=20260626","PX392=20260626","DS004=USD")</f>
        <v>5.8184228790757571</v>
      </c>
      <c r="G42">
        <f>_xll.BDP("3589 HK Equity","PX388","PX395=CUR_MKT_CAP","DY262=D","PY204=N","PX391=20260626","PX392=20260626","DS004=HKD")</f>
        <v>45.87</v>
      </c>
      <c r="H42" t="str">
        <f>_xll.BDP("3589 HK Equity","FUND_LEVERAGE_TYPE")</f>
        <v>#N/A N/A</v>
      </c>
      <c r="I42" t="str">
        <f>_xll.BDP("3589 HK Equity","PX388","PX395=TURNOVER","DY262=D","PY204=N","PX391=20260101","PX392=20260131","DS004=HKD")</f>
        <v>#N/A N/A</v>
      </c>
      <c r="J42" t="s">
        <v>31</v>
      </c>
      <c r="K42" t="str">
        <f>_xll.BDP("3589 HK Equity","FUND_INCEPT_DT")</f>
        <v>5/5/2026</v>
      </c>
      <c r="L42" t="str">
        <f>_xll.BDP("3589 HK Equity","PX388","PX395=TURNOVER_EXCH_RATIO","DY262=D","PY204=N","PX391=20251201","PX392=20251210")</f>
        <v>#N/A N/A</v>
      </c>
      <c r="M42">
        <f>_xll.BDP("3589 HK Equity","EQY_SH_OUT")</f>
        <v>6</v>
      </c>
      <c r="N42" t="str">
        <f>_xll.BDP("3589 HK Equity","EQY_TRR_PCT_YTD")</f>
        <v>#N/A N/A</v>
      </c>
      <c r="O42" t="str">
        <f>_xll.BDP("3589 HK Equity","CHG_PCT_YTD")</f>
        <v>#N/A N/A</v>
      </c>
      <c r="P42">
        <f>_xll.BDP("3589 HK Equity","CHG_PCT_1M")</f>
        <v>-9.3894040000000007</v>
      </c>
      <c r="Q42" t="str">
        <f>_xll.BDP("3589 HK Equity","LISTING_DATE")</f>
        <v>5/8/2026</v>
      </c>
      <c r="R42" t="str">
        <f>_xll.BDP("3589 HK Equity","FUND_INCEPT_DT")</f>
        <v>5/5/2026</v>
      </c>
      <c r="S42" t="str">
        <f>_xll.BDP("3589 HK Equity","AVG_DAILY_VALUE_TRADED_3M")</f>
        <v>#N/A N/A</v>
      </c>
      <c r="T42" t="str">
        <f>_xll.BDP("3589 HK Equity","PX596","PX395=HISTORICAL_MARKET_CAP","DY262=D","PY204=N","PX391=20231231","PX392=20231231","DS004=HKD")</f>
        <v>#N/A N/A</v>
      </c>
      <c r="U42" t="str">
        <f>_xll.BDP("3589 HK Equity","PX385","PX395=FUND_FLOW","DY262=D","PY204=N","PX391=20240102","PX392=20240930","DS004=HKD")</f>
        <v>#N/A N/A</v>
      </c>
      <c r="V42" t="str">
        <f>_xll.BDP("3589 HK Equity","PX596","PX395=CUR_MKT_CAP","DY262=D","PY204=N","PX391=20240101","DS004=HKD")</f>
        <v>#N/A N/A</v>
      </c>
      <c r="W42" t="str">
        <f>_xll.BDP("3589 HK Equity","FUND_INCEPT_DT")</f>
        <v>5/5/2026</v>
      </c>
      <c r="X42" t="str">
        <f>_xll.BDP("3589 HK Equity","PX388","PX395=TURNOVER","DY262=D","PY204=N","PX391=20240502","PX392=20240606","DS004=HKD")</f>
        <v>#N/A N/A</v>
      </c>
      <c r="Y42" t="str">
        <f>_xll.BDP("3589 HK Equity","PARENT_COMP_NAME")</f>
        <v>Hang Seng Investment Managemen</v>
      </c>
      <c r="Z42" t="str">
        <f>_xll.BDP("3589 HK Equity","NAV_CRNCY")</f>
        <v>HKD</v>
      </c>
      <c r="AA42" t="str">
        <f>_xll.BDP("3589 HK Equity","FUND_GEO_FOCUS")</f>
        <v>Hong Kong</v>
      </c>
      <c r="AB42" t="str">
        <f>_xll.BDP("3589 HK Equity","FUND_ASSET_CLASS_FOCUS")</f>
        <v>Equity</v>
      </c>
      <c r="AC42">
        <f>_xll.BDP("3589 HK Equity","PX_LAST")</f>
        <v>7.8650000000000002</v>
      </c>
      <c r="AD42">
        <f>_xll.BDP("3589 HK Equity","PX388","PX395=TIME_WAVG_BID_ASK_SPREAD_PCT","DY262=D","PY204=N","PX391=20260601","PX392=20260626")</f>
        <v>0.23060794235273208</v>
      </c>
      <c r="AE42">
        <f>_xll.BDP("3589 HK Equity","PX388","PX395=AVERAGE_BID_ASK_SPREAD_%","DY262=D","PY204=N","PX391=20260601","PX392=20260626")</f>
        <v>0.28292108187126375</v>
      </c>
    </row>
    <row r="43" spans="1:31" x14ac:dyDescent="0.25">
      <c r="A43" t="s">
        <v>68</v>
      </c>
      <c r="B43" t="str">
        <f>_xll.BDP("7799 HK Equity","LONG_COMP_NAME")</f>
        <v>CSOP MicroStrategy Daily 2x Leveraged Product</v>
      </c>
      <c r="C43">
        <f>_xll.BDP("7799 HK Equity","PX385","PX395=FUND_FLOW","DY262=D","PY204=N","PX391=20260622","PX392=20260626","DS004=USD")</f>
        <v>0.76885500967007647</v>
      </c>
      <c r="D43">
        <f>_xll.BDP("7799 HK Equity","PX388","PX395=TURNOVER","DY262=D","PY204=N","PX391=20260601","PX392=20260626","DS004=HKD")</f>
        <v>3044203.1526315785</v>
      </c>
      <c r="E43">
        <f>_xll.BDP("7799 HK Equity","PX388","PX395=TURNOVER","DY262=D","PY204=N","PX391=20250101","PX392=20251231","DS004=HKD")</f>
        <v>1445412.8244791667</v>
      </c>
      <c r="F43">
        <f>_xll.BDP("7799 HK Equity","PX596","PX395=FUND_TOTAL_ASSETS","DY262=D","PY204=N","PX391=20260626","PX392=20260626","DS004=USD")</f>
        <v>2.8295152900000002</v>
      </c>
      <c r="G43">
        <f>_xll.BDP("7799 HK Equity","PX388","PX395=CUR_MKT_CAP","DY262=D","PY204=N","PX391=20260626","PX392=20260626","DS004=HKD")</f>
        <v>22.823891699999997</v>
      </c>
      <c r="H43" t="str">
        <f>_xll.BDP("7799 HK Equity","FUND_LEVERAGE_TYPE")</f>
        <v>Long</v>
      </c>
      <c r="I43">
        <f>_xll.BDP("7799 HK Equity","PX388","PX395=TURNOVER","DY262=D","PY204=N","PX391=20260101","PX392=20260131","DS004=HKD")</f>
        <v>2119581.3047619048</v>
      </c>
      <c r="J43">
        <v>-1</v>
      </c>
      <c r="K43" t="str">
        <f>_xll.BDP("7799 HK Equity","FUND_INCEPT_DT")</f>
        <v>3/24/2025</v>
      </c>
      <c r="L43" t="str">
        <f>_xll.BDP("7799 HK Equity","PX388","PX395=TURNOVER_EXCH_RATIO","DY262=D","PY204=N","PX391=20251201","PX392=20251210")</f>
        <v>#N/A N/A</v>
      </c>
      <c r="M43">
        <f>_xll.BDP("7799 HK Equity","EQY_SH_OUT")</f>
        <v>12.455169999999999</v>
      </c>
      <c r="N43">
        <f>_xll.BDP("7799 HK Equity","EQY_TRR_PCT_YTD")</f>
        <v>-81.212620000000001</v>
      </c>
      <c r="O43">
        <f>_xll.BDP("7799 HK Equity","CHG_PCT_YTD")</f>
        <v>-82.862449999999995</v>
      </c>
      <c r="P43">
        <f>_xll.BDP("7799 HK Equity","CHG_PCT_1M")</f>
        <v>-72.782290000000003</v>
      </c>
      <c r="Q43" t="str">
        <f>_xll.BDP("7799 HK Equity","LISTING_DATE")</f>
        <v>3/24/2025</v>
      </c>
      <c r="R43" t="str">
        <f>_xll.BDP("7799 HK Equity","FUND_INCEPT_DT")</f>
        <v>3/24/2025</v>
      </c>
      <c r="S43">
        <f>_xll.BDP("7799 HK Equity","AVG_DAILY_VALUE_TRADED_3M")</f>
        <v>2530797</v>
      </c>
      <c r="T43" t="str">
        <f>_xll.BDP("7799 HK Equity","PX596","PX395=HISTORICAL_MARKET_CAP","DY262=D","PY204=N","PX391=20231231","PX392=20231231","DS004=HKD")</f>
        <v>#N/A N/A</v>
      </c>
      <c r="U43" t="str">
        <f>_xll.BDP("7799 HK Equity","PX385","PX395=FUND_FLOW","DY262=D","PY204=N","PX391=20240102","PX392=20240930","DS004=HKD")</f>
        <v>#N/A N/A</v>
      </c>
      <c r="V43">
        <f>_xll.BDP("7799 HK Equity","PX596","PX395=CUR_MKT_CAP","DY262=D","PY204=N","PX391=20240101","DS004=HKD")</f>
        <v>22.113629199999998</v>
      </c>
      <c r="W43" t="str">
        <f>_xll.BDP("7799 HK Equity","FUND_INCEPT_DT")</f>
        <v>3/24/2025</v>
      </c>
      <c r="X43" t="str">
        <f>_xll.BDP("7799 HK Equity","PX388","PX395=TURNOVER","DY262=D","PY204=N","PX391=20240502","PX392=20240606","DS004=HKD")</f>
        <v>#N/A N/A</v>
      </c>
      <c r="Y43" t="str">
        <f>_xll.BDP("7799 HK Equity","PARENT_COMP_NAME")</f>
        <v>CSOP Asset Management Ltd/Hong</v>
      </c>
      <c r="Z43" t="str">
        <f>_xll.BDP("7799 HK Equity","NAV_CRNCY")</f>
        <v>HKD</v>
      </c>
      <c r="AA43" t="str">
        <f>_xll.BDP("7799 HK Equity","FUND_GEO_FOCUS")</f>
        <v>U.S.</v>
      </c>
      <c r="AB43" t="str">
        <f>_xll.BDP("7799 HK Equity","FUND_ASSET_CLASS_FOCUS")</f>
        <v>Specialty</v>
      </c>
      <c r="AC43">
        <f>_xll.BDP("7799 HK Equity","PX_LAST")</f>
        <v>1.8440000000000001</v>
      </c>
      <c r="AD43">
        <f>_xll.BDP("7799 HK Equity","PX388","PX395=TIME_WAVG_BID_ASK_SPREAD_PCT","DY262=D","PY204=N","PX391=20260601","PX392=20260626")</f>
        <v>0.4466182148571935</v>
      </c>
      <c r="AE43">
        <f>_xll.BDP("7799 HK Equity","PX388","PX395=AVERAGE_BID_ASK_SPREAD_%","DY262=D","PY204=N","PX391=20260601","PX392=20260626")</f>
        <v>0.56686628971602615</v>
      </c>
    </row>
    <row r="44" spans="1:31" x14ac:dyDescent="0.25">
      <c r="A44" t="s">
        <v>69</v>
      </c>
      <c r="B44" t="str">
        <f>_xll.BDP("3422 HK Equity","LONG_COMP_NAME")</f>
        <v>Global X Innovative Bluechip Top 10 ETF</v>
      </c>
      <c r="C44">
        <f>_xll.BDP("3422 HK Equity","PX385","PX395=FUND_FLOW","DY262=D","PY204=N","PX391=20260622","PX392=20260626","DS004=USD")</f>
        <v>0.61633612223554302</v>
      </c>
      <c r="D44">
        <f>_xll.BDP("3422 HK Equity","PX388","PX395=TURNOVER","DY262=D","PY204=N","PX391=20260601","PX392=20260626","DS004=HKD")</f>
        <v>263911.43333333335</v>
      </c>
      <c r="E44">
        <f>_xll.BDP("3422 HK Equity","PX388","PX395=TURNOVER","DY262=D","PY204=N","PX391=20250101","PX392=20251231","DS004=HKD")</f>
        <v>351337.08338888898</v>
      </c>
      <c r="F44">
        <f>_xll.BDP("3422 HK Equity","PX596","PX395=FUND_TOTAL_ASSETS","DY262=D","PY204=N","PX391=20260626","PX392=20260626","DS004=USD")</f>
        <v>2.0516053200035702</v>
      </c>
      <c r="G44">
        <f>_xll.BDP("3422 HK Equity","PX388","PX395=CUR_MKT_CAP","DY262=D","PY204=N","PX391=20260626","PX392=20260626","DS004=HKD")</f>
        <v>15.756776</v>
      </c>
      <c r="H44" t="str">
        <f>_xll.BDP("3422 HK Equity","FUND_LEVERAGE_TYPE")</f>
        <v>#N/A N/A</v>
      </c>
      <c r="I44">
        <f>_xll.BDP("3422 HK Equity","PX388","PX395=TURNOVER","DY262=D","PY204=N","PX391=20260101","PX392=20260131","DS004=HKD")</f>
        <v>49214.457142857143</v>
      </c>
      <c r="J44">
        <v>-1</v>
      </c>
      <c r="K44" t="str">
        <f>_xll.BDP("3422 HK Equity","FUND_INCEPT_DT")</f>
        <v>11/24/2023</v>
      </c>
      <c r="L44" t="str">
        <f>_xll.BDP("3422 HK Equity","PX388","PX395=TURNOVER_EXCH_RATIO","DY262=D","PY204=N","PX391=20251201","PX392=20251210")</f>
        <v>#N/A N/A</v>
      </c>
      <c r="M44">
        <f>_xll.BDP("3422 HK Equity","EQY_SH_OUT")</f>
        <v>0.16519999999999999</v>
      </c>
      <c r="N44">
        <f>_xll.BDP("3422 HK Equity","EQY_TRR_PCT_YTD")</f>
        <v>2.9743029999999999</v>
      </c>
      <c r="O44">
        <f>_xll.BDP("3422 HK Equity","CHG_PCT_YTD")</f>
        <v>4.2829740000000003</v>
      </c>
      <c r="P44">
        <f>_xll.BDP("3422 HK Equity","CHG_PCT_1M")</f>
        <v>-6.6920890000000002</v>
      </c>
      <c r="Q44" t="str">
        <f>_xll.BDP("3422 HK Equity","LISTING_DATE")</f>
        <v>11/24/2023</v>
      </c>
      <c r="R44" t="str">
        <f>_xll.BDP("3422 HK Equity","FUND_INCEPT_DT")</f>
        <v>11/24/2023</v>
      </c>
      <c r="S44">
        <f>_xll.BDP("3422 HK Equity","AVG_DAILY_VALUE_TRADED_3M")</f>
        <v>112797.3</v>
      </c>
      <c r="T44" t="str">
        <f>_xll.BDP("3422 HK Equity","PX596","PX395=HISTORICAL_MARKET_CAP","DY262=D","PY204=N","PX391=20231231","PX392=20231231","DS004=HKD")</f>
        <v>#N/A N/A</v>
      </c>
      <c r="U44">
        <f>_xll.BDP("3422 HK Equity","PX385","PX395=FUND_FLOW","DY262=D","PY204=N","PX391=20240102","PX392=20240930","DS004=HKD")</f>
        <v>7.8092600000000019</v>
      </c>
      <c r="V44">
        <f>_xll.BDP("3422 HK Equity","PX596","PX395=CUR_MKT_CAP","DY262=D","PY204=N","PX391=20240101","DS004=HKD")</f>
        <v>20.198671999999998</v>
      </c>
      <c r="W44" t="str">
        <f>_xll.BDP("3422 HK Equity","FUND_INCEPT_DT")</f>
        <v>11/24/2023</v>
      </c>
      <c r="X44">
        <f>_xll.BDP("3422 HK Equity","PX388","PX395=TURNOVER","DY262=D","PY204=N","PX391=20240502","PX392=20240606","DS004=HKD")</f>
        <v>145648.74041666667</v>
      </c>
      <c r="Y44" t="str">
        <f>_xll.BDP("3422 HK Equity","PARENT_COMP_NAME")</f>
        <v>Mirae Asset Global Investments</v>
      </c>
      <c r="Z44" t="str">
        <f>_xll.BDP("3422 HK Equity","NAV_CRNCY")</f>
        <v>HKD</v>
      </c>
      <c r="AA44" t="str">
        <f>_xll.BDP("3422 HK Equity","FUND_GEO_FOCUS")</f>
        <v>Global</v>
      </c>
      <c r="AB44" t="str">
        <f>_xll.BDP("3422 HK Equity","FUND_ASSET_CLASS_FOCUS")</f>
        <v>Equity</v>
      </c>
      <c r="AC44">
        <f>_xll.BDP("3422 HK Equity","PX_LAST")</f>
        <v>97.88</v>
      </c>
      <c r="AD44">
        <f>_xll.BDP("3422 HK Equity","PX388","PX395=TIME_WAVG_BID_ASK_SPREAD_PCT","DY262=D","PY204=N","PX391=20260601","PX392=20260626")</f>
        <v>0.41153469593250946</v>
      </c>
      <c r="AE44">
        <f>_xll.BDP("3422 HK Equity","PX388","PX395=AVERAGE_BID_ASK_SPREAD_%","DY262=D","PY204=N","PX391=20260601","PX392=20260626")</f>
        <v>0.45909389373780285</v>
      </c>
    </row>
    <row r="45" spans="1:31" x14ac:dyDescent="0.25">
      <c r="A45" t="s">
        <v>70</v>
      </c>
      <c r="B45" t="str">
        <f>_xll.BDP("3579 HK Equity","LONG_COMP_NAME")</f>
        <v>E Fund HK FTSE MPF Hong Kong Equity ETF</v>
      </c>
      <c r="C45">
        <f>_xll.BDP("3579 HK Equity","PX385","PX395=FUND_FLOW","DY262=D","PY204=N","PX391=20260622","PX392=20260626","DS004=USD")</f>
        <v>0.57701196337015037</v>
      </c>
      <c r="D45">
        <f>_xll.BDP("3579 HK Equity","PX388","PX395=TURNOVER","DY262=D","PY204=N","PX391=20260601","PX392=20260626","DS004=HKD")</f>
        <v>2610722.5</v>
      </c>
      <c r="E45" t="str">
        <f>_xll.BDP("3579 HK Equity","PX388","PX395=TURNOVER","DY262=D","PY204=N","PX391=20250101","PX392=20251231","DS004=HKD")</f>
        <v>#N/A N/A</v>
      </c>
      <c r="F45">
        <f>_xll.BDP("3579 HK Equity","PX596","PX395=FUND_TOTAL_ASSETS","DY262=D","PY204=N","PX391=20260626","PX392=20260626","DS004=USD")</f>
        <v>1.6956979150992715</v>
      </c>
      <c r="G45">
        <f>_xll.BDP("3579 HK Equity","PX388","PX395=CUR_MKT_CAP","DY262=D","PY204=N","PX391=20260626","PX392=20260626","DS004=HKD")</f>
        <v>13.329000000000001</v>
      </c>
      <c r="H45" t="str">
        <f>_xll.BDP("3579 HK Equity","FUND_LEVERAGE_TYPE")</f>
        <v>#N/A N/A</v>
      </c>
      <c r="I45" t="str">
        <f>_xll.BDP("3579 HK Equity","PX388","PX395=TURNOVER","DY262=D","PY204=N","PX391=20260101","PX392=20260131","DS004=HKD")</f>
        <v>#N/A N/A</v>
      </c>
      <c r="J45" t="s">
        <v>31</v>
      </c>
      <c r="K45" t="str">
        <f>_xll.BDP("3579 HK Equity","FUND_INCEPT_DT")</f>
        <v>6/23/2026</v>
      </c>
      <c r="L45" t="str">
        <f>_xll.BDP("3579 HK Equity","PX388","PX395=TURNOVER_EXCH_RATIO","DY262=D","PY204=N","PX391=20251201","PX392=20251210")</f>
        <v>#N/A N/A</v>
      </c>
      <c r="M45">
        <f>_xll.BDP("3579 HK Equity","EQY_SH_OUT")</f>
        <v>1.7999999999999998</v>
      </c>
      <c r="N45" t="str">
        <f>_xll.BDP("3579 HK Equity","EQY_TRR_PCT_YTD")</f>
        <v>#N/A N/A</v>
      </c>
      <c r="O45" t="str">
        <f>_xll.BDP("3579 HK Equity","CHG_PCT_YTD")</f>
        <v>#N/A N/A</v>
      </c>
      <c r="P45" t="str">
        <f>_xll.BDP("3579 HK Equity","CHG_PCT_1M")</f>
        <v>#N/A N/A</v>
      </c>
      <c r="Q45" t="str">
        <f>_xll.BDP("3579 HK Equity","LISTING_DATE")</f>
        <v>6/23/2026</v>
      </c>
      <c r="R45" t="str">
        <f>_xll.BDP("3579 HK Equity","FUND_INCEPT_DT")</f>
        <v>6/23/2026</v>
      </c>
      <c r="S45" t="str">
        <f>_xll.BDP("3579 HK Equity","AVG_DAILY_VALUE_TRADED_3M")</f>
        <v>#N/A N/A</v>
      </c>
      <c r="T45" t="str">
        <f>_xll.BDP("3579 HK Equity","PX596","PX395=HISTORICAL_MARKET_CAP","DY262=D","PY204=N","PX391=20231231","PX392=20231231","DS004=HKD")</f>
        <v>#N/A N/A</v>
      </c>
      <c r="U45" t="str">
        <f>_xll.BDP("3579 HK Equity","PX385","PX395=FUND_FLOW","DY262=D","PY204=N","PX391=20240102","PX392=20240930","DS004=HKD")</f>
        <v>#N/A N/A</v>
      </c>
      <c r="V45" t="str">
        <f>_xll.BDP("3579 HK Equity","PX596","PX395=CUR_MKT_CAP","DY262=D","PY204=N","PX391=20240101","DS004=HKD")</f>
        <v>#N/A N/A</v>
      </c>
      <c r="W45" t="str">
        <f>_xll.BDP("3579 HK Equity","FUND_INCEPT_DT")</f>
        <v>6/23/2026</v>
      </c>
      <c r="X45" t="str">
        <f>_xll.BDP("3579 HK Equity","PX388","PX395=TURNOVER","DY262=D","PY204=N","PX391=20240502","PX392=20240606","DS004=HKD")</f>
        <v>#N/A N/A</v>
      </c>
      <c r="Y45" t="str">
        <f>_xll.BDP("3579 HK Equity","PARENT_COMP_NAME")</f>
        <v>E Fund Management Hong Kong Co</v>
      </c>
      <c r="Z45" t="str">
        <f>_xll.BDP("3579 HK Equity","NAV_CRNCY")</f>
        <v>HKD</v>
      </c>
      <c r="AA45" t="str">
        <f>_xll.BDP("3579 HK Equity","FUND_GEO_FOCUS")</f>
        <v>Greater China</v>
      </c>
      <c r="AB45" t="str">
        <f>_xll.BDP("3579 HK Equity","FUND_ASSET_CLASS_FOCUS")</f>
        <v>Equity</v>
      </c>
      <c r="AC45">
        <f>_xll.BDP("3579 HK Equity","PX_LAST")</f>
        <v>7.49</v>
      </c>
      <c r="AD45">
        <f>_xll.BDP("3579 HK Equity","PX388","PX395=TIME_WAVG_BID_ASK_SPREAD_PCT","DY262=D","PY204=N","PX391=20260601","PX392=20260626")</f>
        <v>0.54511884891374707</v>
      </c>
      <c r="AE45">
        <f>_xll.BDP("3579 HK Equity","PX388","PX395=AVERAGE_BID_ASK_SPREAD_%","DY262=D","PY204=N","PX391=20260601","PX392=20260626")</f>
        <v>0.59430952100836776</v>
      </c>
    </row>
    <row r="46" spans="1:31" x14ac:dyDescent="0.25">
      <c r="A46" t="s">
        <v>71</v>
      </c>
      <c r="B46" t="str">
        <f>_xll.BDP("3187 HK Equity","LONG_COMP_NAME")</f>
        <v>Samsung S&amp;P High Dividend APAC ex NZ REITs ETF</v>
      </c>
      <c r="C46">
        <f>_xll.BDP("3187 HK Equity","PX385","PX395=FUND_FLOW","DY262=D","PY204=N","PX391=20260622","PX392=20260626","DS004=USD")</f>
        <v>0.39893610000068663</v>
      </c>
      <c r="D46">
        <f>_xll.BDP("3187 HK Equity","PX388","PX395=TURNOVER","DY262=D","PY204=N","PX391=20260601","PX392=20260626","DS004=HKD")</f>
        <v>340249.7922222222</v>
      </c>
      <c r="E46">
        <f>_xll.BDP("3187 HK Equity","PX388","PX395=TURNOVER","DY262=D","PY204=N","PX391=20250101","PX392=20251231","DS004=HKD")</f>
        <v>182811.89017021289</v>
      </c>
      <c r="F46">
        <f>_xll.BDP("3187 HK Equity","PX596","PX395=FUND_TOTAL_ASSETS","DY262=D","PY204=N","PX391=20260626","PX392=20260626","DS004=USD")</f>
        <v>15.895232350000001</v>
      </c>
      <c r="G46">
        <f>_xll.BDP("3187 HK Equity","PX388","PX395=CUR_MKT_CAP","DY262=D","PY204=N","PX391=20260626","PX392=20260626","DS004=HKD")</f>
        <v>125.03400000000001</v>
      </c>
      <c r="H46" t="str">
        <f>_xll.BDP("3187 HK Equity","FUND_LEVERAGE_TYPE")</f>
        <v>#N/A N/A</v>
      </c>
      <c r="I46">
        <f>_xll.BDP("3187 HK Equity","PX388","PX395=TURNOVER","DY262=D","PY204=N","PX391=20260101","PX392=20260131","DS004=HKD")</f>
        <v>189848.05142857146</v>
      </c>
      <c r="J46">
        <v>-1</v>
      </c>
      <c r="K46" t="str">
        <f>_xll.BDP("3187 HK Equity","FUND_INCEPT_DT")</f>
        <v>10/15/2020</v>
      </c>
      <c r="L46" t="str">
        <f>_xll.BDP("3187 HK Equity","PX388","PX395=TURNOVER_EXCH_RATIO","DY262=D","PY204=N","PX391=20251201","PX392=20251210")</f>
        <v>#N/A N/A</v>
      </c>
      <c r="M46">
        <f>_xll.BDP("3187 HK Equity","EQY_SH_OUT")</f>
        <v>7.8</v>
      </c>
      <c r="N46">
        <f>_xll.BDP("3187 HK Equity","EQY_TRR_PCT_YTD")</f>
        <v>-5.9648750000000001</v>
      </c>
      <c r="O46">
        <f>_xll.BDP("3187 HK Equity","CHG_PCT_YTD")</f>
        <v>-7.7546330000000001</v>
      </c>
      <c r="P46">
        <f>_xll.BDP("3187 HK Equity","CHG_PCT_1M")</f>
        <v>-1.968021</v>
      </c>
      <c r="Q46" t="str">
        <f>_xll.BDP("3187 HK Equity","LISTING_DATE")</f>
        <v>10/15/2020</v>
      </c>
      <c r="R46" t="str">
        <f>_xll.BDP("3187 HK Equity","FUND_INCEPT_DT")</f>
        <v>10/15/2020</v>
      </c>
      <c r="S46">
        <f>_xll.BDP("3187 HK Equity","AVG_DAILY_VALUE_TRADED_3M")</f>
        <v>262010.9</v>
      </c>
      <c r="T46" t="str">
        <f>_xll.BDP("3187 HK Equity","PX596","PX395=HISTORICAL_MARKET_CAP","DY262=D","PY204=N","PX391=20231231","PX392=20231231","DS004=HKD")</f>
        <v>#N/A N/A</v>
      </c>
      <c r="U46">
        <f>_xll.BDP("3187 HK Equity","PX385","PX395=FUND_FLOW","DY262=D","PY204=N","PX391=20240102","PX392=20240930","DS004=HKD")</f>
        <v>-12.820401416432176</v>
      </c>
      <c r="V46">
        <f>_xll.BDP("3187 HK Equity","PX596","PX395=CUR_MKT_CAP","DY262=D","PY204=N","PX391=20240101","DS004=HKD")</f>
        <v>107.13600000000001</v>
      </c>
      <c r="W46" t="str">
        <f>_xll.BDP("3187 HK Equity","FUND_INCEPT_DT")</f>
        <v>10/15/2020</v>
      </c>
      <c r="X46">
        <f>_xll.BDP("3187 HK Equity","PX388","PX395=TURNOVER","DY262=D","PY204=N","PX391=20240502","PX392=20240606","DS004=HKD")</f>
        <v>72706.212173913038</v>
      </c>
      <c r="Y46" t="str">
        <f>_xll.BDP("3187 HK Equity","PARENT_COMP_NAME")</f>
        <v>Samsung Asset Management Hong</v>
      </c>
      <c r="Z46" t="str">
        <f>_xll.BDP("3187 HK Equity","NAV_CRNCY")</f>
        <v>HKD</v>
      </c>
      <c r="AA46" t="str">
        <f>_xll.BDP("3187 HK Equity","FUND_GEO_FOCUS")</f>
        <v>Asian Pacific Region</v>
      </c>
      <c r="AB46" t="str">
        <f>_xll.BDP("3187 HK Equity","FUND_ASSET_CLASS_FOCUS")</f>
        <v>Equity</v>
      </c>
      <c r="AC46">
        <f>_xll.BDP("3187 HK Equity","PX_LAST")</f>
        <v>15.94</v>
      </c>
      <c r="AD46">
        <f>_xll.BDP("3187 HK Equity","PX388","PX395=TIME_WAVG_BID_ASK_SPREAD_PCT","DY262=D","PY204=N","PX391=20260601","PX392=20260626")</f>
        <v>0.35209315043243644</v>
      </c>
      <c r="AE46">
        <f>_xll.BDP("3187 HK Equity","PX388","PX395=AVERAGE_BID_ASK_SPREAD_%","DY262=D","PY204=N","PX391=20260601","PX392=20260626")</f>
        <v>0.40909544895459682</v>
      </c>
    </row>
    <row r="47" spans="1:31" x14ac:dyDescent="0.25">
      <c r="A47" t="s">
        <v>72</v>
      </c>
      <c r="B47" t="str">
        <f>_xll.BDP("3134 HK Equity","LONG_COMP_NAME")</f>
        <v>CSOP Huatai-PB CSI Photovoltaic Industry ETF</v>
      </c>
      <c r="C47">
        <f>_xll.BDP("3134 HK Equity","PX385","PX395=FUND_FLOW","DY262=D","PY204=N","PX391=20260622","PX392=20260626","DS004=USD")</f>
        <v>0.22316007765619403</v>
      </c>
      <c r="D47">
        <f>_xll.BDP("3134 HK Equity","PX388","PX395=TURNOVER","DY262=D","PY204=N","PX391=20260601","PX392=20260626","DS004=HKD")</f>
        <v>1155903.5789473685</v>
      </c>
      <c r="E47">
        <f>_xll.BDP("3134 HK Equity","PX388","PX395=TURNOVER","DY262=D","PY204=N","PX391=20250101","PX392=20251231","DS004=HKD")</f>
        <v>205423.49610389618</v>
      </c>
      <c r="F47">
        <f>_xll.BDP("3134 HK Equity","PX596","PX395=FUND_TOTAL_ASSETS","DY262=D","PY204=N","PX391=20260626","PX392=20260626","DS004=USD")</f>
        <v>7.2155340804800563</v>
      </c>
      <c r="G47">
        <f>_xll.BDP("3134 HK Equity","PX388","PX395=CUR_MKT_CAP","DY262=D","PY204=N","PX391=20260626","PX392=20260626","DS004=HKD")</f>
        <v>56.259999999999991</v>
      </c>
      <c r="H47" t="str">
        <f>_xll.BDP("3134 HK Equity","FUND_LEVERAGE_TYPE")</f>
        <v>#N/A N/A</v>
      </c>
      <c r="I47">
        <f>_xll.BDP("3134 HK Equity","PX388","PX395=TURNOVER","DY262=D","PY204=N","PX391=20260101","PX392=20260131","DS004=HKD")</f>
        <v>1186653.2380952379</v>
      </c>
      <c r="J47">
        <v>-1</v>
      </c>
      <c r="K47" t="str">
        <f>_xll.BDP("3134 HK Equity","FUND_INCEPT_DT")</f>
        <v>5/31/2021</v>
      </c>
      <c r="L47" t="str">
        <f>_xll.BDP("3134 HK Equity","PX388","PX395=TURNOVER_EXCH_RATIO","DY262=D","PY204=N","PX391=20251201","PX392=20251210")</f>
        <v>#N/A N/A</v>
      </c>
      <c r="M47">
        <f>_xll.BDP("3134 HK Equity","EQY_SH_OUT")</f>
        <v>9.6999999999999993</v>
      </c>
      <c r="N47">
        <f>_xll.BDP("3134 HK Equity","EQY_TRR_PCT_YTD")</f>
        <v>3.414644</v>
      </c>
      <c r="O47">
        <f>_xll.BDP("3134 HK Equity","CHG_PCT_YTD")</f>
        <v>7.0642240000000003</v>
      </c>
      <c r="P47">
        <f>_xll.BDP("3134 HK Equity","CHG_PCT_1M")</f>
        <v>-7.0859899999999998</v>
      </c>
      <c r="Q47" t="str">
        <f>_xll.BDP("3134 HK Equity","LISTING_DATE")</f>
        <v>6/1/2021</v>
      </c>
      <c r="R47" t="str">
        <f>_xll.BDP("3134 HK Equity","FUND_INCEPT_DT")</f>
        <v>5/31/2021</v>
      </c>
      <c r="S47">
        <f>_xll.BDP("3134 HK Equity","AVG_DAILY_VALUE_TRADED_3M")</f>
        <v>1174998</v>
      </c>
      <c r="T47" t="str">
        <f>_xll.BDP("3134 HK Equity","PX596","PX395=HISTORICAL_MARKET_CAP","DY262=D","PY204=N","PX391=20231231","PX392=20231231","DS004=HKD")</f>
        <v>#N/A N/A</v>
      </c>
      <c r="U47">
        <f>_xll.BDP("3134 HK Equity","PX385","PX395=FUND_FLOW","DY262=D","PY204=N","PX391=20240102","PX392=20240930","DS004=HKD")</f>
        <v>-1.9360161753120027</v>
      </c>
      <c r="V47">
        <f>_xll.BDP("3134 HK Equity","PX596","PX395=CUR_MKT_CAP","DY262=D","PY204=N","PX391=20240101","DS004=HKD")</f>
        <v>44.69</v>
      </c>
      <c r="W47" t="str">
        <f>_xll.BDP("3134 HK Equity","FUND_INCEPT_DT")</f>
        <v>5/31/2021</v>
      </c>
      <c r="X47">
        <f>_xll.BDP("3134 HK Equity","PX388","PX395=TURNOVER","DY262=D","PY204=N","PX391=20240502","PX392=20240606","DS004=HKD")</f>
        <v>258614.96000000002</v>
      </c>
      <c r="Y47" t="str">
        <f>_xll.BDP("3134 HK Equity","PARENT_COMP_NAME")</f>
        <v>CSOP Asset Management Ltd/Hong</v>
      </c>
      <c r="Z47" t="str">
        <f>_xll.BDP("3134 HK Equity","NAV_CRNCY")</f>
        <v>CNY</v>
      </c>
      <c r="AA47" t="str">
        <f>_xll.BDP("3134 HK Equity","FUND_GEO_FOCUS")</f>
        <v>China</v>
      </c>
      <c r="AB47" t="str">
        <f>_xll.BDP("3134 HK Equity","FUND_ASSET_CLASS_FOCUS")</f>
        <v>Equity</v>
      </c>
      <c r="AC47">
        <f>_xll.BDP("3134 HK Equity","PX_LAST")</f>
        <v>5.835</v>
      </c>
      <c r="AD47">
        <f>_xll.BDP("3134 HK Equity","PX388","PX395=TIME_WAVG_BID_ASK_SPREAD_PCT","DY262=D","PY204=N","PX391=20260601","PX392=20260626")</f>
        <v>0.69315130015267812</v>
      </c>
      <c r="AE47">
        <f>_xll.BDP("3134 HK Equity","PX388","PX395=AVERAGE_BID_ASK_SPREAD_%","DY262=D","PY204=N","PX391=20260601","PX392=20260626")</f>
        <v>0.87957739671182011</v>
      </c>
    </row>
    <row r="48" spans="1:31" x14ac:dyDescent="0.25">
      <c r="A48" t="s">
        <v>73</v>
      </c>
      <c r="B48" t="str">
        <f>_xll.BDP("3439 HK Equity","LONG_COMP_NAME")</f>
        <v>HARVEST BITCOIN SPOT ETF</v>
      </c>
      <c r="C48">
        <f>_xll.BDP("3439 HK Equity","PX385","PX395=FUND_FLOW","DY262=D","PY204=N","PX391=20260622","PX392=20260626","DS004=USD")</f>
        <v>9.8121225608978097E-2</v>
      </c>
      <c r="D48">
        <f>_xll.BDP("3439 HK Equity","PX388","PX395=TURNOVER","DY262=D","PY204=N","PX391=20260601","PX392=20260626","DS004=HKD")</f>
        <v>1022862.4105263157</v>
      </c>
      <c r="E48">
        <f>_xll.BDP("3439 HK Equity","PX388","PX395=TURNOVER","DY262=D","PY204=N","PX391=20250101","PX392=20251231","DS004=HKD")</f>
        <v>1745651.9646341463</v>
      </c>
      <c r="F48">
        <f>_xll.BDP("3439 HK Equity","PX596","PX395=FUND_TOTAL_ASSETS","DY262=D","PY204=N","PX391=20260626","PX392=20260626","DS004=USD")</f>
        <v>12.918174080000002</v>
      </c>
      <c r="G48">
        <f>_xll.BDP("3439 HK Equity","PX388","PX395=CUR_MKT_CAP","DY262=D","PY204=N","PX391=20260626","PX392=20260626","DS004=HKD")</f>
        <v>101.517</v>
      </c>
      <c r="H48" t="str">
        <f>_xll.BDP("3439 HK Equity","FUND_LEVERAGE_TYPE")</f>
        <v>#N/A N/A</v>
      </c>
      <c r="I48">
        <f>_xll.BDP("3439 HK Equity","PX388","PX395=TURNOVER","DY262=D","PY204=N","PX391=20260101","PX392=20260131","DS004=HKD")</f>
        <v>516719.15285714285</v>
      </c>
      <c r="J48">
        <v>-1</v>
      </c>
      <c r="K48" t="str">
        <f>_xll.BDP("3439 HK Equity","FUND_INCEPT_DT")</f>
        <v>4/30/2024</v>
      </c>
      <c r="L48" t="str">
        <f>_xll.BDP("3439 HK Equity","PX388","PX395=TURNOVER_EXCH_RATIO","DY262=D","PY204=N","PX391=20251201","PX392=20251210")</f>
        <v>#N/A N/A</v>
      </c>
      <c r="M48">
        <f>_xll.BDP("3439 HK Equity","EQY_SH_OUT")</f>
        <v>13.7</v>
      </c>
      <c r="N48">
        <f>_xll.BDP("3439 HK Equity","EQY_TRR_PCT_YTD")</f>
        <v>-31.726569999999999</v>
      </c>
      <c r="O48">
        <f>_xll.BDP("3439 HK Equity","CHG_PCT_YTD")</f>
        <v>-32.488480000000003</v>
      </c>
      <c r="P48">
        <f>_xll.BDP("3439 HK Equity","CHG_PCT_1M")</f>
        <v>-18.56587</v>
      </c>
      <c r="Q48" t="str">
        <f>_xll.BDP("3439 HK Equity","LISTING_DATE")</f>
        <v>4/30/2024</v>
      </c>
      <c r="R48" t="str">
        <f>_xll.BDP("3439 HK Equity","FUND_INCEPT_DT")</f>
        <v>4/30/2024</v>
      </c>
      <c r="S48">
        <f>_xll.BDP("3439 HK Equity","AVG_DAILY_VALUE_TRADED_3M")</f>
        <v>582431.69999999995</v>
      </c>
      <c r="T48" t="str">
        <f>_xll.BDP("3439 HK Equity","PX596","PX395=HISTORICAL_MARKET_CAP","DY262=D","PY204=N","PX391=20231231","PX392=20231231","DS004=HKD")</f>
        <v>#N/A N/A</v>
      </c>
      <c r="U48">
        <f>_xll.BDP("3439 HK Equity","PX385","PX395=FUND_FLOW","DY262=D","PY204=N","PX391=20240102","PX392=20240930","DS004=HKD")</f>
        <v>-243.865057616</v>
      </c>
      <c r="V48">
        <f>_xll.BDP("3439 HK Equity","PX596","PX395=CUR_MKT_CAP","DY262=D","PY204=N","PX391=20240101","DS004=HKD")</f>
        <v>200.72499999999999</v>
      </c>
      <c r="W48" t="str">
        <f>_xll.BDP("3439 HK Equity","FUND_INCEPT_DT")</f>
        <v>4/30/2024</v>
      </c>
      <c r="X48">
        <f>_xll.BDP("3439 HK Equity","PX388","PX395=TURNOVER","DY262=D","PY204=N","PX391=20240502","PX392=20240606","DS004=HKD")</f>
        <v>5941033.5199999996</v>
      </c>
      <c r="Y48" t="str">
        <f>_xll.BDP("3439 HK Equity","PARENT_COMP_NAME")</f>
        <v>Harvest Global Investments Ltd</v>
      </c>
      <c r="Z48" t="str">
        <f>_xll.BDP("3439 HK Equity","NAV_CRNCY")</f>
        <v>HKD</v>
      </c>
      <c r="AA48" t="str">
        <f>_xll.BDP("3439 HK Equity","FUND_GEO_FOCUS")</f>
        <v>Global</v>
      </c>
      <c r="AB48" t="str">
        <f>_xll.BDP("3439 HK Equity","FUND_ASSET_CLASS_FOCUS")</f>
        <v>Alternative</v>
      </c>
      <c r="AC48">
        <f>_xll.BDP("3439 HK Equity","PX_LAST")</f>
        <v>7.3250000000000002</v>
      </c>
      <c r="AD48">
        <f>_xll.BDP("3439 HK Equity","PX388","PX395=TIME_WAVG_BID_ASK_SPREAD_PCT","DY262=D","PY204=N","PX391=20260601","PX392=20260626")</f>
        <v>0.42725505718996015</v>
      </c>
      <c r="AE48">
        <f>_xll.BDP("3439 HK Equity","PX388","PX395=AVERAGE_BID_ASK_SPREAD_%","DY262=D","PY204=N","PX391=20260601","PX392=20260626")</f>
        <v>0.4575509115425675</v>
      </c>
    </row>
    <row r="49" spans="1:31" x14ac:dyDescent="0.25">
      <c r="A49" t="s">
        <v>74</v>
      </c>
      <c r="B49" t="str">
        <f>_xll.BDP("3006 HK Equity","LONG_COMP_NAME")</f>
        <v>Global X AI &amp; Innovative Technology Active ETF</v>
      </c>
      <c r="C49">
        <f>_xll.BDP("3006 HK Equity","PX385","PX395=FUND_FLOW","DY262=D","PY204=N","PX391=20260622","PX392=20260626","DS004=USD")</f>
        <v>2.7975254587716769E-2</v>
      </c>
      <c r="D49">
        <f>_xll.BDP("3006 HK Equity","PX388","PX395=TURNOVER","DY262=D","PY204=N","PX391=20260601","PX392=20260626","DS004=HKD")</f>
        <v>314304.1944444445</v>
      </c>
      <c r="E49">
        <f>_xll.BDP("3006 HK Equity","PX388","PX395=TURNOVER","DY262=D","PY204=N","PX391=20250101","PX392=20251231","DS004=HKD")</f>
        <v>213024.30902777781</v>
      </c>
      <c r="F49">
        <f>_xll.BDP("3006 HK Equity","PX596","PX395=FUND_TOTAL_ASSETS","DY262=D","PY204=N","PX391=20260626","PX392=20260626","DS004=USD")</f>
        <v>5.734990321470014</v>
      </c>
      <c r="G49">
        <f>_xll.BDP("3006 HK Equity","PX388","PX395=CUR_MKT_CAP","DY262=D","PY204=N","PX391=20260626","PX392=20260626","DS004=HKD")</f>
        <v>44.887499999999996</v>
      </c>
      <c r="H49" t="str">
        <f>_xll.BDP("3006 HK Equity","FUND_LEVERAGE_TYPE")</f>
        <v>#N/A N/A</v>
      </c>
      <c r="I49">
        <f>_xll.BDP("3006 HK Equity","PX388","PX395=TURNOVER","DY262=D","PY204=N","PX391=20260101","PX392=20260131","DS004=HKD")</f>
        <v>63006.5625</v>
      </c>
      <c r="J49">
        <v>-1</v>
      </c>
      <c r="K49" t="str">
        <f>_xll.BDP("3006 HK Equity","FUND_INCEPT_DT")</f>
        <v>3/21/2022</v>
      </c>
      <c r="L49" t="str">
        <f>_xll.BDP("3006 HK Equity","PX388","PX395=TURNOVER_EXCH_RATIO","DY262=D","PY204=N","PX391=20251201","PX392=20251210")</f>
        <v>#N/A N/A</v>
      </c>
      <c r="M49">
        <f>_xll.BDP("3006 HK Equity","EQY_SH_OUT")</f>
        <v>0.35</v>
      </c>
      <c r="N49">
        <f>_xll.BDP("3006 HK Equity","EQY_TRR_PCT_YTD")</f>
        <v>14.67183</v>
      </c>
      <c r="O49">
        <f>_xll.BDP("3006 HK Equity","CHG_PCT_YTD")</f>
        <v>13.517060000000001</v>
      </c>
      <c r="P49">
        <f>_xll.BDP("3006 HK Equity","CHG_PCT_1M")</f>
        <v>-6.148282</v>
      </c>
      <c r="Q49" t="str">
        <f>_xll.BDP("3006 HK Equity","LISTING_DATE")</f>
        <v>3/21/2022</v>
      </c>
      <c r="R49" t="str">
        <f>_xll.BDP("3006 HK Equity","FUND_INCEPT_DT")</f>
        <v>3/21/2022</v>
      </c>
      <c r="S49">
        <f>_xll.BDP("3006 HK Equity","AVG_DAILY_VALUE_TRADED_3M")</f>
        <v>201624.3</v>
      </c>
      <c r="T49" t="str">
        <f>_xll.BDP("3006 HK Equity","PX596","PX395=HISTORICAL_MARKET_CAP","DY262=D","PY204=N","PX391=20231231","PX392=20231231","DS004=HKD")</f>
        <v>#N/A N/A</v>
      </c>
      <c r="U49">
        <f>_xll.BDP("3006 HK Equity","PX385","PX395=FUND_FLOW","DY262=D","PY204=N","PX391=20240102","PX392=20240930","DS004=HKD")</f>
        <v>-7.7339699999999993</v>
      </c>
      <c r="V49">
        <f>_xll.BDP("3006 HK Equity","PX596","PX395=CUR_MKT_CAP","DY262=D","PY204=N","PX391=20240101","DS004=HKD")</f>
        <v>22.86</v>
      </c>
      <c r="W49" t="str">
        <f>_xll.BDP("3006 HK Equity","FUND_INCEPT_DT")</f>
        <v>3/21/2022</v>
      </c>
      <c r="X49">
        <f>_xll.BDP("3006 HK Equity","PX388","PX395=TURNOVER","DY262=D","PY204=N","PX391=20240502","PX392=20240606","DS004=HKD")</f>
        <v>129607</v>
      </c>
      <c r="Y49" t="str">
        <f>_xll.BDP("3006 HK Equity","PARENT_COMP_NAME")</f>
        <v>Mirae Asset Global Investments</v>
      </c>
      <c r="Z49" t="str">
        <f>_xll.BDP("3006 HK Equity","NAV_CRNCY")</f>
        <v>HKD</v>
      </c>
      <c r="AA49" t="str">
        <f>_xll.BDP("3006 HK Equity","FUND_GEO_FOCUS")</f>
        <v>Global</v>
      </c>
      <c r="AB49" t="str">
        <f>_xll.BDP("3006 HK Equity","FUND_ASSET_CLASS_FOCUS")</f>
        <v>Equity</v>
      </c>
      <c r="AC49">
        <f>_xll.BDP("3006 HK Equity","PX_LAST")</f>
        <v>129.75</v>
      </c>
      <c r="AD49">
        <f>_xll.BDP("3006 HK Equity","PX388","PX395=TIME_WAVG_BID_ASK_SPREAD_PCT","DY262=D","PY204=N","PX391=20260601","PX392=20260626")</f>
        <v>0.61591091854253766</v>
      </c>
      <c r="AE49">
        <f>_xll.BDP("3006 HK Equity","PX388","PX395=AVERAGE_BID_ASK_SPREAD_%","DY262=D","PY204=N","PX391=20260601","PX392=20260626")</f>
        <v>0.67088531936413365</v>
      </c>
    </row>
    <row r="50" spans="1:31" x14ac:dyDescent="0.25">
      <c r="A50" t="s">
        <v>75</v>
      </c>
      <c r="B50" t="str">
        <f>_xll.BDP("2814 HK Equity","LONG_COMP_NAME")</f>
        <v>Samsung NYSE FANG+ ETF</v>
      </c>
      <c r="C50">
        <f>_xll.BDP("2814 HK Equity","PX385","PX395=FUND_FLOW","DY262=D","PY204=N","PX391=20260622","PX392=20260626","DS004=USD")</f>
        <v>9.4181459080662222E-3</v>
      </c>
      <c r="D50">
        <f>_xll.BDP("2814 HK Equity","PX388","PX395=TURNOVER","DY262=D","PY204=N","PX391=20260601","PX392=20260626","DS004=HKD")</f>
        <v>920853.35789473704</v>
      </c>
      <c r="E50">
        <f>_xll.BDP("2814 HK Equity","PX388","PX395=TURNOVER","DY262=D","PY204=N","PX391=20250101","PX392=20251231","DS004=HKD")</f>
        <v>529176.14009090944</v>
      </c>
      <c r="F50">
        <f>_xll.BDP("2814 HK Equity","PX596","PX395=FUND_TOTAL_ASSETS","DY262=D","PY204=N","PX391=20260626","PX392=20260626","DS004=USD")</f>
        <v>9.4196051999999995</v>
      </c>
      <c r="G50">
        <f>_xll.BDP("2814 HK Equity","PX388","PX395=CUR_MKT_CAP","DY262=D","PY204=N","PX391=20260626","PX392=20260626","DS004=HKD")</f>
        <v>72.927999999999997</v>
      </c>
      <c r="H50" t="str">
        <f>_xll.BDP("2814 HK Equity","FUND_LEVERAGE_TYPE")</f>
        <v>#N/A N/A</v>
      </c>
      <c r="I50">
        <f>_xll.BDP("2814 HK Equity","PX388","PX395=TURNOVER","DY262=D","PY204=N","PX391=20260101","PX392=20260131","DS004=HKD")</f>
        <v>430328.67368421057</v>
      </c>
      <c r="J50">
        <v>-1</v>
      </c>
      <c r="K50" t="str">
        <f>_xll.BDP("2814 HK Equity","FUND_INCEPT_DT")</f>
        <v>5/25/2021</v>
      </c>
      <c r="L50" t="str">
        <f>_xll.BDP("2814 HK Equity","PX388","PX395=TURNOVER_EXCH_RATIO","DY262=D","PY204=N","PX391=20251201","PX392=20251210")</f>
        <v>#N/A N/A</v>
      </c>
      <c r="M50">
        <f>_xll.BDP("2814 HK Equity","EQY_SH_OUT")</f>
        <v>1.5999999999999999</v>
      </c>
      <c r="N50">
        <f>_xll.BDP("2814 HK Equity","EQY_TRR_PCT_YTD")</f>
        <v>4.2114609999999999</v>
      </c>
      <c r="O50">
        <f>_xll.BDP("2814 HK Equity","CHG_PCT_YTD")</f>
        <v>5.0473160000000004</v>
      </c>
      <c r="P50">
        <f>_xll.BDP("2814 HK Equity","CHG_PCT_1M")</f>
        <v>-7.3529410000000004</v>
      </c>
      <c r="Q50" t="str">
        <f>_xll.BDP("2814 HK Equity","LISTING_DATE")</f>
        <v>5/25/2021</v>
      </c>
      <c r="R50" t="str">
        <f>_xll.BDP("2814 HK Equity","FUND_INCEPT_DT")</f>
        <v>5/25/2021</v>
      </c>
      <c r="S50">
        <f>_xll.BDP("2814 HK Equity","AVG_DAILY_VALUE_TRADED_3M")</f>
        <v>627813.4</v>
      </c>
      <c r="T50" t="str">
        <f>_xll.BDP("2814 HK Equity","PX596","PX395=HISTORICAL_MARKET_CAP","DY262=D","PY204=N","PX391=20231231","PX392=20231231","DS004=HKD")</f>
        <v>#N/A N/A</v>
      </c>
      <c r="U50">
        <f>_xll.BDP("2814 HK Equity","PX385","PX395=FUND_FLOW","DY262=D","PY204=N","PX391=20240102","PX392=20240930","DS004=HKD")</f>
        <v>-5.6516999999999964</v>
      </c>
      <c r="V50">
        <f>_xll.BDP("2814 HK Equity","PX596","PX395=CUR_MKT_CAP","DY262=D","PY204=N","PX391=20240101","DS004=HKD")</f>
        <v>79.884</v>
      </c>
      <c r="W50" t="str">
        <f>_xll.BDP("2814 HK Equity","FUND_INCEPT_DT")</f>
        <v>5/25/2021</v>
      </c>
      <c r="X50">
        <f>_xll.BDP("2814 HK Equity","PX388","PX395=TURNOVER","DY262=D","PY204=N","PX391=20240502","PX392=20240606","DS004=HKD")</f>
        <v>394288.30000000005</v>
      </c>
      <c r="Y50" t="str">
        <f>_xll.BDP("2814 HK Equity","PARENT_COMP_NAME")</f>
        <v>Samsung Asset Management Hong</v>
      </c>
      <c r="Z50" t="str">
        <f>_xll.BDP("2814 HK Equity","NAV_CRNCY")</f>
        <v>HKD</v>
      </c>
      <c r="AA50" t="str">
        <f>_xll.BDP("2814 HK Equity","FUND_GEO_FOCUS")</f>
        <v>Global</v>
      </c>
      <c r="AB50" t="str">
        <f>_xll.BDP("2814 HK Equity","FUND_ASSET_CLASS_FOCUS")</f>
        <v>Equity</v>
      </c>
      <c r="AC50">
        <f>_xll.BDP("2814 HK Equity","PX_LAST")</f>
        <v>46.62</v>
      </c>
      <c r="AD50">
        <f>_xll.BDP("2814 HK Equity","PX388","PX395=TIME_WAVG_BID_ASK_SPREAD_PCT","DY262=D","PY204=N","PX391=20260601","PX392=20260626")</f>
        <v>0.31074128635075948</v>
      </c>
      <c r="AE50">
        <f>_xll.BDP("2814 HK Equity","PX388","PX395=AVERAGE_BID_ASK_SPREAD_%","DY262=D","PY204=N","PX391=20260601","PX392=20260626")</f>
        <v>0.36244489843363453</v>
      </c>
    </row>
    <row r="51" spans="1:31" x14ac:dyDescent="0.25">
      <c r="A51" t="s">
        <v>76</v>
      </c>
      <c r="B51" t="str">
        <f>_xll.BDP("2838 HK Equity","LONG_COMP_NAME")</f>
        <v>Hang Seng Investment Index Funds Series III - Hang Seng FTSE China 50 ETF</v>
      </c>
      <c r="C51">
        <f>_xll.BDP("2838 HK Equity","PX385","PX395=FUND_FLOW","DY262=D","PY204=N","PX391=20260622","PX392=20260626","DS004=USD")</f>
        <v>5.0607517667170202E-3</v>
      </c>
      <c r="D51">
        <f>_xll.BDP("2838 HK Equity","PX388","PX395=TURNOVER","DY262=D","PY204=N","PX391=20260601","PX392=20260626","DS004=HKD")</f>
        <v>201329.42857142858</v>
      </c>
      <c r="E51">
        <f>_xll.BDP("2838 HK Equity","PX388","PX395=TURNOVER","DY262=D","PY204=N","PX391=20250101","PX392=20251231","DS004=HKD")</f>
        <v>280880.27959770127</v>
      </c>
      <c r="F51">
        <f>_xll.BDP("2838 HK Equity","PX596","PX395=FUND_TOTAL_ASSETS","DY262=D","PY204=N","PX391=20260626","PX392=20260626","DS004=USD")</f>
        <v>12.881372076357096</v>
      </c>
      <c r="G51">
        <f>_xll.BDP("2838 HK Equity","PX388","PX395=CUR_MKT_CAP","DY262=D","PY204=N","PX391=20260626","PX392=20260626","DS004=HKD")</f>
        <v>101.0819731</v>
      </c>
      <c r="H51" t="str">
        <f>_xll.BDP("2838 HK Equity","FUND_LEVERAGE_TYPE")</f>
        <v>#N/A N/A</v>
      </c>
      <c r="I51">
        <f>_xll.BDP("2838 HK Equity","PX388","PX395=TURNOVER","DY262=D","PY204=N","PX391=20260101","PX392=20260131","DS004=HKD")</f>
        <v>250593.96249999999</v>
      </c>
      <c r="J51">
        <v>-1</v>
      </c>
      <c r="K51" t="str">
        <f>_xll.BDP("2838 HK Equity","FUND_INCEPT_DT")</f>
        <v>6/8/2005</v>
      </c>
      <c r="L51" t="str">
        <f>_xll.BDP("2838 HK Equity","PX388","PX395=TURNOVER_EXCH_RATIO","DY262=D","PY204=N","PX391=20251201","PX392=20251210")</f>
        <v>#N/A N/A</v>
      </c>
      <c r="M51">
        <f>_xll.BDP("2838 HK Equity","EQY_SH_OUT")</f>
        <v>0.70834999999999992</v>
      </c>
      <c r="N51">
        <f>_xll.BDP("2838 HK Equity","EQY_TRR_PCT_YTD")</f>
        <v>-17.864090000000001</v>
      </c>
      <c r="O51">
        <f>_xll.BDP("2838 HK Equity","CHG_PCT_YTD")</f>
        <v>-16.417909999999999</v>
      </c>
      <c r="P51">
        <f>_xll.BDP("2838 HK Equity","CHG_PCT_1M")</f>
        <v>-9.2269290000000002</v>
      </c>
      <c r="Q51" t="str">
        <f>_xll.BDP("2838 HK Equity","LISTING_DATE")</f>
        <v>#N/A Field Not Applicable</v>
      </c>
      <c r="R51" t="str">
        <f>_xll.BDP("2838 HK Equity","FUND_INCEPT_DT")</f>
        <v>6/8/2005</v>
      </c>
      <c r="S51">
        <f>_xll.BDP("2838 HK Equity","AVG_DAILY_VALUE_TRADED_3M")</f>
        <v>49134.66</v>
      </c>
      <c r="T51" t="str">
        <f>_xll.BDP("2838 HK Equity","PX596","PX395=HISTORICAL_MARKET_CAP","DY262=D","PY204=N","PX391=20231231","PX392=20231231","DS004=HKD")</f>
        <v>#N/A N/A</v>
      </c>
      <c r="U51">
        <f>_xll.BDP("2838 HK Equity","PX385","PX395=FUND_FLOW","DY262=D","PY204=N","PX391=20240102","PX392=20240930","DS004=HKD")</f>
        <v>-7.8311101310999955</v>
      </c>
      <c r="V51">
        <f>_xll.BDP("2838 HK Equity","PX596","PX395=CUR_MKT_CAP","DY262=D","PY204=N","PX391=20240101","DS004=HKD")</f>
        <v>124.33037239999999</v>
      </c>
      <c r="W51" t="str">
        <f>_xll.BDP("2838 HK Equity","FUND_INCEPT_DT")</f>
        <v>6/8/2005</v>
      </c>
      <c r="X51">
        <f>_xll.BDP("2838 HK Equity","PX388","PX395=TURNOVER","DY262=D","PY204=N","PX391=20240502","PX392=20240606","DS004=HKD")</f>
        <v>199301.10769230773</v>
      </c>
      <c r="Y51" t="str">
        <f>_xll.BDP("2838 HK Equity","PARENT_COMP_NAME")</f>
        <v>Hang Seng Investment Managemen</v>
      </c>
      <c r="Z51" t="str">
        <f>_xll.BDP("2838 HK Equity","NAV_CRNCY")</f>
        <v>HKD</v>
      </c>
      <c r="AA51" t="str">
        <f>_xll.BDP("2838 HK Equity","FUND_GEO_FOCUS")</f>
        <v>China</v>
      </c>
      <c r="AB51" t="str">
        <f>_xll.BDP("2838 HK Equity","FUND_ASSET_CLASS_FOCUS")</f>
        <v>Equity</v>
      </c>
      <c r="AC51">
        <f>_xll.BDP("2838 HK Equity","PX_LAST")</f>
        <v>145.6</v>
      </c>
      <c r="AD51">
        <f>_xll.BDP("2838 HK Equity","PX388","PX395=TIME_WAVG_BID_ASK_SPREAD_PCT","DY262=D","PY204=N","PX391=20260601","PX392=20260626")</f>
        <v>0.39617909833146631</v>
      </c>
      <c r="AE51">
        <f>_xll.BDP("2838 HK Equity","PX388","PX395=AVERAGE_BID_ASK_SPREAD_%","DY262=D","PY204=N","PX391=20260601","PX392=20260626")</f>
        <v>0.50254052470057076</v>
      </c>
    </row>
    <row r="52" spans="1:31" x14ac:dyDescent="0.25">
      <c r="A52" t="s">
        <v>77</v>
      </c>
      <c r="B52" t="str">
        <f>_xll.BDP("2801 HK Equity","LONG_COMP_NAME")</f>
        <v>iShares Core MSCI China ETF</v>
      </c>
      <c r="C52">
        <f>_xll.BDP("2801 HK Equity","PX385","PX395=FUND_FLOW","DY262=D","PY204=N","PX391=20260622","PX392=20260626","DS004=USD")</f>
        <v>0</v>
      </c>
      <c r="D52">
        <f>_xll.BDP("2801 HK Equity","PX388","PX395=TURNOVER","DY262=D","PY204=N","PX391=20260601","PX392=20260626","DS004=HKD")</f>
        <v>13681447.105263161</v>
      </c>
      <c r="E52">
        <f>_xll.BDP("2801 HK Equity","PX388","PX395=TURNOVER","DY262=D","PY204=N","PX391=20250101","PX392=20251231","DS004=HKD")</f>
        <v>10378673.778455282</v>
      </c>
      <c r="F52">
        <f>_xll.BDP("2801 HK Equity","PX596","PX395=FUND_TOTAL_ASSETS","DY262=D","PY204=N","PX391=20260626","PX392=20260626","DS004=USD")</f>
        <v>1612.5134730977668</v>
      </c>
      <c r="G52">
        <f>_xll.BDP("2801 HK Equity","PX388","PX395=CUR_MKT_CAP","DY262=D","PY204=N","PX391=20260626","PX392=20260626","DS004=HKD")</f>
        <v>12607.351139999999</v>
      </c>
      <c r="H52" t="str">
        <f>_xll.BDP("2801 HK Equity","FUND_LEVERAGE_TYPE")</f>
        <v>#N/A N/A</v>
      </c>
      <c r="I52">
        <f>_xll.BDP("2801 HK Equity","PX388","PX395=TURNOVER","DY262=D","PY204=N","PX391=20260101","PX392=20260131","DS004=HKD")</f>
        <v>6398886.4714285722</v>
      </c>
      <c r="J52">
        <v>-1</v>
      </c>
      <c r="K52" t="str">
        <f>_xll.BDP("2801 HK Equity","FUND_INCEPT_DT")</f>
        <v>11/28/2001</v>
      </c>
      <c r="L52" t="str">
        <f>_xll.BDP("2801 HK Equity","PX388","PX395=TURNOVER_EXCH_RATIO","DY262=D","PY204=N","PX391=20251201","PX392=20251210")</f>
        <v>#N/A N/A</v>
      </c>
      <c r="M52">
        <f>_xll.BDP("2801 HK Equity","EQY_SH_OUT")</f>
        <v>567.89869999999996</v>
      </c>
      <c r="N52">
        <f>_xll.BDP("2801 HK Equity","EQY_TRR_PCT_YTD")</f>
        <v>-14.16436</v>
      </c>
      <c r="O52">
        <f>_xll.BDP("2801 HK Equity","CHG_PCT_YTD")</f>
        <v>-14.55505</v>
      </c>
      <c r="P52">
        <f>_xll.BDP("2801 HK Equity","CHG_PCT_1M")</f>
        <v>-7.2072070000000004</v>
      </c>
      <c r="Q52" t="str">
        <f>_xll.BDP("2801 HK Equity","LISTING_DATE")</f>
        <v>11/28/2001</v>
      </c>
      <c r="R52" t="str">
        <f>_xll.BDP("2801 HK Equity","FUND_INCEPT_DT")</f>
        <v>11/28/2001</v>
      </c>
      <c r="S52">
        <f>_xll.BDP("2801 HK Equity","AVG_DAILY_VALUE_TRADED_3M")</f>
        <v>13307010</v>
      </c>
      <c r="T52" t="str">
        <f>_xll.BDP("2801 HK Equity","PX596","PX395=HISTORICAL_MARKET_CAP","DY262=D","PY204=N","PX391=20231231","PX392=20231231","DS004=HKD")</f>
        <v>#N/A N/A</v>
      </c>
      <c r="U52">
        <f>_xll.BDP("2801 HK Equity","PX385","PX395=FUND_FLOW","DY262=D","PY204=N","PX391=20240102","PX392=20240930","DS004=HKD")</f>
        <v>10407.045419999989</v>
      </c>
      <c r="V52">
        <f>_xll.BDP("2801 HK Equity","PX596","PX395=CUR_MKT_CAP","DY262=D","PY204=N","PX391=20240101","DS004=HKD")</f>
        <v>23040.541524</v>
      </c>
      <c r="W52" t="str">
        <f>_xll.BDP("2801 HK Equity","FUND_INCEPT_DT")</f>
        <v>11/28/2001</v>
      </c>
      <c r="X52">
        <f>_xll.BDP("2801 HK Equity","PX388","PX395=TURNOVER","DY262=D","PY204=N","PX391=20240502","PX392=20240606","DS004=HKD")</f>
        <v>12134500.744000001</v>
      </c>
      <c r="Y52" t="str">
        <f>_xll.BDP("2801 HK Equity","PARENT_COMP_NAME")</f>
        <v>iShares ETFs/Hong Kong</v>
      </c>
      <c r="Z52" t="str">
        <f>_xll.BDP("2801 HK Equity","NAV_CRNCY")</f>
        <v>HKD</v>
      </c>
      <c r="AA52" t="str">
        <f>_xll.BDP("2801 HK Equity","FUND_GEO_FOCUS")</f>
        <v>China</v>
      </c>
      <c r="AB52" t="str">
        <f>_xll.BDP("2801 HK Equity","FUND_ASSET_CLASS_FOCUS")</f>
        <v>Equity</v>
      </c>
      <c r="AC52">
        <f>_xll.BDP("2801 HK Equity","PX_LAST")</f>
        <v>22.66</v>
      </c>
      <c r="AD52">
        <f>_xll.BDP("2801 HK Equity","PX388","PX395=TIME_WAVG_BID_ASK_SPREAD_PCT","DY262=D","PY204=N","PX391=20260601","PX392=20260626")</f>
        <v>0.18627204277429735</v>
      </c>
      <c r="AE52">
        <f>_xll.BDP("2801 HK Equity","PX388","PX395=AVERAGE_BID_ASK_SPREAD_%","DY262=D","PY204=N","PX391=20260601","PX392=20260626")</f>
        <v>0.21669284221600613</v>
      </c>
    </row>
    <row r="53" spans="1:31" x14ac:dyDescent="0.25">
      <c r="A53" t="s">
        <v>78</v>
      </c>
      <c r="B53" t="str">
        <f>_xll.BDP("2805 HK Equity","LONG_COMP_NAME")</f>
        <v>Galaxy Bosera MSCI China ASEAN Economic Linkage Select Index ETF</v>
      </c>
      <c r="C53">
        <f>_xll.BDP("2805 HK Equity","PX385","PX395=FUND_FLOW","DY262=D","PY204=N","PX391=20260622","PX392=20260626","DS004=USD")</f>
        <v>0</v>
      </c>
      <c r="D53">
        <f>_xll.BDP("2805 HK Equity","PX388","PX395=TURNOVER","DY262=D","PY204=N","PX391=20260601","PX392=20260626","DS004=HKD")</f>
        <v>63036.222222222219</v>
      </c>
      <c r="E53" t="str">
        <f>_xll.BDP("2805 HK Equity","PX388","PX395=TURNOVER","DY262=D","PY204=N","PX391=20250101","PX392=20251231","DS004=HKD")</f>
        <v>#N/A N/A</v>
      </c>
      <c r="F53">
        <f>_xll.BDP("2805 HK Equity","PX596","PX395=FUND_TOTAL_ASSETS","DY262=D","PY204=N","PX391=20260626","PX392=20260626","DS004=USD")</f>
        <v>67.547490322745162</v>
      </c>
      <c r="G53">
        <f>_xll.BDP("2805 HK Equity","PX388","PX395=CUR_MKT_CAP","DY262=D","PY204=N","PX391=20260626","PX392=20260626","DS004=HKD")</f>
        <v>518.23</v>
      </c>
      <c r="H53" t="str">
        <f>_xll.BDP("2805 HK Equity","FUND_LEVERAGE_TYPE")</f>
        <v>#N/A N/A</v>
      </c>
      <c r="I53">
        <f>_xll.BDP("2805 HK Equity","PX388","PX395=TURNOVER","DY262=D","PY204=N","PX391=20260101","PX392=20260131","DS004=HKD")</f>
        <v>3098431.5</v>
      </c>
      <c r="J53">
        <v>-1</v>
      </c>
      <c r="K53" t="str">
        <f>_xll.BDP("2805 HK Equity","FUND_INCEPT_DT")</f>
        <v>1/28/2026</v>
      </c>
      <c r="L53" t="str">
        <f>_xll.BDP("2805 HK Equity","PX388","PX395=TURNOVER_EXCH_RATIO","DY262=D","PY204=N","PX391=20251201","PX392=20251210")</f>
        <v>#N/A N/A</v>
      </c>
      <c r="M53">
        <f>_xll.BDP("2805 HK Equity","EQY_SH_OUT")</f>
        <v>58</v>
      </c>
      <c r="N53" t="str">
        <f>_xll.BDP("2805 HK Equity","EQY_TRR_PCT_YTD")</f>
        <v>#N/A N/A</v>
      </c>
      <c r="O53" t="str">
        <f>_xll.BDP("2805 HK Equity","CHG_PCT_YTD")</f>
        <v>#N/A N/A</v>
      </c>
      <c r="P53">
        <f>_xll.BDP("2805 HK Equity","CHG_PCT_1M")</f>
        <v>-6.5251140000000003</v>
      </c>
      <c r="Q53" t="str">
        <f>_xll.BDP("2805 HK Equity","LISTING_DATE")</f>
        <v>1/28/2026</v>
      </c>
      <c r="R53" t="str">
        <f>_xll.BDP("2805 HK Equity","FUND_INCEPT_DT")</f>
        <v>1/28/2026</v>
      </c>
      <c r="S53">
        <f>_xll.BDP("2805 HK Equity","AVG_DAILY_VALUE_TRADED_3M")</f>
        <v>711486.4</v>
      </c>
      <c r="T53" t="str">
        <f>_xll.BDP("2805 HK Equity","PX596","PX395=HISTORICAL_MARKET_CAP","DY262=D","PY204=N","PX391=20231231","PX392=20231231","DS004=HKD")</f>
        <v>#N/A N/A</v>
      </c>
      <c r="U53" t="str">
        <f>_xll.BDP("2805 HK Equity","PX385","PX395=FUND_FLOW","DY262=D","PY204=N","PX391=20240102","PX392=20240930","DS004=HKD")</f>
        <v>#N/A N/A</v>
      </c>
      <c r="V53" t="str">
        <f>_xll.BDP("2805 HK Equity","PX596","PX395=CUR_MKT_CAP","DY262=D","PY204=N","PX391=20240101","DS004=HKD")</f>
        <v>#N/A N/A</v>
      </c>
      <c r="W53" t="str">
        <f>_xll.BDP("2805 HK Equity","FUND_INCEPT_DT")</f>
        <v>1/28/2026</v>
      </c>
      <c r="X53" t="str">
        <f>_xll.BDP("2805 HK Equity","PX388","PX395=TURNOVER","DY262=D","PY204=N","PX391=20240502","PX392=20240606","DS004=HKD")</f>
        <v>#N/A N/A</v>
      </c>
      <c r="Y53" t="str">
        <f>_xll.BDP("2805 HK Equity","PARENT_COMP_NAME")</f>
        <v>Bosera Asset Management Intern</v>
      </c>
      <c r="Z53" t="str">
        <f>_xll.BDP("2805 HK Equity","NAV_CRNCY")</f>
        <v>HKD</v>
      </c>
      <c r="AA53" t="str">
        <f>_xll.BDP("2805 HK Equity","FUND_GEO_FOCUS")</f>
        <v>ASEAN Countries</v>
      </c>
      <c r="AB53" t="str">
        <f>_xll.BDP("2805 HK Equity","FUND_ASSET_CLASS_FOCUS")</f>
        <v>Equity</v>
      </c>
      <c r="AC53">
        <f>_xll.BDP("2805 HK Equity","PX_LAST")</f>
        <v>9.0250000000000004</v>
      </c>
      <c r="AD53">
        <f>_xll.BDP("2805 HK Equity","PX388","PX395=TIME_WAVG_BID_ASK_SPREAD_PCT","DY262=D","PY204=N","PX391=20260601","PX392=20260626")</f>
        <v>0.5419400406975452</v>
      </c>
      <c r="AE53">
        <f>_xll.BDP("2805 HK Equity","PX388","PX395=AVERAGE_BID_ASK_SPREAD_%","DY262=D","PY204=N","PX391=20260601","PX392=20260626")</f>
        <v>0.56930522188138233</v>
      </c>
    </row>
    <row r="54" spans="1:31" x14ac:dyDescent="0.25">
      <c r="A54" t="s">
        <v>79</v>
      </c>
      <c r="B54" t="str">
        <f>_xll.BDP("2806 HK Equity","LONG_COMP_NAME")</f>
        <v>Global X China Consumer Brand</v>
      </c>
      <c r="C54">
        <f>_xll.BDP("2806 HK Equity","PX385","PX395=FUND_FLOW","DY262=D","PY204=N","PX391=20260622","PX392=20260626","DS004=USD")</f>
        <v>0</v>
      </c>
      <c r="D54">
        <f>_xll.BDP("2806 HK Equity","PX388","PX395=TURNOVER","DY262=D","PY204=N","PX391=20260601","PX392=20260626","DS004=HKD")</f>
        <v>546048.07368421042</v>
      </c>
      <c r="E54">
        <f>_xll.BDP("2806 HK Equity","PX388","PX395=TURNOVER","DY262=D","PY204=N","PX391=20250101","PX392=20251231","DS004=HKD")</f>
        <v>944998.9897560972</v>
      </c>
      <c r="F54">
        <f>_xll.BDP("2806 HK Equity","PX596","PX395=FUND_TOTAL_ASSETS","DY262=D","PY204=N","PX391=20260626","PX392=20260626","DS004=USD")</f>
        <v>22.915999121408806</v>
      </c>
      <c r="G54">
        <f>_xll.BDP("2806 HK Equity","PX388","PX395=CUR_MKT_CAP","DY262=D","PY204=N","PX391=20260626","PX392=20260626","DS004=HKD")</f>
        <v>178.9</v>
      </c>
      <c r="H54" t="str">
        <f>_xll.BDP("2806 HK Equity","FUND_LEVERAGE_TYPE")</f>
        <v>#N/A N/A</v>
      </c>
      <c r="I54">
        <f>_xll.BDP("2806 HK Equity","PX388","PX395=TURNOVER","DY262=D","PY204=N","PX391=20260101","PX392=20260131","DS004=HKD")</f>
        <v>1058722.2542857144</v>
      </c>
      <c r="J54">
        <v>-1</v>
      </c>
      <c r="K54" t="str">
        <f>_xll.BDP("2806 HK Equity","FUND_INCEPT_DT")</f>
        <v>1/17/2020</v>
      </c>
      <c r="L54" t="str">
        <f>_xll.BDP("2806 HK Equity","PX388","PX395=TURNOVER_EXCH_RATIO","DY262=D","PY204=N","PX391=20251201","PX392=20251210")</f>
        <v>#N/A N/A</v>
      </c>
      <c r="M54">
        <f>_xll.BDP("2806 HK Equity","EQY_SH_OUT")</f>
        <v>5</v>
      </c>
      <c r="N54">
        <f>_xll.BDP("2806 HK Equity","EQY_TRR_PCT_YTD")</f>
        <v>-20.503710000000002</v>
      </c>
      <c r="O54">
        <f>_xll.BDP("2806 HK Equity","CHG_PCT_YTD")</f>
        <v>-20.218820000000001</v>
      </c>
      <c r="P54">
        <f>_xll.BDP("2806 HK Equity","CHG_PCT_1M")</f>
        <v>-9.7524789999999992</v>
      </c>
      <c r="Q54" t="str">
        <f>_xll.BDP("2806 HK Equity","LISTING_DATE")</f>
        <v>1/17/2020</v>
      </c>
      <c r="R54" t="str">
        <f>_xll.BDP("2806 HK Equity","FUND_INCEPT_DT")</f>
        <v>1/17/2020</v>
      </c>
      <c r="S54">
        <f>_xll.BDP("2806 HK Equity","AVG_DAILY_VALUE_TRADED_3M")</f>
        <v>543017.80000000005</v>
      </c>
      <c r="T54" t="str">
        <f>_xll.BDP("2806 HK Equity","PX596","PX395=HISTORICAL_MARKET_CAP","DY262=D","PY204=N","PX391=20231231","PX392=20231231","DS004=HKD")</f>
        <v>#N/A N/A</v>
      </c>
      <c r="U54">
        <f>_xll.BDP("2806 HK Equity","PX385","PX395=FUND_FLOW","DY262=D","PY204=N","PX391=20240102","PX392=20240930","DS004=HKD")</f>
        <v>-133.22499000000005</v>
      </c>
      <c r="V54">
        <f>_xll.BDP("2806 HK Equity","PX596","PX395=CUR_MKT_CAP","DY262=D","PY204=N","PX391=20240101","DS004=HKD")</f>
        <v>274.20000000000005</v>
      </c>
      <c r="W54" t="str">
        <f>_xll.BDP("2806 HK Equity","FUND_INCEPT_DT")</f>
        <v>1/17/2020</v>
      </c>
      <c r="X54">
        <f>_xll.BDP("2806 HK Equity","PX388","PX395=TURNOVER","DY262=D","PY204=N","PX391=20240502","PX392=20240606","DS004=HKD")</f>
        <v>712966.78720000002</v>
      </c>
      <c r="Y54" t="str">
        <f>_xll.BDP("2806 HK Equity","PARENT_COMP_NAME")</f>
        <v>Mirae Asset Global Investments</v>
      </c>
      <c r="Z54" t="str">
        <f>_xll.BDP("2806 HK Equity","NAV_CRNCY")</f>
        <v>HKD</v>
      </c>
      <c r="AA54" t="str">
        <f>_xll.BDP("2806 HK Equity","FUND_GEO_FOCUS")</f>
        <v>China</v>
      </c>
      <c r="AB54" t="str">
        <f>_xll.BDP("2806 HK Equity","FUND_ASSET_CLASS_FOCUS")</f>
        <v>Equity</v>
      </c>
      <c r="AC54">
        <f>_xll.BDP("2806 HK Equity","PX_LAST")</f>
        <v>36.46</v>
      </c>
      <c r="AD54">
        <f>_xll.BDP("2806 HK Equity","PX388","PX395=TIME_WAVG_BID_ASK_SPREAD_PCT","DY262=D","PY204=N","PX391=20260601","PX392=20260626")</f>
        <v>0.29028580606525284</v>
      </c>
      <c r="AE54">
        <f>_xll.BDP("2806 HK Equity","PX388","PX395=AVERAGE_BID_ASK_SPREAD_%","DY262=D","PY204=N","PX391=20260601","PX392=20260626")</f>
        <v>0.42598121666089317</v>
      </c>
    </row>
    <row r="55" spans="1:31" x14ac:dyDescent="0.25">
      <c r="A55" t="s">
        <v>80</v>
      </c>
      <c r="B55" t="str">
        <f>_xll.BDP("2807 HK Equity","LONG_COMP_NAME")</f>
        <v>Global X China Robotics &amp; AI ETF</v>
      </c>
      <c r="C55">
        <f>_xll.BDP("2807 HK Equity","PX385","PX395=FUND_FLOW","DY262=D","PY204=N","PX391=20260622","PX392=20260626","DS004=USD")</f>
        <v>0</v>
      </c>
      <c r="D55">
        <f>_xll.BDP("2807 HK Equity","PX388","PX395=TURNOVER","DY262=D","PY204=N","PX391=20260601","PX392=20260626","DS004=HKD")</f>
        <v>5344369.3684210535</v>
      </c>
      <c r="E55">
        <f>_xll.BDP("2807 HK Equity","PX388","PX395=TURNOVER","DY262=D","PY204=N","PX391=20250101","PX392=20251231","DS004=HKD")</f>
        <v>3626000.2170731695</v>
      </c>
      <c r="F55">
        <f>_xll.BDP("2807 HK Equity","PX596","PX395=FUND_TOTAL_ASSETS","DY262=D","PY204=N","PX391=20260626","PX392=20260626","DS004=USD")</f>
        <v>127.78916693615228</v>
      </c>
      <c r="G55">
        <f>_xll.BDP("2807 HK Equity","PX388","PX395=CUR_MKT_CAP","DY262=D","PY204=N","PX391=20260626","PX392=20260626","DS004=HKD")</f>
        <v>997.02599999999995</v>
      </c>
      <c r="H55" t="str">
        <f>_xll.BDP("2807 HK Equity","FUND_LEVERAGE_TYPE")</f>
        <v>#N/A N/A</v>
      </c>
      <c r="I55">
        <f>_xll.BDP("2807 HK Equity","PX388","PX395=TURNOVER","DY262=D","PY204=N","PX391=20260101","PX392=20260131","DS004=HKD")</f>
        <v>11672183.904761903</v>
      </c>
      <c r="J55">
        <v>-1</v>
      </c>
      <c r="K55" t="str">
        <f>_xll.BDP("2807 HK Equity","FUND_INCEPT_DT")</f>
        <v>8/7/2020</v>
      </c>
      <c r="L55" t="str">
        <f>_xll.BDP("2807 HK Equity","PX388","PX395=TURNOVER_EXCH_RATIO","DY262=D","PY204=N","PX391=20251201","PX392=20251210")</f>
        <v>#N/A N/A</v>
      </c>
      <c r="M55">
        <f>_xll.BDP("2807 HK Equity","EQY_SH_OUT")</f>
        <v>16.05</v>
      </c>
      <c r="N55">
        <f>_xll.BDP("2807 HK Equity","EQY_TRR_PCT_YTD")</f>
        <v>10.817410000000001</v>
      </c>
      <c r="O55">
        <f>_xll.BDP("2807 HK Equity","CHG_PCT_YTD")</f>
        <v>7.3079530000000004</v>
      </c>
      <c r="P55">
        <f>_xll.BDP("2807 HK Equity","CHG_PCT_1M")</f>
        <v>-3.6912720000000001</v>
      </c>
      <c r="Q55" t="str">
        <f>_xll.BDP("2807 HK Equity","LISTING_DATE")</f>
        <v>8/7/2020</v>
      </c>
      <c r="R55" t="str">
        <f>_xll.BDP("2807 HK Equity","FUND_INCEPT_DT")</f>
        <v>8/7/2020</v>
      </c>
      <c r="S55">
        <f>_xll.BDP("2807 HK Equity","AVG_DAILY_VALUE_TRADED_3M")</f>
        <v>5609420</v>
      </c>
      <c r="T55" t="str">
        <f>_xll.BDP("2807 HK Equity","PX596","PX395=HISTORICAL_MARKET_CAP","DY262=D","PY204=N","PX391=20231231","PX392=20231231","DS004=HKD")</f>
        <v>#N/A N/A</v>
      </c>
      <c r="U55">
        <f>_xll.BDP("2807 HK Equity","PX385","PX395=FUND_FLOW","DY262=D","PY204=N","PX391=20240102","PX392=20240930","DS004=HKD")</f>
        <v>-2.1238949999999921</v>
      </c>
      <c r="V55">
        <f>_xll.BDP("2807 HK Equity","PX596","PX395=CUR_MKT_CAP","DY262=D","PY204=N","PX391=20240101","DS004=HKD")</f>
        <v>579.57400000000007</v>
      </c>
      <c r="W55" t="str">
        <f>_xll.BDP("2807 HK Equity","FUND_INCEPT_DT")</f>
        <v>8/7/2020</v>
      </c>
      <c r="X55">
        <f>_xll.BDP("2807 HK Equity","PX388","PX395=TURNOVER","DY262=D","PY204=N","PX391=20240502","PX392=20240606","DS004=HKD")</f>
        <v>377906.72560000001</v>
      </c>
      <c r="Y55" t="str">
        <f>_xll.BDP("2807 HK Equity","PARENT_COMP_NAME")</f>
        <v>Mirae Asset Global Investments</v>
      </c>
      <c r="Z55" t="str">
        <f>_xll.BDP("2807 HK Equity","NAV_CRNCY")</f>
        <v>HKD</v>
      </c>
      <c r="AA55" t="str">
        <f>_xll.BDP("2807 HK Equity","FUND_GEO_FOCUS")</f>
        <v>China</v>
      </c>
      <c r="AB55" t="str">
        <f>_xll.BDP("2807 HK Equity","FUND_ASSET_CLASS_FOCUS")</f>
        <v>Equity</v>
      </c>
      <c r="AC55">
        <f>_xll.BDP("2807 HK Equity","PX_LAST")</f>
        <v>63.14</v>
      </c>
      <c r="AD55">
        <f>_xll.BDP("2807 HK Equity","PX388","PX395=TIME_WAVG_BID_ASK_SPREAD_PCT","DY262=D","PY204=N","PX391=20260601","PX392=20260626")</f>
        <v>0.30996898826897884</v>
      </c>
      <c r="AE55">
        <f>_xll.BDP("2807 HK Equity","PX388","PX395=AVERAGE_BID_ASK_SPREAD_%","DY262=D","PY204=N","PX391=20260601","PX392=20260626")</f>
        <v>0.37885964608929884</v>
      </c>
    </row>
    <row r="56" spans="1:31" x14ac:dyDescent="0.25">
      <c r="A56" t="s">
        <v>81</v>
      </c>
      <c r="B56" t="str">
        <f>_xll.BDP("2809 HK Equity","LONG_COMP_NAME")</f>
        <v>Global X China Clean Energy</v>
      </c>
      <c r="C56">
        <f>_xll.BDP("2809 HK Equity","PX385","PX395=FUND_FLOW","DY262=D","PY204=N","PX391=20260622","PX392=20260626","DS004=USD")</f>
        <v>0</v>
      </c>
      <c r="D56">
        <f>_xll.BDP("2809 HK Equity","PX388","PX395=TURNOVER","DY262=D","PY204=N","PX391=20260601","PX392=20260626","DS004=HKD")</f>
        <v>2088562.594736842</v>
      </c>
      <c r="E56">
        <f>_xll.BDP("2809 HK Equity","PX388","PX395=TURNOVER","DY262=D","PY204=N","PX391=20250101","PX392=20251231","DS004=HKD")</f>
        <v>1399356.2926829276</v>
      </c>
      <c r="F56">
        <f>_xll.BDP("2809 HK Equity","PX596","PX395=FUND_TOTAL_ASSETS","DY262=D","PY204=N","PX391=20260626","PX392=20260626","DS004=USD")</f>
        <v>62.23519632113846</v>
      </c>
      <c r="G56">
        <f>_xll.BDP("2809 HK Equity","PX388","PX395=CUR_MKT_CAP","DY262=D","PY204=N","PX391=20260626","PX392=20260626","DS004=HKD")</f>
        <v>488.50499999999994</v>
      </c>
      <c r="H56" t="str">
        <f>_xll.BDP("2809 HK Equity","FUND_LEVERAGE_TYPE")</f>
        <v>#N/A N/A</v>
      </c>
      <c r="I56">
        <f>_xll.BDP("2809 HK Equity","PX388","PX395=TURNOVER","DY262=D","PY204=N","PX391=20260101","PX392=20260131","DS004=HKD")</f>
        <v>5868754.9380952381</v>
      </c>
      <c r="J56">
        <v>-1</v>
      </c>
      <c r="K56" t="str">
        <f>_xll.BDP("2809 HK Equity","FUND_INCEPT_DT")</f>
        <v>1/17/2020</v>
      </c>
      <c r="L56" t="str">
        <f>_xll.BDP("2809 HK Equity","PX388","PX395=TURNOVER_EXCH_RATIO","DY262=D","PY204=N","PX391=20251201","PX392=20251210")</f>
        <v>#N/A N/A</v>
      </c>
      <c r="M56">
        <f>_xll.BDP("2809 HK Equity","EQY_SH_OUT")</f>
        <v>4.3499999999999996</v>
      </c>
      <c r="N56">
        <f>_xll.BDP("2809 HK Equity","EQY_TRR_PCT_YTD")</f>
        <v>12.38476</v>
      </c>
      <c r="O56">
        <f>_xll.BDP("2809 HK Equity","CHG_PCT_YTD")</f>
        <v>14.64268</v>
      </c>
      <c r="P56">
        <f>_xll.BDP("2809 HK Equity","CHG_PCT_1M")</f>
        <v>-6.3291120000000003</v>
      </c>
      <c r="Q56" t="str">
        <f>_xll.BDP("2809 HK Equity","LISTING_DATE")</f>
        <v>1/17/2020</v>
      </c>
      <c r="R56" t="str">
        <f>_xll.BDP("2809 HK Equity","FUND_INCEPT_DT")</f>
        <v>1/17/2020</v>
      </c>
      <c r="S56">
        <f>_xll.BDP("2809 HK Equity","AVG_DAILY_VALUE_TRADED_3M")</f>
        <v>2951638</v>
      </c>
      <c r="T56" t="str">
        <f>_xll.BDP("2809 HK Equity","PX596","PX395=HISTORICAL_MARKET_CAP","DY262=D","PY204=N","PX391=20231231","PX392=20231231","DS004=HKD")</f>
        <v>#N/A N/A</v>
      </c>
      <c r="U56">
        <f>_xll.BDP("2809 HK Equity","PX385","PX395=FUND_FLOW","DY262=D","PY204=N","PX391=20240102","PX392=20240930","DS004=HKD")</f>
        <v>-167.36167000000006</v>
      </c>
      <c r="V56">
        <f>_xll.BDP("2809 HK Equity","PX596","PX395=CUR_MKT_CAP","DY262=D","PY204=N","PX391=20240101","DS004=HKD")</f>
        <v>460.22999999999996</v>
      </c>
      <c r="W56" t="str">
        <f>_xll.BDP("2809 HK Equity","FUND_INCEPT_DT")</f>
        <v>1/17/2020</v>
      </c>
      <c r="X56">
        <f>_xll.BDP("2809 HK Equity","PX388","PX395=TURNOVER","DY262=D","PY204=N","PX391=20240502","PX392=20240606","DS004=HKD")</f>
        <v>948388.58400000015</v>
      </c>
      <c r="Y56" t="str">
        <f>_xll.BDP("2809 HK Equity","PARENT_COMP_NAME")</f>
        <v>Mirae Asset Global Investments</v>
      </c>
      <c r="Z56" t="str">
        <f>_xll.BDP("2809 HK Equity","NAV_CRNCY")</f>
        <v>HKD</v>
      </c>
      <c r="AA56" t="str">
        <f>_xll.BDP("2809 HK Equity","FUND_GEO_FOCUS")</f>
        <v>China</v>
      </c>
      <c r="AB56" t="str">
        <f>_xll.BDP("2809 HK Equity","FUND_ASSET_CLASS_FOCUS")</f>
        <v>Equity</v>
      </c>
      <c r="AC56">
        <f>_xll.BDP("2809 HK Equity","PX_LAST")</f>
        <v>114.7</v>
      </c>
      <c r="AD56">
        <f>_xll.BDP("2809 HK Equity","PX388","PX395=TIME_WAVG_BID_ASK_SPREAD_PCT","DY262=D","PY204=N","PX391=20260601","PX392=20260626")</f>
        <v>0.31904201825388218</v>
      </c>
      <c r="AE56">
        <f>_xll.BDP("2809 HK Equity","PX388","PX395=AVERAGE_BID_ASK_SPREAD_%","DY262=D","PY204=N","PX391=20260601","PX392=20260626")</f>
        <v>0.37727301774281824</v>
      </c>
    </row>
    <row r="57" spans="1:31" x14ac:dyDescent="0.25">
      <c r="A57" t="s">
        <v>82</v>
      </c>
      <c r="B57" t="str">
        <f>_xll.BDP("2810 HK Equity","LONG_COMP_NAME")</f>
        <v>Premia Dow Jones Emerging Asean Titans 100 ETF</v>
      </c>
      <c r="C57">
        <f>_xll.BDP("2810 HK Equity","PX385","PX395=FUND_FLOW","DY262=D","PY204=N","PX391=20260622","PX392=20260626","DS004=USD")</f>
        <v>0</v>
      </c>
      <c r="D57">
        <f>_xll.BDP("2810 HK Equity","PX388","PX395=TURNOVER","DY262=D","PY204=N","PX391=20260601","PX392=20260626","DS004=HKD")</f>
        <v>115615.66666666666</v>
      </c>
      <c r="E57">
        <f>_xll.BDP("2810 HK Equity","PX388","PX395=TURNOVER","DY262=D","PY204=N","PX391=20250101","PX392=20251231","DS004=HKD")</f>
        <v>106767.02039215686</v>
      </c>
      <c r="F57">
        <f>_xll.BDP("2810 HK Equity","PX596","PX395=FUND_TOTAL_ASSETS","DY262=D","PY204=N","PX391=20260626","PX392=20260626","DS004=USD")</f>
        <v>34.078859350000002</v>
      </c>
      <c r="G57">
        <f>_xll.BDP("2810 HK Equity","PX388","PX395=CUR_MKT_CAP","DY262=D","PY204=N","PX391=20260626","PX392=20260626","DS004=HKD")</f>
        <v>268.05599999999998</v>
      </c>
      <c r="H57" t="str">
        <f>_xll.BDP("2810 HK Equity","FUND_LEVERAGE_TYPE")</f>
        <v>#N/A N/A</v>
      </c>
      <c r="I57">
        <f>_xll.BDP("2810 HK Equity","PX388","PX395=TURNOVER","DY262=D","PY204=N","PX391=20260101","PX392=20260131","DS004=HKD")</f>
        <v>108007.08333333334</v>
      </c>
      <c r="J57">
        <v>-1</v>
      </c>
      <c r="K57" t="str">
        <f>_xll.BDP("2810 HK Equity","FUND_INCEPT_DT")</f>
        <v>8/1/2018</v>
      </c>
      <c r="L57" t="str">
        <f>_xll.BDP("2810 HK Equity","PX388","PX395=TURNOVER_EXCH_RATIO","DY262=D","PY204=N","PX391=20251201","PX392=20251210")</f>
        <v>#N/A N/A</v>
      </c>
      <c r="M57">
        <f>_xll.BDP("2810 HK Equity","EQY_SH_OUT")</f>
        <v>3.65</v>
      </c>
      <c r="N57">
        <f>_xll.BDP("2810 HK Equity","EQY_TRR_PCT_YTD")</f>
        <v>-3.3591599999999999E-2</v>
      </c>
      <c r="O57">
        <f>_xll.BDP("2810 HK Equity","CHG_PCT_YTD")</f>
        <v>1.408453</v>
      </c>
      <c r="P57">
        <f>_xll.BDP("2810 HK Equity","CHG_PCT_1M")</f>
        <v>-2.3404219999999998</v>
      </c>
      <c r="Q57" t="str">
        <f>_xll.BDP("2810 HK Equity","LISTING_DATE")</f>
        <v>8/6/2018</v>
      </c>
      <c r="R57" t="str">
        <f>_xll.BDP("2810 HK Equity","FUND_INCEPT_DT")</f>
        <v>8/1/2018</v>
      </c>
      <c r="S57">
        <f>_xll.BDP("2810 HK Equity","AVG_DAILY_VALUE_TRADED_3M")</f>
        <v>41076.400000000001</v>
      </c>
      <c r="T57" t="str">
        <f>_xll.BDP("2810 HK Equity","PX596","PX395=HISTORICAL_MARKET_CAP","DY262=D","PY204=N","PX391=20231231","PX392=20231231","DS004=HKD")</f>
        <v>#N/A N/A</v>
      </c>
      <c r="U57">
        <f>_xll.BDP("2810 HK Equity","PX385","PX395=FUND_FLOW","DY262=D","PY204=N","PX391=20240102","PX392=20240930","DS004=HKD")</f>
        <v>244.92887500000001</v>
      </c>
      <c r="V57">
        <f>_xll.BDP("2810 HK Equity","PX596","PX395=CUR_MKT_CAP","DY262=D","PY204=N","PX391=20240101","DS004=HKD")</f>
        <v>246.22800000000001</v>
      </c>
      <c r="W57" t="str">
        <f>_xll.BDP("2810 HK Equity","FUND_INCEPT_DT")</f>
        <v>8/1/2018</v>
      </c>
      <c r="X57">
        <f>_xll.BDP("2810 HK Equity","PX388","PX395=TURNOVER","DY262=D","PY204=N","PX391=20240502","PX392=20240606","DS004=HKD")</f>
        <v>22240</v>
      </c>
      <c r="Y57" t="str">
        <f>_xll.BDP("2810 HK Equity","PARENT_COMP_NAME")</f>
        <v>Premia Partners Co Ltd/Hong Ko</v>
      </c>
      <c r="Z57" t="str">
        <f>_xll.BDP("2810 HK Equity","NAV_CRNCY")</f>
        <v>HKD</v>
      </c>
      <c r="AA57" t="str">
        <f>_xll.BDP("2810 HK Equity","FUND_GEO_FOCUS")</f>
        <v>ASEAN Countries</v>
      </c>
      <c r="AB57" t="str">
        <f>_xll.BDP("2810 HK Equity","FUND_ASSET_CLASS_FOCUS")</f>
        <v>Equity</v>
      </c>
      <c r="AC57">
        <f>_xll.BDP("2810 HK Equity","PX_LAST")</f>
        <v>73.44</v>
      </c>
      <c r="AD57">
        <f>_xll.BDP("2810 HK Equity","PX388","PX395=TIME_WAVG_BID_ASK_SPREAD_PCT","DY262=D","PY204=N","PX391=20260601","PX392=20260626")</f>
        <v>0.6013042642876858</v>
      </c>
      <c r="AE57">
        <f>_xll.BDP("2810 HK Equity","PX388","PX395=AVERAGE_BID_ASK_SPREAD_%","DY262=D","PY204=N","PX391=20260601","PX392=20260626")</f>
        <v>0.63789159934276596</v>
      </c>
    </row>
    <row r="58" spans="1:31" x14ac:dyDescent="0.25">
      <c r="A58" t="s">
        <v>83</v>
      </c>
      <c r="B58" t="str">
        <f>_xll.BDP("2812 HK Equity","LONG_COMP_NAME")</f>
        <v>Samsung CSI China Dragon Internet ETF</v>
      </c>
      <c r="C58">
        <f>_xll.BDP("2812 HK Equity","PX385","PX395=FUND_FLOW","DY262=D","PY204=N","PX391=20260622","PX392=20260626","DS004=USD")</f>
        <v>0</v>
      </c>
      <c r="D58">
        <f>_xll.BDP("2812 HK Equity","PX388","PX395=TURNOVER","DY262=D","PY204=N","PX391=20260601","PX392=20260626","DS004=HKD")</f>
        <v>206494.72352941174</v>
      </c>
      <c r="E58">
        <f>_xll.BDP("2812 HK Equity","PX388","PX395=TURNOVER","DY262=D","PY204=N","PX391=20250101","PX392=20251231","DS004=HKD")</f>
        <v>302476.25717842329</v>
      </c>
      <c r="F58">
        <f>_xll.BDP("2812 HK Equity","PX596","PX395=FUND_TOTAL_ASSETS","DY262=D","PY204=N","PX391=20260626","PX392=20260626","DS004=USD")</f>
        <v>11.469087351602248</v>
      </c>
      <c r="G58">
        <f>_xll.BDP("2812 HK Equity","PX388","PX395=CUR_MKT_CAP","DY262=D","PY204=N","PX391=20260626","PX392=20260626","DS004=HKD")</f>
        <v>89.32650000000001</v>
      </c>
      <c r="H58" t="str">
        <f>_xll.BDP("2812 HK Equity","FUND_LEVERAGE_TYPE")</f>
        <v>#N/A N/A</v>
      </c>
      <c r="I58">
        <f>_xll.BDP("2812 HK Equity","PX388","PX395=TURNOVER","DY262=D","PY204=N","PX391=20260101","PX392=20260131","DS004=HKD")</f>
        <v>269541.59999999998</v>
      </c>
      <c r="J58">
        <v>-1</v>
      </c>
      <c r="K58" t="str">
        <f>_xll.BDP("2812 HK Equity","FUND_INCEPT_DT")</f>
        <v>6/20/2018</v>
      </c>
      <c r="L58" t="str">
        <f>_xll.BDP("2812 HK Equity","PX388","PX395=TURNOVER_EXCH_RATIO","DY262=D","PY204=N","PX391=20251201","PX392=20251210")</f>
        <v>#N/A N/A</v>
      </c>
      <c r="M58">
        <f>_xll.BDP("2812 HK Equity","EQY_SH_OUT")</f>
        <v>9.2999999999999989</v>
      </c>
      <c r="N58">
        <f>_xll.BDP("2812 HK Equity","EQY_TRR_PCT_YTD")</f>
        <v>-29.2669</v>
      </c>
      <c r="O58">
        <f>_xll.BDP("2812 HK Equity","CHG_PCT_YTD")</f>
        <v>-28.51003</v>
      </c>
      <c r="P58">
        <f>_xll.BDP("2812 HK Equity","CHG_PCT_1M")</f>
        <v>-9.927797</v>
      </c>
      <c r="Q58" t="str">
        <f>_xll.BDP("2812 HK Equity","LISTING_DATE")</f>
        <v>6/20/2018</v>
      </c>
      <c r="R58" t="str">
        <f>_xll.BDP("2812 HK Equity","FUND_INCEPT_DT")</f>
        <v>6/20/2018</v>
      </c>
      <c r="S58">
        <f>_xll.BDP("2812 HK Equity","AVG_DAILY_VALUE_TRADED_3M")</f>
        <v>268415.3</v>
      </c>
      <c r="T58" t="str">
        <f>_xll.BDP("2812 HK Equity","PX596","PX395=HISTORICAL_MARKET_CAP","DY262=D","PY204=N","PX391=20231231","PX392=20231231","DS004=HKD")</f>
        <v>#N/A N/A</v>
      </c>
      <c r="U58">
        <f>_xll.BDP("2812 HK Equity","PX385","PX395=FUND_FLOW","DY262=D","PY204=N","PX391=20240102","PX392=20240930","DS004=HKD")</f>
        <v>-21.311879999999995</v>
      </c>
      <c r="V58">
        <f>_xll.BDP("2812 HK Equity","PX596","PX395=CUR_MKT_CAP","DY262=D","PY204=N","PX391=20240101","DS004=HKD")</f>
        <v>125.64000000000001</v>
      </c>
      <c r="W58" t="str">
        <f>_xll.BDP("2812 HK Equity","FUND_INCEPT_DT")</f>
        <v>6/20/2018</v>
      </c>
      <c r="X58">
        <f>_xll.BDP("2812 HK Equity","PX388","PX395=TURNOVER","DY262=D","PY204=N","PX391=20240502","PX392=20240606","DS004=HKD")</f>
        <v>856103.82199999993</v>
      </c>
      <c r="Y58" t="str">
        <f>_xll.BDP("2812 HK Equity","PARENT_COMP_NAME")</f>
        <v>Samsung Asset Management Hong</v>
      </c>
      <c r="Z58" t="str">
        <f>_xll.BDP("2812 HK Equity","NAV_CRNCY")</f>
        <v>HKD</v>
      </c>
      <c r="AA58" t="str">
        <f>_xll.BDP("2812 HK Equity","FUND_GEO_FOCUS")</f>
        <v>China</v>
      </c>
      <c r="AB58" t="str">
        <f>_xll.BDP("2812 HK Equity","FUND_ASSET_CLASS_FOCUS")</f>
        <v>Equity</v>
      </c>
      <c r="AC58">
        <f>_xll.BDP("2812 HK Equity","PX_LAST")</f>
        <v>9.98</v>
      </c>
      <c r="AD58">
        <f>_xll.BDP("2812 HK Equity","PX388","PX395=TIME_WAVG_BID_ASK_SPREAD_PCT","DY262=D","PY204=N","PX391=20260601","PX392=20260626")</f>
        <v>0.5999846145834884</v>
      </c>
      <c r="AE58">
        <f>_xll.BDP("2812 HK Equity","PX388","PX395=AVERAGE_BID_ASK_SPREAD_%","DY262=D","PY204=N","PX391=20260601","PX392=20260626")</f>
        <v>0.63938611882965668</v>
      </c>
    </row>
    <row r="59" spans="1:31" x14ac:dyDescent="0.25">
      <c r="A59" t="s">
        <v>84</v>
      </c>
      <c r="B59" t="str">
        <f>_xll.BDP("2815 HK Equity","LONG_COMP_NAME")</f>
        <v>Global X China Little Giant ETF</v>
      </c>
      <c r="C59">
        <f>_xll.BDP("2815 HK Equity","PX385","PX395=FUND_FLOW","DY262=D","PY204=N","PX391=20260622","PX392=20260626","DS004=USD")</f>
        <v>0</v>
      </c>
      <c r="D59">
        <f>_xll.BDP("2815 HK Equity","PX388","PX395=TURNOVER","DY262=D","PY204=N","PX391=20260601","PX392=20260626","DS004=HKD")</f>
        <v>910686.15157894732</v>
      </c>
      <c r="E59">
        <f>_xll.BDP("2815 HK Equity","PX388","PX395=TURNOVER","DY262=D","PY204=N","PX391=20250101","PX392=20251231","DS004=HKD")</f>
        <v>278970.39564102539</v>
      </c>
      <c r="F59">
        <f>_xll.BDP("2815 HK Equity","PX596","PX395=FUND_TOTAL_ASSETS","DY262=D","PY204=N","PX391=20260626","PX392=20260626","DS004=USD")</f>
        <v>7.2676858558294324</v>
      </c>
      <c r="G59">
        <f>_xll.BDP("2815 HK Equity","PX388","PX395=CUR_MKT_CAP","DY262=D","PY204=N","PX391=20260626","PX392=20260626","DS004=HKD")</f>
        <v>56.214962499999999</v>
      </c>
      <c r="H59" t="str">
        <f>_xll.BDP("2815 HK Equity","FUND_LEVERAGE_TYPE")</f>
        <v>#N/A N/A</v>
      </c>
      <c r="I59">
        <f>_xll.BDP("2815 HK Equity","PX388","PX395=TURNOVER","DY262=D","PY204=N","PX391=20260101","PX392=20260131","DS004=HKD")</f>
        <v>361511.58999999997</v>
      </c>
      <c r="J59">
        <v>-1</v>
      </c>
      <c r="K59" t="str">
        <f>_xll.BDP("2815 HK Equity","FUND_INCEPT_DT")</f>
        <v>11/20/2023</v>
      </c>
      <c r="L59" t="str">
        <f>_xll.BDP("2815 HK Equity","PX388","PX395=TURNOVER_EXCH_RATIO","DY262=D","PY204=N","PX391=20251201","PX392=20251210")</f>
        <v>#N/A N/A</v>
      </c>
      <c r="M59">
        <f>_xll.BDP("2815 HK Equity","EQY_SH_OUT")</f>
        <v>0.53974999999999995</v>
      </c>
      <c r="N59">
        <f>_xll.BDP("2815 HK Equity","EQY_TRR_PCT_YTD")</f>
        <v>62.382739999999998</v>
      </c>
      <c r="O59">
        <f>_xll.BDP("2815 HK Equity","CHG_PCT_YTD")</f>
        <v>63.936909999999997</v>
      </c>
      <c r="P59">
        <f>_xll.BDP("2815 HK Equity","CHG_PCT_1M")</f>
        <v>21.953970000000002</v>
      </c>
      <c r="Q59" t="str">
        <f>_xll.BDP("2815 HK Equity","LISTING_DATE")</f>
        <v>11/20/2023</v>
      </c>
      <c r="R59" t="str">
        <f>_xll.BDP("2815 HK Equity","FUND_INCEPT_DT")</f>
        <v>11/20/2023</v>
      </c>
      <c r="S59">
        <f>_xll.BDP("2815 HK Equity","AVG_DAILY_VALUE_TRADED_3M")</f>
        <v>579194.4</v>
      </c>
      <c r="T59" t="str">
        <f>_xll.BDP("2815 HK Equity","PX596","PX395=HISTORICAL_MARKET_CAP","DY262=D","PY204=N","PX391=20231231","PX392=20231231","DS004=HKD")</f>
        <v>#N/A N/A</v>
      </c>
      <c r="U59">
        <f>_xll.BDP("2815 HK Equity","PX385","PX395=FUND_FLOW","DY262=D","PY204=N","PX391=20240102","PX392=20240930","DS004=HKD")</f>
        <v>5.8308549999999988</v>
      </c>
      <c r="V59">
        <f>_xll.BDP("2815 HK Equity","PX596","PX395=CUR_MKT_CAP","DY262=D","PY204=N","PX391=20240101","DS004=HKD")</f>
        <v>32.294114999999998</v>
      </c>
      <c r="W59" t="str">
        <f>_xll.BDP("2815 HK Equity","FUND_INCEPT_DT")</f>
        <v>11/20/2023</v>
      </c>
      <c r="X59">
        <f>_xll.BDP("2815 HK Equity","PX388","PX395=TURNOVER","DY262=D","PY204=N","PX391=20240502","PX392=20240606","DS004=HKD")</f>
        <v>391088.27727272722</v>
      </c>
      <c r="Y59" t="str">
        <f>_xll.BDP("2815 HK Equity","PARENT_COMP_NAME")</f>
        <v>Mirae Asset Global Investments</v>
      </c>
      <c r="Z59" t="str">
        <f>_xll.BDP("2815 HK Equity","NAV_CRNCY")</f>
        <v>HKD</v>
      </c>
      <c r="AA59" t="str">
        <f>_xll.BDP("2815 HK Equity","FUND_GEO_FOCUS")</f>
        <v>China</v>
      </c>
      <c r="AB59" t="str">
        <f>_xll.BDP("2815 HK Equity","FUND_ASSET_CLASS_FOCUS")</f>
        <v>Equity</v>
      </c>
      <c r="AC59">
        <f>_xll.BDP("2815 HK Equity","PX_LAST")</f>
        <v>108.1</v>
      </c>
      <c r="AD59">
        <f>_xll.BDP("2815 HK Equity","PX388","PX395=TIME_WAVG_BID_ASK_SPREAD_PCT","DY262=D","PY204=N","PX391=20260601","PX392=20260626")</f>
        <v>0.74264279377051023</v>
      </c>
      <c r="AE59">
        <f>_xll.BDP("2815 HK Equity","PX388","PX395=AVERAGE_BID_ASK_SPREAD_%","DY262=D","PY204=N","PX391=20260601","PX392=20260626")</f>
        <v>0.84233320780754295</v>
      </c>
    </row>
    <row r="60" spans="1:31" x14ac:dyDescent="0.25">
      <c r="A60" t="s">
        <v>85</v>
      </c>
      <c r="B60" t="str">
        <f>_xll.BDP("2817 HK Equity","LONG_COMP_NAME")</f>
        <v>Premia China Treasury and Policy Bank Bond Long Duration ETF</v>
      </c>
      <c r="C60">
        <f>_xll.BDP("2817 HK Equity","PX385","PX395=FUND_FLOW","DY262=D","PY204=N","PX391=20260622","PX392=20260626","DS004=USD")</f>
        <v>0</v>
      </c>
      <c r="D60">
        <f>_xll.BDP("2817 HK Equity","PX388","PX395=TURNOVER","DY262=D","PY204=N","PX391=20260601","PX392=20260626","DS004=HKD")</f>
        <v>158817.16666666666</v>
      </c>
      <c r="E60">
        <f>_xll.BDP("2817 HK Equity","PX388","PX395=TURNOVER","DY262=D","PY204=N","PX391=20250101","PX392=20251231","DS004=HKD")</f>
        <v>311589.96969696967</v>
      </c>
      <c r="F60">
        <f>_xll.BDP("2817 HK Equity","PX596","PX395=FUND_TOTAL_ASSETS","DY262=D","PY204=N","PX391=20260626","PX392=20260626","DS004=USD")</f>
        <v>254.31970983939286</v>
      </c>
      <c r="G60">
        <f>_xll.BDP("2817 HK Equity","PX388","PX395=CUR_MKT_CAP","DY262=D","PY204=N","PX391=20260626","PX392=20260626","DS004=HKD")</f>
        <v>1981.8000000000002</v>
      </c>
      <c r="H60" t="str">
        <f>_xll.BDP("2817 HK Equity","FUND_LEVERAGE_TYPE")</f>
        <v>#N/A N/A</v>
      </c>
      <c r="I60">
        <f>_xll.BDP("2817 HK Equity","PX388","PX395=TURNOVER","DY262=D","PY204=N","PX391=20260101","PX392=20260131","DS004=HKD")</f>
        <v>28076.333333333332</v>
      </c>
      <c r="J60">
        <v>-0.99</v>
      </c>
      <c r="K60" t="str">
        <f>_xll.BDP("2817 HK Equity","FUND_INCEPT_DT")</f>
        <v>4/12/2021</v>
      </c>
      <c r="L60" t="str">
        <f>_xll.BDP("2817 HK Equity","PX388","PX395=TURNOVER_EXCH_RATIO","DY262=D","PY204=N","PX391=20251201","PX392=20251210")</f>
        <v>#N/A N/A</v>
      </c>
      <c r="M60">
        <f>_xll.BDP("2817 HK Equity","EQY_SH_OUT")</f>
        <v>13.5</v>
      </c>
      <c r="N60">
        <f>_xll.BDP("2817 HK Equity","EQY_TRR_PCT_YTD")</f>
        <v>6.3697030000000003</v>
      </c>
      <c r="O60">
        <f>_xll.BDP("2817 HK Equity","CHG_PCT_YTD")</f>
        <v>5.6814070000000001</v>
      </c>
      <c r="P60">
        <f>_xll.BDP("2817 HK Equity","CHG_PCT_1M")</f>
        <v>0.17041790000000001</v>
      </c>
      <c r="Q60" t="str">
        <f>_xll.BDP("2817 HK Equity","LISTING_DATE")</f>
        <v>4/14/2021</v>
      </c>
      <c r="R60" t="str">
        <f>_xll.BDP("2817 HK Equity","FUND_INCEPT_DT")</f>
        <v>4/12/2021</v>
      </c>
      <c r="S60">
        <f>_xll.BDP("2817 HK Equity","AVG_DAILY_VALUE_TRADED_3M")</f>
        <v>50283.48</v>
      </c>
      <c r="T60" t="str">
        <f>_xll.BDP("2817 HK Equity","PX596","PX395=HISTORICAL_MARKET_CAP","DY262=D","PY204=N","PX391=20231231","PX392=20231231","DS004=HKD")</f>
        <v>#N/A N/A</v>
      </c>
      <c r="U60">
        <f>_xll.BDP("2817 HK Equity","PX385","PX395=FUND_FLOW","DY262=D","PY204=N","PX391=20240102","PX392=20240930","DS004=HKD")</f>
        <v>51.574704999999938</v>
      </c>
      <c r="V60">
        <f>_xll.BDP("2817 HK Equity","PX596","PX395=CUR_MKT_CAP","DY262=D","PY204=N","PX391=20240101","DS004=HKD")</f>
        <v>1181.9250000000002</v>
      </c>
      <c r="W60" t="str">
        <f>_xll.BDP("2817 HK Equity","FUND_INCEPT_DT")</f>
        <v>4/12/2021</v>
      </c>
      <c r="X60">
        <f>_xll.BDP("2817 HK Equity","PX388","PX395=TURNOVER","DY262=D","PY204=N","PX391=20240502","PX392=20240606","DS004=HKD")</f>
        <v>224862.22499999998</v>
      </c>
      <c r="Y60" t="str">
        <f>_xll.BDP("2817 HK Equity","PARENT_COMP_NAME")</f>
        <v>Premia Partners Co Ltd/Hong Ko</v>
      </c>
      <c r="Z60" t="str">
        <f>_xll.BDP("2817 HK Equity","NAV_CRNCY")</f>
        <v>HKD</v>
      </c>
      <c r="AA60" t="str">
        <f>_xll.BDP("2817 HK Equity","FUND_GEO_FOCUS")</f>
        <v>China</v>
      </c>
      <c r="AB60" t="str">
        <f>_xll.BDP("2817 HK Equity","FUND_ASSET_CLASS_FOCUS")</f>
        <v>Fixed Income</v>
      </c>
      <c r="AC60">
        <f>_xll.BDP("2817 HK Equity","PX_LAST")</f>
        <v>146.94999999999999</v>
      </c>
      <c r="AD60">
        <f>_xll.BDP("2817 HK Equity","PX388","PX395=TIME_WAVG_BID_ASK_SPREAD_PCT","DY262=D","PY204=N","PX391=20260601","PX392=20260626")</f>
        <v>0.50502873023368144</v>
      </c>
      <c r="AE60">
        <f>_xll.BDP("2817 HK Equity","PX388","PX395=AVERAGE_BID_ASK_SPREAD_%","DY262=D","PY204=N","PX391=20260601","PX392=20260626")</f>
        <v>0.60752660231873934</v>
      </c>
    </row>
    <row r="61" spans="1:31" x14ac:dyDescent="0.25">
      <c r="A61" t="s">
        <v>86</v>
      </c>
      <c r="B61" t="str">
        <f>_xll.BDP("2818 HK Equity","LONG_COMP_NAME")</f>
        <v>Pando Bitcoin ETF</v>
      </c>
      <c r="C61">
        <f>_xll.BDP("2818 HK Equity","PX385","PX395=FUND_FLOW","DY262=D","PY204=N","PX391=20260622","PX392=20260626","DS004=USD")</f>
        <v>0</v>
      </c>
      <c r="D61">
        <f>_xll.BDP("2818 HK Equity","PX388","PX395=TURNOVER","DY262=D","PY204=N","PX391=20260601","PX392=20260626","DS004=HKD")</f>
        <v>46980.389473684219</v>
      </c>
      <c r="E61">
        <f>_xll.BDP("2818 HK Equity","PX388","PX395=TURNOVER","DY262=D","PY204=N","PX391=20250101","PX392=20251231","DS004=HKD")</f>
        <v>713271.05701754382</v>
      </c>
      <c r="F61">
        <f>_xll.BDP("2818 HK Equity","PX596","PX395=FUND_TOTAL_ASSETS","DY262=D","PY204=N","PX391=20260626","PX392=20260626","DS004=USD")</f>
        <v>25.389337040336706</v>
      </c>
      <c r="G61">
        <f>_xll.BDP("2818 HK Equity","PX388","PX395=CUR_MKT_CAP","DY262=D","PY204=N","PX391=20260626","PX392=20260626","DS004=HKD")</f>
        <v>160.62300000000002</v>
      </c>
      <c r="H61" t="str">
        <f>_xll.BDP("2818 HK Equity","FUND_LEVERAGE_TYPE")</f>
        <v>#N/A N/A</v>
      </c>
      <c r="I61">
        <f>_xll.BDP("2818 HK Equity","PX388","PX395=TURNOVER","DY262=D","PY204=N","PX391=20260101","PX392=20260131","DS004=HKD")</f>
        <v>157429.80952380953</v>
      </c>
      <c r="J61">
        <v>-1</v>
      </c>
      <c r="K61" t="str">
        <f>_xll.BDP("2818 HK Equity","FUND_INCEPT_DT")</f>
        <v>7/18/2025</v>
      </c>
      <c r="L61" t="str">
        <f>_xll.BDP("2818 HK Equity","PX388","PX395=TURNOVER_EXCH_RATIO","DY262=D","PY204=N","PX391=20251201","PX392=20251210")</f>
        <v>#N/A N/A</v>
      </c>
      <c r="M61">
        <f>_xll.BDP("2818 HK Equity","EQY_SH_OUT")</f>
        <v>47.4</v>
      </c>
      <c r="N61">
        <f>_xll.BDP("2818 HK Equity","EQY_TRR_PCT_YTD")</f>
        <v>-30.375389999999999</v>
      </c>
      <c r="O61">
        <f>_xll.BDP("2818 HK Equity","CHG_PCT_YTD")</f>
        <v>-32.010350000000003</v>
      </c>
      <c r="P61">
        <f>_xll.BDP("2818 HK Equity","CHG_PCT_1M")</f>
        <v>-17.779630000000001</v>
      </c>
      <c r="Q61" t="str">
        <f>_xll.BDP("2818 HK Equity","LISTING_DATE")</f>
        <v>7/18/2025</v>
      </c>
      <c r="R61" t="str">
        <f>_xll.BDP("2818 HK Equity","FUND_INCEPT_DT")</f>
        <v>7/18/2025</v>
      </c>
      <c r="S61">
        <f>_xll.BDP("2818 HK Equity","AVG_DAILY_VALUE_TRADED_3M")</f>
        <v>55204.45</v>
      </c>
      <c r="T61" t="str">
        <f>_xll.BDP("2818 HK Equity","PX596","PX395=HISTORICAL_MARKET_CAP","DY262=D","PY204=N","PX391=20231231","PX392=20231231","DS004=HKD")</f>
        <v>#N/A N/A</v>
      </c>
      <c r="U61" t="str">
        <f>_xll.BDP("2818 HK Equity","PX385","PX395=FUND_FLOW","DY262=D","PY204=N","PX391=20240102","PX392=20240930","DS004=HKD")</f>
        <v>#N/A N/A</v>
      </c>
      <c r="V61">
        <f>_xll.BDP("2818 HK Equity","PX596","PX395=CUR_MKT_CAP","DY262=D","PY204=N","PX391=20240101","DS004=HKD")</f>
        <v>274.1035</v>
      </c>
      <c r="W61" t="str">
        <f>_xll.BDP("2818 HK Equity","FUND_INCEPT_DT")</f>
        <v>7/18/2025</v>
      </c>
      <c r="X61" t="str">
        <f>_xll.BDP("2818 HK Equity","PX388","PX395=TURNOVER","DY262=D","PY204=N","PX391=20240502","PX392=20240606","DS004=HKD")</f>
        <v>#N/A N/A</v>
      </c>
      <c r="Y61" t="str">
        <f>_xll.BDP("2818 HK Equity","PARENT_COMP_NAME")</f>
        <v>Pando Finance Ltd/HK</v>
      </c>
      <c r="Z61" t="str">
        <f>_xll.BDP("2818 HK Equity","NAV_CRNCY")</f>
        <v>HKD</v>
      </c>
      <c r="AA61" t="str">
        <f>_xll.BDP("2818 HK Equity","FUND_GEO_FOCUS")</f>
        <v>Global</v>
      </c>
      <c r="AB61" t="str">
        <f>_xll.BDP("2818 HK Equity","FUND_ASSET_CLASS_FOCUS")</f>
        <v>Alternative</v>
      </c>
      <c r="AC61">
        <f>_xll.BDP("2818 HK Equity","PX_LAST")</f>
        <v>3.94</v>
      </c>
      <c r="AD61">
        <f>_xll.BDP("2818 HK Equity","PX388","PX395=TIME_WAVG_BID_ASK_SPREAD_PCT","DY262=D","PY204=N","PX391=20260601","PX392=20260626")</f>
        <v>0.47443504649695595</v>
      </c>
      <c r="AE61">
        <f>_xll.BDP("2818 HK Equity","PX388","PX395=AVERAGE_BID_ASK_SPREAD_%","DY262=D","PY204=N","PX391=20260601","PX392=20260626")</f>
        <v>0.56387020814636502</v>
      </c>
    </row>
    <row r="62" spans="1:31" x14ac:dyDescent="0.25">
      <c r="A62" t="s">
        <v>87</v>
      </c>
      <c r="B62" t="str">
        <f>_xll.BDP("2819 HK Equity","LONG_COMP_NAME")</f>
        <v>ABF Hong Kong Bond Index Fund</v>
      </c>
      <c r="C62">
        <f>_xll.BDP("2819 HK Equity","PX385","PX395=FUND_FLOW","DY262=D","PY204=N","PX391=20260622","PX392=20260626","DS004=USD")</f>
        <v>0</v>
      </c>
      <c r="D62">
        <f>_xll.BDP("2819 HK Equity","PX388","PX395=TURNOVER","DY262=D","PY204=N","PX391=20260601","PX392=20260626","DS004=HKD")</f>
        <v>849765.8631578947</v>
      </c>
      <c r="E62">
        <f>_xll.BDP("2819 HK Equity","PX388","PX395=TURNOVER","DY262=D","PY204=N","PX391=20250101","PX392=20251231","DS004=HKD")</f>
        <v>442897.36387434538</v>
      </c>
      <c r="F62">
        <f>_xll.BDP("2819 HK Equity","PX596","PX395=FUND_TOTAL_ASSETS","DY262=D","PY204=N","PX391=20260626","PX392=20260626","DS004=USD")</f>
        <v>339.52612866324063</v>
      </c>
      <c r="G62">
        <f>_xll.BDP("2819 HK Equity","PX388","PX395=CUR_MKT_CAP","DY262=D","PY204=N","PX391=20260626","PX392=20260626","DS004=HKD")</f>
        <v>2676.0822000000003</v>
      </c>
      <c r="H62" t="str">
        <f>_xll.BDP("2819 HK Equity","FUND_LEVERAGE_TYPE")</f>
        <v>#N/A N/A</v>
      </c>
      <c r="I62">
        <f>_xll.BDP("2819 HK Equity","PX388","PX395=TURNOVER","DY262=D","PY204=N","PX391=20260101","PX392=20260131","DS004=HKD")</f>
        <v>632733.00263157894</v>
      </c>
      <c r="J62">
        <v>-1</v>
      </c>
      <c r="K62" t="str">
        <f>_xll.BDP("2819 HK Equity","FUND_INCEPT_DT")</f>
        <v>6/17/2005</v>
      </c>
      <c r="L62" t="str">
        <f>_xll.BDP("2819 HK Equity","PX388","PX395=TURNOVER_EXCH_RATIO","DY262=D","PY204=N","PX391=20251201","PX392=20251210")</f>
        <v>#N/A N/A</v>
      </c>
      <c r="M62">
        <f>_xll.BDP("2819 HK Equity","EQY_SH_OUT")</f>
        <v>26.587999999999997</v>
      </c>
      <c r="N62">
        <f>_xll.BDP("2819 HK Equity","EQY_TRR_PCT_YTD")</f>
        <v>-0.19321440000000001</v>
      </c>
      <c r="O62">
        <f>_xll.BDP("2819 HK Equity","CHG_PCT_YTD")</f>
        <v>-1.5166310000000001</v>
      </c>
      <c r="P62">
        <f>_xll.BDP("2819 HK Equity","CHG_PCT_1M")</f>
        <v>-0.64166140000000005</v>
      </c>
      <c r="Q62" t="str">
        <f>_xll.BDP("2819 HK Equity","LISTING_DATE")</f>
        <v>#N/A Field Not Applicable</v>
      </c>
      <c r="R62" t="str">
        <f>_xll.BDP("2819 HK Equity","FUND_INCEPT_DT")</f>
        <v>6/17/2005</v>
      </c>
      <c r="S62">
        <f>_xll.BDP("2819 HK Equity","AVG_DAILY_VALUE_TRADED_3M")</f>
        <v>1013344</v>
      </c>
      <c r="T62" t="str">
        <f>_xll.BDP("2819 HK Equity","PX596","PX395=HISTORICAL_MARKET_CAP","DY262=D","PY204=N","PX391=20231231","PX392=20231231","DS004=HKD")</f>
        <v>#N/A N/A</v>
      </c>
      <c r="U62">
        <f>_xll.BDP("2819 HK Equity","PX385","PX395=FUND_FLOW","DY262=D","PY204=N","PX391=20240102","PX392=20240930","DS004=HKD")</f>
        <v>152.27406099999993</v>
      </c>
      <c r="V62">
        <f>_xll.BDP("2819 HK Equity","PX596","PX395=CUR_MKT_CAP","DY262=D","PY204=N","PX391=20240101","DS004=HKD")</f>
        <v>2602.8296</v>
      </c>
      <c r="W62" t="str">
        <f>_xll.BDP("2819 HK Equity","FUND_INCEPT_DT")</f>
        <v>6/17/2005</v>
      </c>
      <c r="X62">
        <f>_xll.BDP("2819 HK Equity","PX388","PX395=TURNOVER","DY262=D","PY204=N","PX391=20240502","PX392=20240606","DS004=HKD")</f>
        <v>61900.990624999991</v>
      </c>
      <c r="Y62" t="str">
        <f>_xll.BDP("2819 HK Equity","PARENT_COMP_NAME")</f>
        <v>HSBC Investment Funds Ltd/Hong</v>
      </c>
      <c r="Z62" t="str">
        <f>_xll.BDP("2819 HK Equity","NAV_CRNCY")</f>
        <v>HKD</v>
      </c>
      <c r="AA62" t="str">
        <f>_xll.BDP("2819 HK Equity","FUND_GEO_FOCUS")</f>
        <v>Hong Kong</v>
      </c>
      <c r="AB62" t="str">
        <f>_xll.BDP("2819 HK Equity","FUND_ASSET_CLASS_FOCUS")</f>
        <v>Fixed Income</v>
      </c>
      <c r="AC62">
        <f>_xll.BDP("2819 HK Equity","PX_LAST")</f>
        <v>100.65</v>
      </c>
      <c r="AD62">
        <f>_xll.BDP("2819 HK Equity","PX388","PX395=TIME_WAVG_BID_ASK_SPREAD_PCT","DY262=D","PY204=N","PX391=20260601","PX392=20260626")</f>
        <v>0.59069395429854932</v>
      </c>
      <c r="AE62">
        <f>_xll.BDP("2819 HK Equity","PX388","PX395=AVERAGE_BID_ASK_SPREAD_%","DY262=D","PY204=N","PX391=20260601","PX392=20260626")</f>
        <v>0.67580196280211768</v>
      </c>
    </row>
    <row r="63" spans="1:31" x14ac:dyDescent="0.25">
      <c r="A63" t="s">
        <v>88</v>
      </c>
      <c r="B63" t="str">
        <f>_xll.BDP("2820 HK Equity","LONG_COMP_NAME")</f>
        <v>Global X China Biotech</v>
      </c>
      <c r="C63">
        <f>_xll.BDP("2820 HK Equity","PX385","PX395=FUND_FLOW","DY262=D","PY204=N","PX391=20260622","PX392=20260626","DS004=USD")</f>
        <v>0</v>
      </c>
      <c r="D63">
        <f>_xll.BDP("2820 HK Equity","PX388","PX395=TURNOVER","DY262=D","PY204=N","PX391=20260601","PX392=20260626","DS004=HKD")</f>
        <v>1971252.4315789475</v>
      </c>
      <c r="E63">
        <f>_xll.BDP("2820 HK Equity","PX388","PX395=TURNOVER","DY262=D","PY204=N","PX391=20250101","PX392=20251231","DS004=HKD")</f>
        <v>2399908.5276422766</v>
      </c>
      <c r="F63">
        <f>_xll.BDP("2820 HK Equity","PX596","PX395=FUND_TOTAL_ASSETS","DY262=D","PY204=N","PX391=20260626","PX392=20260626","DS004=USD")</f>
        <v>70.221692347712974</v>
      </c>
      <c r="G63">
        <f>_xll.BDP("2820 HK Equity","PX388","PX395=CUR_MKT_CAP","DY262=D","PY204=N","PX391=20260626","PX392=20260626","DS004=HKD")</f>
        <v>546.4799999999999</v>
      </c>
      <c r="H63" t="str">
        <f>_xll.BDP("2820 HK Equity","FUND_LEVERAGE_TYPE")</f>
        <v>#N/A N/A</v>
      </c>
      <c r="I63">
        <f>_xll.BDP("2820 HK Equity","PX388","PX395=TURNOVER","DY262=D","PY204=N","PX391=20260101","PX392=20260131","DS004=HKD")</f>
        <v>3315642.3809523806</v>
      </c>
      <c r="J63">
        <v>-1</v>
      </c>
      <c r="K63" t="str">
        <f>_xll.BDP("2820 HK Equity","FUND_INCEPT_DT")</f>
        <v>7/25/2019</v>
      </c>
      <c r="L63" t="str">
        <f>_xll.BDP("2820 HK Equity","PX388","PX395=TURNOVER_EXCH_RATIO","DY262=D","PY204=N","PX391=20251201","PX392=20251210")</f>
        <v>#N/A N/A</v>
      </c>
      <c r="M63">
        <f>_xll.BDP("2820 HK Equity","EQY_SH_OUT")</f>
        <v>9.1999999999999993</v>
      </c>
      <c r="N63">
        <f>_xll.BDP("2820 HK Equity","EQY_TRR_PCT_YTD")</f>
        <v>-11.226470000000001</v>
      </c>
      <c r="O63">
        <f>_xll.BDP("2820 HK Equity","CHG_PCT_YTD")</f>
        <v>-6.2170050000000003</v>
      </c>
      <c r="P63">
        <f>_xll.BDP("2820 HK Equity","CHG_PCT_1M")</f>
        <v>-0.92936430000000003</v>
      </c>
      <c r="Q63" t="str">
        <f>_xll.BDP("2820 HK Equity","LISTING_DATE")</f>
        <v>7/25/2019</v>
      </c>
      <c r="R63" t="str">
        <f>_xll.BDP("2820 HK Equity","FUND_INCEPT_DT")</f>
        <v>7/25/2019</v>
      </c>
      <c r="S63">
        <f>_xll.BDP("2820 HK Equity","AVG_DAILY_VALUE_TRADED_3M")</f>
        <v>1716178</v>
      </c>
      <c r="T63" t="str">
        <f>_xll.BDP("2820 HK Equity","PX596","PX395=HISTORICAL_MARKET_CAP","DY262=D","PY204=N","PX391=20231231","PX392=20231231","DS004=HKD")</f>
        <v>#N/A N/A</v>
      </c>
      <c r="U63">
        <f>_xll.BDP("2820 HK Equity","PX385","PX395=FUND_FLOW","DY262=D","PY204=N","PX391=20240102","PX392=20240930","DS004=HKD")</f>
        <v>-99.413000000000011</v>
      </c>
      <c r="V63">
        <f>_xll.BDP("2820 HK Equity","PX596","PX395=CUR_MKT_CAP","DY262=D","PY204=N","PX391=20240101","DS004=HKD")</f>
        <v>624.03000000000009</v>
      </c>
      <c r="W63" t="str">
        <f>_xll.BDP("2820 HK Equity","FUND_INCEPT_DT")</f>
        <v>7/25/2019</v>
      </c>
      <c r="X63">
        <f>_xll.BDP("2820 HK Equity","PX388","PX395=TURNOVER","DY262=D","PY204=N","PX391=20240502","PX392=20240606","DS004=HKD")</f>
        <v>549004.42400000012</v>
      </c>
      <c r="Y63" t="str">
        <f>_xll.BDP("2820 HK Equity","PARENT_COMP_NAME")</f>
        <v>Mirae Asset Global Investments</v>
      </c>
      <c r="Z63" t="str">
        <f>_xll.BDP("2820 HK Equity","NAV_CRNCY")</f>
        <v>HKD</v>
      </c>
      <c r="AA63" t="str">
        <f>_xll.BDP("2820 HK Equity","FUND_GEO_FOCUS")</f>
        <v>China</v>
      </c>
      <c r="AB63" t="str">
        <f>_xll.BDP("2820 HK Equity","FUND_ASSET_CLASS_FOCUS")</f>
        <v>Equity</v>
      </c>
      <c r="AC63">
        <f>_xll.BDP("2820 HK Equity","PX_LAST")</f>
        <v>63.96</v>
      </c>
      <c r="AD63">
        <f>_xll.BDP("2820 HK Equity","PX388","PX395=TIME_WAVG_BID_ASK_SPREAD_PCT","DY262=D","PY204=N","PX391=20260601","PX392=20260626")</f>
        <v>0.32499744398452807</v>
      </c>
      <c r="AE63">
        <f>_xll.BDP("2820 HK Equity","PX388","PX395=AVERAGE_BID_ASK_SPREAD_%","DY262=D","PY204=N","PX391=20260601","PX392=20260626")</f>
        <v>0.37448178576909075</v>
      </c>
    </row>
    <row r="64" spans="1:31" x14ac:dyDescent="0.25">
      <c r="A64" t="s">
        <v>89</v>
      </c>
      <c r="B64" t="str">
        <f>_xll.BDP("2821 HK Equity","LONG_COMP_NAME")</f>
        <v>ABF PAN ASIA BOND INDEX FUND</v>
      </c>
      <c r="C64">
        <f>_xll.BDP("2821 HK Equity","PX385","PX395=FUND_FLOW","DY262=D","PY204=N","PX391=20260622","PX392=20260626","DS004=USD")</f>
        <v>0</v>
      </c>
      <c r="D64">
        <f>_xll.BDP("2821 HK Equity","PX388","PX395=TURNOVER","DY262=D","PY204=N","PX391=20260601","PX392=20260626","DS004=HKD")</f>
        <v>3604779.6727746148</v>
      </c>
      <c r="E64">
        <f>_xll.BDP("2821 HK Equity","PX388","PX395=TURNOVER","DY262=D","PY204=N","PX391=20250101","PX392=20251231","DS004=HKD")</f>
        <v>1032826.6581384371</v>
      </c>
      <c r="F64">
        <f>_xll.BDP("2821 HK Equity","PX596","PX395=FUND_TOTAL_ASSETS","DY262=D","PY204=N","PX391=20260626","PX392=20260626","DS004=USD")</f>
        <v>3834.5140768299998</v>
      </c>
      <c r="G64">
        <f>_xll.BDP("2821 HK Equity","PX388","PX395=CUR_MKT_CAP","DY262=D","PY204=N","PX391=20260626","PX392=20260626","DS004=HKD")</f>
        <v>29993.2082535792</v>
      </c>
      <c r="H64" t="str">
        <f>_xll.BDP("2821 HK Equity","FUND_LEVERAGE_TYPE")</f>
        <v>#N/A N/A</v>
      </c>
      <c r="I64">
        <f>_xll.BDP("2821 HK Equity","PX388","PX395=TURNOVER","DY262=D","PY204=N","PX391=20260101","PX392=20260131","DS004=HKD")</f>
        <v>929112.09823428572</v>
      </c>
      <c r="J64">
        <v>-1</v>
      </c>
      <c r="K64" t="str">
        <f>_xll.BDP("2821 HK Equity","FUND_INCEPT_DT")</f>
        <v>7/7/2005</v>
      </c>
      <c r="L64" t="str">
        <f>_xll.BDP("2821 HK Equity","PX388","PX395=TURNOVER_EXCH_RATIO","DY262=D","PY204=N","PX391=20251201","PX392=20251210")</f>
        <v>#N/A N/A</v>
      </c>
      <c r="M64">
        <f>_xll.BDP("2821 HK Equity","EQY_SH_OUT")</f>
        <v>34.801089999999995</v>
      </c>
      <c r="N64">
        <f>_xll.BDP("2821 HK Equity","EQY_TRR_PCT_YTD")</f>
        <v>-2.7477490000000002</v>
      </c>
      <c r="O64">
        <f>_xll.BDP("2821 HK Equity","CHG_PCT_YTD")</f>
        <v>-3.9266999999999999</v>
      </c>
      <c r="P64">
        <f>_xll.BDP("2821 HK Equity","CHG_PCT_1M")</f>
        <v>-1.1225849999999999</v>
      </c>
      <c r="Q64" t="str">
        <f>_xll.BDP("2821 HK Equity","LISTING_DATE")</f>
        <v>#N/A Field Not Applicable</v>
      </c>
      <c r="R64" t="str">
        <f>_xll.BDP("2821 HK Equity","FUND_INCEPT_DT")</f>
        <v>7/7/2005</v>
      </c>
      <c r="S64">
        <f>_xll.BDP("2821 HK Equity","AVG_DAILY_VALUE_TRADED_3M")</f>
        <v>201995.3</v>
      </c>
      <c r="T64" t="str">
        <f>_xll.BDP("2821 HK Equity","PX596","PX395=HISTORICAL_MARKET_CAP","DY262=D","PY204=N","PX391=20231231","PX392=20231231","DS004=HKD")</f>
        <v>#N/A N/A</v>
      </c>
      <c r="U64">
        <f>_xll.BDP("2821 HK Equity","PX385","PX395=FUND_FLOW","DY262=D","PY204=N","PX391=20240102","PX392=20240930","DS004=HKD")</f>
        <v>478.24424237320898</v>
      </c>
      <c r="V64">
        <f>_xll.BDP("2821 HK Equity","PX596","PX395=CUR_MKT_CAP","DY262=D","PY204=N","PX391=20240101","DS004=HKD")</f>
        <v>30806.854829671196</v>
      </c>
      <c r="W64" t="str">
        <f>_xll.BDP("2821 HK Equity","FUND_INCEPT_DT")</f>
        <v>7/7/2005</v>
      </c>
      <c r="X64">
        <f>_xll.BDP("2821 HK Equity","PX388","PX395=TURNOVER","DY262=D","PY204=N","PX391=20240502","PX392=20240606","DS004=HKD")</f>
        <v>28201574.617304556</v>
      </c>
      <c r="Y64" t="str">
        <f>_xll.BDP("2821 HK Equity","PARENT_COMP_NAME")</f>
        <v>State Street ETFs/Singapore</v>
      </c>
      <c r="Z64" t="str">
        <f>_xll.BDP("2821 HK Equity","NAV_CRNCY")</f>
        <v>USD</v>
      </c>
      <c r="AA64" t="str">
        <f>_xll.BDP("2821 HK Equity","FUND_GEO_FOCUS")</f>
        <v>Asian Pacific Region ex Japan</v>
      </c>
      <c r="AB64" t="str">
        <f>_xll.BDP("2821 HK Equity","FUND_ASSET_CLASS_FOCUS")</f>
        <v>Fixed Income</v>
      </c>
      <c r="AC64">
        <f>_xll.BDP("2821 HK Equity","PX_LAST")</f>
        <v>110.1</v>
      </c>
      <c r="AD64">
        <f>_xll.BDP("2821 HK Equity","PX388","PX395=TIME_WAVG_BID_ASK_SPREAD_PCT","DY262=D","PY204=N","PX391=20260601","PX392=20260626")</f>
        <v>0.20746862646982983</v>
      </c>
      <c r="AE64">
        <f>_xll.BDP("2821 HK Equity","PX388","PX395=AVERAGE_BID_ASK_SPREAD_%","DY262=D","PY204=N","PX391=20260601","PX392=20260626")</f>
        <v>0.37957326282405307</v>
      </c>
    </row>
    <row r="65" spans="1:31" x14ac:dyDescent="0.25">
      <c r="A65" t="s">
        <v>90</v>
      </c>
      <c r="B65" t="str">
        <f>_xll.BDP("2824 HK Equity","LONG_COMP_NAME")</f>
        <v>E Fund HK Solactive Global Gold Miner Select Index ETF</v>
      </c>
      <c r="C65">
        <f>_xll.BDP("2824 HK Equity","PX385","PX395=FUND_FLOW","DY262=D","PY204=N","PX391=20260622","PX392=20260626","DS004=USD")</f>
        <v>0</v>
      </c>
      <c r="D65">
        <f>_xll.BDP("2824 HK Equity","PX388","PX395=TURNOVER","DY262=D","PY204=N","PX391=20260601","PX392=20260626","DS004=HKD")</f>
        <v>3332008.7894736845</v>
      </c>
      <c r="E65" t="str">
        <f>_xll.BDP("2824 HK Equity","PX388","PX395=TURNOVER","DY262=D","PY204=N","PX391=20250101","PX392=20251231","DS004=HKD")</f>
        <v>#N/A N/A</v>
      </c>
      <c r="F65">
        <f>_xll.BDP("2824 HK Equity","PX596","PX395=FUND_TOTAL_ASSETS","DY262=D","PY204=N","PX391=20260626","PX392=20260626","DS004=USD")</f>
        <v>38.790012946787201</v>
      </c>
      <c r="G65">
        <f>_xll.BDP("2824 HK Equity","PX388","PX395=CUR_MKT_CAP","DY262=D","PY204=N","PX391=20260626","PX392=20260626","DS004=HKD")</f>
        <v>300.51</v>
      </c>
      <c r="H65" t="str">
        <f>_xll.BDP("2824 HK Equity","FUND_LEVERAGE_TYPE")</f>
        <v>#N/A N/A</v>
      </c>
      <c r="I65">
        <f>_xll.BDP("2824 HK Equity","PX388","PX395=TURNOVER","DY262=D","PY204=N","PX391=20260101","PX392=20260131","DS004=HKD")</f>
        <v>143792400</v>
      </c>
      <c r="J65">
        <v>-1</v>
      </c>
      <c r="K65" t="str">
        <f>_xll.BDP("2824 HK Equity","FUND_INCEPT_DT")</f>
        <v>1/28/2026</v>
      </c>
      <c r="L65" t="str">
        <f>_xll.BDP("2824 HK Equity","PX388","PX395=TURNOVER_EXCH_RATIO","DY262=D","PY204=N","PX391=20251201","PX392=20251210")</f>
        <v>#N/A N/A</v>
      </c>
      <c r="M65">
        <f>_xll.BDP("2824 HK Equity","EQY_SH_OUT")</f>
        <v>37.1</v>
      </c>
      <c r="N65" t="str">
        <f>_xll.BDP("2824 HK Equity","EQY_TRR_PCT_YTD")</f>
        <v>#N/A N/A</v>
      </c>
      <c r="O65" t="str">
        <f>_xll.BDP("2824 HK Equity","CHG_PCT_YTD")</f>
        <v>#N/A N/A</v>
      </c>
      <c r="P65">
        <f>_xll.BDP("2824 HK Equity","CHG_PCT_1M")</f>
        <v>-18.53877</v>
      </c>
      <c r="Q65" t="str">
        <f>_xll.BDP("2824 HK Equity","LISTING_DATE")</f>
        <v>1/30/2026</v>
      </c>
      <c r="R65" t="str">
        <f>_xll.BDP("2824 HK Equity","FUND_INCEPT_DT")</f>
        <v>1/28/2026</v>
      </c>
      <c r="S65">
        <f>_xll.BDP("2824 HK Equity","AVG_DAILY_VALUE_TRADED_3M")</f>
        <v>4152289</v>
      </c>
      <c r="T65" t="str">
        <f>_xll.BDP("2824 HK Equity","PX596","PX395=HISTORICAL_MARKET_CAP","DY262=D","PY204=N","PX391=20231231","PX392=20231231","DS004=HKD")</f>
        <v>#N/A N/A</v>
      </c>
      <c r="U65" t="str">
        <f>_xll.BDP("2824 HK Equity","PX385","PX395=FUND_FLOW","DY262=D","PY204=N","PX391=20240102","PX392=20240930","DS004=HKD")</f>
        <v>#N/A N/A</v>
      </c>
      <c r="V65" t="str">
        <f>_xll.BDP("2824 HK Equity","PX596","PX395=CUR_MKT_CAP","DY262=D","PY204=N","PX391=20240101","DS004=HKD")</f>
        <v>#N/A N/A</v>
      </c>
      <c r="W65" t="str">
        <f>_xll.BDP("2824 HK Equity","FUND_INCEPT_DT")</f>
        <v>1/28/2026</v>
      </c>
      <c r="X65" t="str">
        <f>_xll.BDP("2824 HK Equity","PX388","PX395=TURNOVER","DY262=D","PY204=N","PX391=20240502","PX392=20240606","DS004=HKD")</f>
        <v>#N/A N/A</v>
      </c>
      <c r="Y65" t="str">
        <f>_xll.BDP("2824 HK Equity","PARENT_COMP_NAME")</f>
        <v>E Fund Management Hong Kong Co</v>
      </c>
      <c r="Z65" t="str">
        <f>_xll.BDP("2824 HK Equity","NAV_CRNCY")</f>
        <v>HKD</v>
      </c>
      <c r="AA65" t="str">
        <f>_xll.BDP("2824 HK Equity","FUND_GEO_FOCUS")</f>
        <v>Global</v>
      </c>
      <c r="AB65" t="str">
        <f>_xll.BDP("2824 HK Equity","FUND_ASSET_CLASS_FOCUS")</f>
        <v>Equity</v>
      </c>
      <c r="AC65">
        <f>_xll.BDP("2824 HK Equity","PX_LAST")</f>
        <v>8.1950000000000003</v>
      </c>
      <c r="AD65">
        <f>_xll.BDP("2824 HK Equity","PX388","PX395=TIME_WAVG_BID_ASK_SPREAD_PCT","DY262=D","PY204=N","PX391=20260601","PX392=20260626")</f>
        <v>0.20613262967689097</v>
      </c>
      <c r="AE65">
        <f>_xll.BDP("2824 HK Equity","PX388","PX395=AVERAGE_BID_ASK_SPREAD_%","DY262=D","PY204=N","PX391=20260601","PX392=20260626")</f>
        <v>0.28234521694785308</v>
      </c>
    </row>
    <row r="66" spans="1:31" x14ac:dyDescent="0.25">
      <c r="A66" t="s">
        <v>91</v>
      </c>
      <c r="B66" t="str">
        <f>_xll.BDP("2826 HK Equity","LONG_COMP_NAME")</f>
        <v>Global X China Cloud Computing</v>
      </c>
      <c r="C66">
        <f>_xll.BDP("2826 HK Equity","PX385","PX395=FUND_FLOW","DY262=D","PY204=N","PX391=20260622","PX392=20260626","DS004=USD")</f>
        <v>0</v>
      </c>
      <c r="D66">
        <f>_xll.BDP("2826 HK Equity","PX388","PX395=TURNOVER","DY262=D","PY204=N","PX391=20260601","PX392=20260626","DS004=HKD")</f>
        <v>309938.99052631576</v>
      </c>
      <c r="E66">
        <f>_xll.BDP("2826 HK Equity","PX388","PX395=TURNOVER","DY262=D","PY204=N","PX391=20250101","PX392=20251231","DS004=HKD")</f>
        <v>798837.79257142928</v>
      </c>
      <c r="F66">
        <f>_xll.BDP("2826 HK Equity","PX596","PX395=FUND_TOTAL_ASSETS","DY262=D","PY204=N","PX391=20260626","PX392=20260626","DS004=USD")</f>
        <v>22.438682861733461</v>
      </c>
      <c r="G66">
        <f>_xll.BDP("2826 HK Equity","PX388","PX395=CUR_MKT_CAP","DY262=D","PY204=N","PX391=20260626","PX392=20260626","DS004=HKD")</f>
        <v>173.42</v>
      </c>
      <c r="H66" t="str">
        <f>_xll.BDP("2826 HK Equity","FUND_LEVERAGE_TYPE")</f>
        <v>#N/A N/A</v>
      </c>
      <c r="I66">
        <f>_xll.BDP("2826 HK Equity","PX388","PX395=TURNOVER","DY262=D","PY204=N","PX391=20260101","PX392=20260131","DS004=HKD")</f>
        <v>1052373.7885714285</v>
      </c>
      <c r="J66">
        <v>-1</v>
      </c>
      <c r="K66" t="str">
        <f>_xll.BDP("2826 HK Equity","FUND_INCEPT_DT")</f>
        <v>7/25/2019</v>
      </c>
      <c r="L66" t="str">
        <f>_xll.BDP("2826 HK Equity","PX388","PX395=TURNOVER_EXCH_RATIO","DY262=D","PY204=N","PX391=20251201","PX392=20251210")</f>
        <v>#N/A N/A</v>
      </c>
      <c r="M66">
        <f>_xll.BDP("2826 HK Equity","EQY_SH_OUT")</f>
        <v>3.25</v>
      </c>
      <c r="N66">
        <f>_xll.BDP("2826 HK Equity","EQY_TRR_PCT_YTD")</f>
        <v>-15.996689999999999</v>
      </c>
      <c r="O66">
        <f>_xll.BDP("2826 HK Equity","CHG_PCT_YTD")</f>
        <v>-16.14472</v>
      </c>
      <c r="P66">
        <f>_xll.BDP("2826 HK Equity","CHG_PCT_1M")</f>
        <v>-7.6046909999999999</v>
      </c>
      <c r="Q66" t="str">
        <f>_xll.BDP("2826 HK Equity","LISTING_DATE")</f>
        <v>7/25/2019</v>
      </c>
      <c r="R66" t="str">
        <f>_xll.BDP("2826 HK Equity","FUND_INCEPT_DT")</f>
        <v>7/25/2019</v>
      </c>
      <c r="S66">
        <f>_xll.BDP("2826 HK Equity","AVG_DAILY_VALUE_TRADED_3M")</f>
        <v>466002.3</v>
      </c>
      <c r="T66" t="str">
        <f>_xll.BDP("2826 HK Equity","PX596","PX395=HISTORICAL_MARKET_CAP","DY262=D","PY204=N","PX391=20231231","PX392=20231231","DS004=HKD")</f>
        <v>#N/A N/A</v>
      </c>
      <c r="U66">
        <f>_xll.BDP("2826 HK Equity","PX385","PX395=FUND_FLOW","DY262=D","PY204=N","PX391=20240102","PX392=20240930","DS004=HKD")</f>
        <v>-58.73109500000001</v>
      </c>
      <c r="V66">
        <f>_xll.BDP("2826 HK Equity","PX596","PX395=CUR_MKT_CAP","DY262=D","PY204=N","PX391=20240101","DS004=HKD")</f>
        <v>266.40899999999999</v>
      </c>
      <c r="W66" t="str">
        <f>_xll.BDP("2826 HK Equity","FUND_INCEPT_DT")</f>
        <v>7/25/2019</v>
      </c>
      <c r="X66">
        <f>_xll.BDP("2826 HK Equity","PX388","PX395=TURNOVER","DY262=D","PY204=N","PX391=20240502","PX392=20240606","DS004=HKD")</f>
        <v>566403.4375</v>
      </c>
      <c r="Y66" t="str">
        <f>_xll.BDP("2826 HK Equity","PARENT_COMP_NAME")</f>
        <v>Mirae Asset Global Investments</v>
      </c>
      <c r="Z66" t="str">
        <f>_xll.BDP("2826 HK Equity","NAV_CRNCY")</f>
        <v>HKD</v>
      </c>
      <c r="AA66" t="str">
        <f>_xll.BDP("2826 HK Equity","FUND_GEO_FOCUS")</f>
        <v>China</v>
      </c>
      <c r="AB66" t="str">
        <f>_xll.BDP("2826 HK Equity","FUND_ASSET_CLASS_FOCUS")</f>
        <v>Equity</v>
      </c>
      <c r="AC66">
        <f>_xll.BDP("2826 HK Equity","PX_LAST")</f>
        <v>55.16</v>
      </c>
      <c r="AD66">
        <f>_xll.BDP("2826 HK Equity","PX388","PX395=TIME_WAVG_BID_ASK_SPREAD_PCT","DY262=D","PY204=N","PX391=20260601","PX392=20260626")</f>
        <v>0.38874533231063635</v>
      </c>
      <c r="AE66">
        <f>_xll.BDP("2826 HK Equity","PX388","PX395=AVERAGE_BID_ASK_SPREAD_%","DY262=D","PY204=N","PX391=20260601","PX392=20260626")</f>
        <v>0.44380407875112104</v>
      </c>
    </row>
    <row r="67" spans="1:31" x14ac:dyDescent="0.25">
      <c r="A67" t="s">
        <v>92</v>
      </c>
      <c r="B67" t="str">
        <f>_xll.BDP("2827 HK Equity","LONG_COMP_NAME")</f>
        <v>BOCI-Prudential - W.I.S.E. - CSI China Tracker Fund</v>
      </c>
      <c r="C67">
        <f>_xll.BDP("2827 HK Equity","PX385","PX395=FUND_FLOW","DY262=D","PY204=N","PX391=20260622","PX392=20260626","DS004=USD")</f>
        <v>0</v>
      </c>
      <c r="D67">
        <f>_xll.BDP("2827 HK Equity","PX388","PX395=TURNOVER","DY262=D","PY204=N","PX391=20260601","PX392=20260626","DS004=HKD")</f>
        <v>5339501.222222222</v>
      </c>
      <c r="E67">
        <f>_xll.BDP("2827 HK Equity","PX388","PX395=TURNOVER","DY262=D","PY204=N","PX391=20250101","PX392=20251231","DS004=HKD")</f>
        <v>1172484.193932039</v>
      </c>
      <c r="F67">
        <f>_xll.BDP("2827 HK Equity","PX596","PX395=FUND_TOTAL_ASSETS","DY262=D","PY204=N","PX391=20260626","PX392=20260626","DS004=USD")</f>
        <v>112.06343963989235</v>
      </c>
      <c r="G67">
        <f>_xll.BDP("2827 HK Equity","PX388","PX395=CUR_MKT_CAP","DY262=D","PY204=N","PX391=20260626","PX392=20260626","DS004=HKD")</f>
        <v>877.89600000000007</v>
      </c>
      <c r="H67" t="str">
        <f>_xll.BDP("2827 HK Equity","FUND_LEVERAGE_TYPE")</f>
        <v>#N/A N/A</v>
      </c>
      <c r="I67">
        <f>_xll.BDP("2827 HK Equity","PX388","PX395=TURNOVER","DY262=D","PY204=N","PX391=20260101","PX392=20260131","DS004=HKD")</f>
        <v>1766823.3879999998</v>
      </c>
      <c r="J67">
        <v>-1</v>
      </c>
      <c r="K67" t="str">
        <f>_xll.BDP("2827 HK Equity","FUND_INCEPT_DT")</f>
        <v>7/17/2007</v>
      </c>
      <c r="L67" t="str">
        <f>_xll.BDP("2827 HK Equity","PX388","PX395=TURNOVER_EXCH_RATIO","DY262=D","PY204=N","PX391=20251201","PX392=20251210")</f>
        <v>#N/A N/A</v>
      </c>
      <c r="M67">
        <f>_xll.BDP("2827 HK Equity","EQY_SH_OUT")</f>
        <v>17.8</v>
      </c>
      <c r="N67">
        <f>_xll.BDP("2827 HK Equity","EQY_TRR_PCT_YTD")</f>
        <v>12.441330000000001</v>
      </c>
      <c r="O67">
        <f>_xll.BDP("2827 HK Equity","CHG_PCT_YTD")</f>
        <v>11.63101</v>
      </c>
      <c r="P67">
        <f>_xll.BDP("2827 HK Equity","CHG_PCT_1M")</f>
        <v>1.171243</v>
      </c>
      <c r="Q67" t="str">
        <f>_xll.BDP("2827 HK Equity","LISTING_DATE")</f>
        <v>7/13/2007</v>
      </c>
      <c r="R67" t="str">
        <f>_xll.BDP("2827 HK Equity","FUND_INCEPT_DT")</f>
        <v>7/17/2007</v>
      </c>
      <c r="S67">
        <f>_xll.BDP("2827 HK Equity","AVG_DAILY_VALUE_TRADED_3M")</f>
        <v>2808990</v>
      </c>
      <c r="T67" t="str">
        <f>_xll.BDP("2827 HK Equity","PX596","PX395=HISTORICAL_MARKET_CAP","DY262=D","PY204=N","PX391=20231231","PX392=20231231","DS004=HKD")</f>
        <v>#N/A N/A</v>
      </c>
      <c r="U67">
        <f>_xll.BDP("2827 HK Equity","PX385","PX395=FUND_FLOW","DY262=D","PY204=N","PX391=20240102","PX392=20240930","DS004=HKD")</f>
        <v>-15.137260000000062</v>
      </c>
      <c r="V67">
        <f>_xll.BDP("2827 HK Equity","PX596","PX395=CUR_MKT_CAP","DY262=D","PY204=N","PX391=20240101","DS004=HKD")</f>
        <v>933.50400000000013</v>
      </c>
      <c r="W67" t="str">
        <f>_xll.BDP("2827 HK Equity","FUND_INCEPT_DT")</f>
        <v>7/17/2007</v>
      </c>
      <c r="X67">
        <f>_xll.BDP("2827 HK Equity","PX388","PX395=TURNOVER","DY262=D","PY204=N","PX391=20240502","PX392=20240606","DS004=HKD")</f>
        <v>839739.9055555556</v>
      </c>
      <c r="Y67" t="str">
        <f>_xll.BDP("2827 HK Equity","PARENT_COMP_NAME")</f>
        <v>BOCI-Prudential Asset Manageme</v>
      </c>
      <c r="Z67" t="str">
        <f>_xll.BDP("2827 HK Equity","NAV_CRNCY")</f>
        <v>HKD</v>
      </c>
      <c r="AA67" t="str">
        <f>_xll.BDP("2827 HK Equity","FUND_GEO_FOCUS")</f>
        <v>China</v>
      </c>
      <c r="AB67" t="str">
        <f>_xll.BDP("2827 HK Equity","FUND_ASSET_CLASS_FOCUS")</f>
        <v>Equity</v>
      </c>
      <c r="AC67">
        <f>_xll.BDP("2827 HK Equity","PX_LAST")</f>
        <v>50.1</v>
      </c>
      <c r="AD67">
        <f>_xll.BDP("2827 HK Equity","PX388","PX395=TIME_WAVG_BID_ASK_SPREAD_PCT","DY262=D","PY204=N","PX391=20260601","PX392=20260626")</f>
        <v>0.23050336201459942</v>
      </c>
      <c r="AE67">
        <f>_xll.BDP("2827 HK Equity","PX388","PX395=AVERAGE_BID_ASK_SPREAD_%","DY262=D","PY204=N","PX391=20260601","PX392=20260626")</f>
        <v>0.31438330961181365</v>
      </c>
    </row>
    <row r="68" spans="1:31" x14ac:dyDescent="0.25">
      <c r="A68" t="s">
        <v>93</v>
      </c>
      <c r="B68" t="str">
        <f>_xll.BDP("2829 HK Equity","LONG_COMP_NAME")</f>
        <v>iShares China Government Bond ETF</v>
      </c>
      <c r="C68">
        <f>_xll.BDP("2829 HK Equity","PX385","PX395=FUND_FLOW","DY262=D","PY204=N","PX391=20260622","PX392=20260626","DS004=USD")</f>
        <v>0</v>
      </c>
      <c r="D68">
        <f>_xll.BDP("2829 HK Equity","PX388","PX395=TURNOVER","DY262=D","PY204=N","PX391=20260601","PX392=20260626","DS004=HKD")</f>
        <v>208505.44705882354</v>
      </c>
      <c r="E68">
        <f>_xll.BDP("2829 HK Equity","PX388","PX395=TURNOVER","DY262=D","PY204=N","PX391=20250101","PX392=20251231","DS004=HKD")</f>
        <v>136387.84503067483</v>
      </c>
      <c r="F68">
        <f>_xll.BDP("2829 HK Equity","PX596","PX395=FUND_TOTAL_ASSETS","DY262=D","PY204=N","PX391=20260626","PX392=20260626","DS004=USD")</f>
        <v>497.840117625603</v>
      </c>
      <c r="G68">
        <f>_xll.BDP("2829 HK Equity","PX388","PX395=CUR_MKT_CAP","DY262=D","PY204=N","PX391=20260626","PX392=20260626","DS004=HKD")</f>
        <v>3900.9315200000001</v>
      </c>
      <c r="H68" t="str">
        <f>_xll.BDP("2829 HK Equity","FUND_LEVERAGE_TYPE")</f>
        <v>#N/A N/A</v>
      </c>
      <c r="I68">
        <f>_xll.BDP("2829 HK Equity","PX388","PX395=TURNOVER","DY262=D","PY204=N","PX391=20260101","PX392=20260131","DS004=HKD")</f>
        <v>146100.04615384614</v>
      </c>
      <c r="J68">
        <v>-1</v>
      </c>
      <c r="K68" t="str">
        <f>_xll.BDP("2829 HK Equity","FUND_INCEPT_DT")</f>
        <v>10/21/2021</v>
      </c>
      <c r="L68" t="str">
        <f>_xll.BDP("2829 HK Equity","PX388","PX395=TURNOVER_EXCH_RATIO","DY262=D","PY204=N","PX391=20251201","PX392=20251210")</f>
        <v>#N/A N/A</v>
      </c>
      <c r="M68">
        <f>_xll.BDP("2829 HK Equity","EQY_SH_OUT")</f>
        <v>62.315199999999997</v>
      </c>
      <c r="N68">
        <f>_xll.BDP("2829 HK Equity","EQY_TRR_PCT_YTD")</f>
        <v>5.0786790000000002</v>
      </c>
      <c r="O68">
        <f>_xll.BDP("2829 HK Equity","CHG_PCT_YTD")</f>
        <v>4.6682240000000004</v>
      </c>
      <c r="P68">
        <f>_xll.BDP("2829 HK Equity","CHG_PCT_1M")</f>
        <v>-0.97792040000000002</v>
      </c>
      <c r="Q68" t="str">
        <f>_xll.BDP("2829 HK Equity","LISTING_DATE")</f>
        <v>10/21/2021</v>
      </c>
      <c r="R68" t="str">
        <f>_xll.BDP("2829 HK Equity","FUND_INCEPT_DT")</f>
        <v>10/21/2021</v>
      </c>
      <c r="S68">
        <f>_xll.BDP("2829 HK Equity","AVG_DAILY_VALUE_TRADED_3M")</f>
        <v>383740.1</v>
      </c>
      <c r="T68" t="str">
        <f>_xll.BDP("2829 HK Equity","PX596","PX395=HISTORICAL_MARKET_CAP","DY262=D","PY204=N","PX391=20231231","PX392=20231231","DS004=HKD")</f>
        <v>#N/A N/A</v>
      </c>
      <c r="U68">
        <f>_xll.BDP("2829 HK Equity","PX385","PX395=FUND_FLOW","DY262=D","PY204=N","PX391=20240102","PX392=20240930","DS004=HKD")</f>
        <v>-247.55936750000018</v>
      </c>
      <c r="V68">
        <f>_xll.BDP("2829 HK Equity","PX596","PX395=CUR_MKT_CAP","DY262=D","PY204=N","PX391=20240101","DS004=HKD")</f>
        <v>3935.5996959999998</v>
      </c>
      <c r="W68" t="str">
        <f>_xll.BDP("2829 HK Equity","FUND_INCEPT_DT")</f>
        <v>10/21/2021</v>
      </c>
      <c r="X68">
        <f>_xll.BDP("2829 HK Equity","PX388","PX395=TURNOVER","DY262=D","PY204=N","PX391=20240502","PX392=20240606","DS004=HKD")</f>
        <v>80346.711111111101</v>
      </c>
      <c r="Y68" t="str">
        <f>_xll.BDP("2829 HK Equity","PARENT_COMP_NAME")</f>
        <v>iShares ETFs/Hong Kong</v>
      </c>
      <c r="Z68" t="str">
        <f>_xll.BDP("2829 HK Equity","NAV_CRNCY")</f>
        <v>HKD</v>
      </c>
      <c r="AA68" t="str">
        <f>_xll.BDP("2829 HK Equity","FUND_GEO_FOCUS")</f>
        <v>China</v>
      </c>
      <c r="AB68" t="str">
        <f>_xll.BDP("2829 HK Equity","FUND_ASSET_CLASS_FOCUS")</f>
        <v>Fixed Income</v>
      </c>
      <c r="AC68">
        <f>_xll.BDP("2829 HK Equity","PX_LAST")</f>
        <v>62.78</v>
      </c>
      <c r="AD68">
        <f>_xll.BDP("2829 HK Equity","PX388","PX395=TIME_WAVG_BID_ASK_SPREAD_PCT","DY262=D","PY204=N","PX391=20260601","PX392=20260626")</f>
        <v>8.3024160842238084E-2</v>
      </c>
      <c r="AE68">
        <f>_xll.BDP("2829 HK Equity","PX388","PX395=AVERAGE_BID_ASK_SPREAD_%","DY262=D","PY204=N","PX391=20260601","PX392=20260626")</f>
        <v>0.13833186890710775</v>
      </c>
    </row>
    <row r="69" spans="1:31" x14ac:dyDescent="0.25">
      <c r="A69" t="s">
        <v>94</v>
      </c>
      <c r="B69" t="str">
        <f>_xll.BDP("2830 HK Equity","LONG_COMP_NAME")</f>
        <v>CSOP Saudi Arabia ETF</v>
      </c>
      <c r="C69">
        <f>_xll.BDP("2830 HK Equity","PX385","PX395=FUND_FLOW","DY262=D","PY204=N","PX391=20260622","PX392=20260626","DS004=USD")</f>
        <v>0</v>
      </c>
      <c r="D69">
        <f>_xll.BDP("2830 HK Equity","PX388","PX395=TURNOVER","DY262=D","PY204=N","PX391=20260601","PX392=20260626","DS004=HKD")</f>
        <v>47884.172857142854</v>
      </c>
      <c r="E69">
        <f>_xll.BDP("2830 HK Equity","PX388","PX395=TURNOVER","DY262=D","PY204=N","PX391=20250101","PX392=20251231","DS004=HKD")</f>
        <v>522930.9735593223</v>
      </c>
      <c r="F69" t="str">
        <f>_xll.BDP("2830 HK Equity","PX596","PX395=FUND_TOTAL_ASSETS","DY262=D","PY204=N","PX391=20260626","PX392=20260626","DS004=USD")</f>
        <v>#N/A N/A</v>
      </c>
      <c r="G69">
        <f>_xll.BDP("2830 HK Equity","PX388","PX395=CUR_MKT_CAP","DY262=D","PY204=N","PX391=20260626","PX392=20260626","DS004=HKD")</f>
        <v>9667.2799999999988</v>
      </c>
      <c r="H69" t="str">
        <f>_xll.BDP("2830 HK Equity","FUND_LEVERAGE_TYPE")</f>
        <v>#N/A N/A</v>
      </c>
      <c r="I69">
        <f>_xll.BDP("2830 HK Equity","PX388","PX395=TURNOVER","DY262=D","PY204=N","PX391=20260101","PX392=20260131","DS004=HKD")</f>
        <v>469021.81428571435</v>
      </c>
      <c r="J69" t="s">
        <v>31</v>
      </c>
      <c r="K69" t="str">
        <f>_xll.BDP("2830 HK Equity","FUND_INCEPT_DT")</f>
        <v>11/29/2023</v>
      </c>
      <c r="L69" t="str">
        <f>_xll.BDP("2830 HK Equity","PX388","PX395=TURNOVER_EXCH_RATIO","DY262=D","PY204=N","PX391=20251201","PX392=20251210")</f>
        <v>#N/A N/A</v>
      </c>
      <c r="M69">
        <f>_xll.BDP("2830 HK Equity","EQY_SH_OUT")</f>
        <v>122</v>
      </c>
      <c r="N69">
        <f>_xll.BDP("2830 HK Equity","EQY_TRR_PCT_YTD")</f>
        <v>5.4827950000000003</v>
      </c>
      <c r="O69">
        <f>_xll.BDP("2830 HK Equity","CHG_PCT_YTD")</f>
        <v>6.4047369999999999</v>
      </c>
      <c r="P69">
        <f>_xll.BDP("2830 HK Equity","CHG_PCT_1M")</f>
        <v>-1.3226850000000001</v>
      </c>
      <c r="Q69" t="str">
        <f>_xll.BDP("2830 HK Equity","LISTING_DATE")</f>
        <v>11/29/2023</v>
      </c>
      <c r="R69" t="str">
        <f>_xll.BDP("2830 HK Equity","FUND_INCEPT_DT")</f>
        <v>11/29/2023</v>
      </c>
      <c r="S69">
        <f>_xll.BDP("2830 HK Equity","AVG_DAILY_VALUE_TRADED_3M")</f>
        <v>70522.05</v>
      </c>
      <c r="T69" t="str">
        <f>_xll.BDP("2830 HK Equity","PX596","PX395=HISTORICAL_MARKET_CAP","DY262=D","PY204=N","PX391=20231231","PX392=20231231","DS004=HKD")</f>
        <v>#N/A N/A</v>
      </c>
      <c r="U69">
        <f>_xll.BDP("2830 HK Equity","PX385","PX395=FUND_FLOW","DY262=D","PY204=N","PX391=20240102","PX392=20240930","DS004=HKD")</f>
        <v>983.91413352824645</v>
      </c>
      <c r="V69">
        <f>_xll.BDP("2830 HK Equity","PX596","PX395=CUR_MKT_CAP","DY262=D","PY204=N","PX391=20240101","DS004=HKD")</f>
        <v>9572.4159999999993</v>
      </c>
      <c r="W69" t="str">
        <f>_xll.BDP("2830 HK Equity","FUND_INCEPT_DT")</f>
        <v>11/29/2023</v>
      </c>
      <c r="X69">
        <f>_xll.BDP("2830 HK Equity","PX388","PX395=TURNOVER","DY262=D","PY204=N","PX391=20240502","PX392=20240606","DS004=HKD")</f>
        <v>1743114.648</v>
      </c>
      <c r="Y69" t="str">
        <f>_xll.BDP("2830 HK Equity","PARENT_COMP_NAME")</f>
        <v>CSOP Asset Management Ltd/Hong</v>
      </c>
      <c r="Z69" t="str">
        <f>_xll.BDP("2830 HK Equity","NAV_CRNCY")</f>
        <v>SAR</v>
      </c>
      <c r="AA69" t="str">
        <f>_xll.BDP("2830 HK Equity","FUND_GEO_FOCUS")</f>
        <v>Saudi Arabia</v>
      </c>
      <c r="AB69" t="str">
        <f>_xll.BDP("2830 HK Equity","FUND_ASSET_CLASS_FOCUS")</f>
        <v>Equity</v>
      </c>
      <c r="AC69">
        <f>_xll.BDP("2830 HK Equity","PX_LAST")</f>
        <v>79.08</v>
      </c>
      <c r="AD69">
        <f>_xll.BDP("2830 HK Equity","PX388","PX395=TIME_WAVG_BID_ASK_SPREAD_PCT","DY262=D","PY204=N","PX391=20260601","PX392=20260626")</f>
        <v>0.37620310347403851</v>
      </c>
      <c r="AE69">
        <f>_xll.BDP("2830 HK Equity","PX388","PX395=AVERAGE_BID_ASK_SPREAD_%","DY262=D","PY204=N","PX391=20260601","PX392=20260626")</f>
        <v>0.55145148623478413</v>
      </c>
    </row>
    <row r="70" spans="1:31" x14ac:dyDescent="0.25">
      <c r="A70" t="s">
        <v>95</v>
      </c>
      <c r="B70" t="str">
        <f>_xll.BDP("2832 HK Equity","LONG_COMP_NAME")</f>
        <v>Bosera STAR 50 Index ETF</v>
      </c>
      <c r="C70">
        <f>_xll.BDP("2832 HK Equity","PX385","PX395=FUND_FLOW","DY262=D","PY204=N","PX391=20260622","PX392=20260626","DS004=USD")</f>
        <v>0</v>
      </c>
      <c r="D70">
        <f>_xll.BDP("2832 HK Equity","PX388","PX395=TURNOVER","DY262=D","PY204=N","PX391=20260601","PX392=20260626","DS004=HKD")</f>
        <v>539104.36842105258</v>
      </c>
      <c r="E70">
        <f>_xll.BDP("2832 HK Equity","PX388","PX395=TURNOVER","DY262=D","PY204=N","PX391=20250101","PX392=20251231","DS004=HKD")</f>
        <v>617571.78305785102</v>
      </c>
      <c r="F70">
        <f>_xll.BDP("2832 HK Equity","PX596","PX395=FUND_TOTAL_ASSETS","DY262=D","PY204=N","PX391=20260626","PX392=20260626","DS004=USD")</f>
        <v>6.9830553219163232</v>
      </c>
      <c r="G70">
        <f>_xll.BDP("2832 HK Equity","PX388","PX395=CUR_MKT_CAP","DY262=D","PY204=N","PX391=20260626","PX392=20260626","DS004=HKD")</f>
        <v>62.607999999999997</v>
      </c>
      <c r="H70" t="str">
        <f>_xll.BDP("2832 HK Equity","FUND_LEVERAGE_TYPE")</f>
        <v>#N/A N/A</v>
      </c>
      <c r="I70">
        <f>_xll.BDP("2832 HK Equity","PX388","PX395=TURNOVER","DY262=D","PY204=N","PX391=20260101","PX392=20260131","DS004=HKD")</f>
        <v>558261.16666666663</v>
      </c>
      <c r="J70">
        <v>-1</v>
      </c>
      <c r="K70" t="str">
        <f>_xll.BDP("2832 HK Equity","FUND_INCEPT_DT")</f>
        <v>12/9/2013</v>
      </c>
      <c r="L70" t="str">
        <f>_xll.BDP("2832 HK Equity","PX388","PX395=TURNOVER_EXCH_RATIO","DY262=D","PY204=N","PX391=20251201","PX392=20251210")</f>
        <v>#N/A N/A</v>
      </c>
      <c r="M70">
        <f>_xll.BDP("2832 HK Equity","EQY_SH_OUT")</f>
        <v>4.3</v>
      </c>
      <c r="N70">
        <f>_xll.BDP("2832 HK Equity","EQY_TRR_PCT_YTD")</f>
        <v>54.203490000000002</v>
      </c>
      <c r="O70">
        <f>_xll.BDP("2832 HK Equity","CHG_PCT_YTD")</f>
        <v>60.502879999999998</v>
      </c>
      <c r="P70">
        <f>_xll.BDP("2832 HK Equity","CHG_PCT_1M")</f>
        <v>20.53501</v>
      </c>
      <c r="Q70" t="str">
        <f>_xll.BDP("2832 HK Equity","LISTING_DATE")</f>
        <v>12/9/2013</v>
      </c>
      <c r="R70" t="str">
        <f>_xll.BDP("2832 HK Equity","FUND_INCEPT_DT")</f>
        <v>12/9/2013</v>
      </c>
      <c r="S70">
        <f>_xll.BDP("2832 HK Equity","AVG_DAILY_VALUE_TRADED_3M")</f>
        <v>477635.3</v>
      </c>
      <c r="T70" t="str">
        <f>_xll.BDP("2832 HK Equity","PX596","PX395=HISTORICAL_MARKET_CAP","DY262=D","PY204=N","PX391=20231231","PX392=20231231","DS004=HKD")</f>
        <v>#N/A N/A</v>
      </c>
      <c r="U70">
        <f>_xll.BDP("2832 HK Equity","PX385","PX395=FUND_FLOW","DY262=D","PY204=N","PX391=20240102","PX392=20240930","DS004=HKD")</f>
        <v>0</v>
      </c>
      <c r="V70">
        <f>_xll.BDP("2832 HK Equity","PX596","PX395=CUR_MKT_CAP","DY262=D","PY204=N","PX391=20240101","DS004=HKD")</f>
        <v>55.360999999999997</v>
      </c>
      <c r="W70" t="str">
        <f>_xll.BDP("2832 HK Equity","FUND_INCEPT_DT")</f>
        <v>12/9/2013</v>
      </c>
      <c r="X70" t="str">
        <f>_xll.BDP("2832 HK Equity","PX388","PX395=TURNOVER","DY262=D","PY204=N","PX391=20240502","PX392=20240606","DS004=HKD")</f>
        <v>#N/A N/A</v>
      </c>
      <c r="Y70" t="str">
        <f>_xll.BDP("2832 HK Equity","PARENT_COMP_NAME")</f>
        <v>Bosera Asset Management Intern</v>
      </c>
      <c r="Z70" t="str">
        <f>_xll.BDP("2832 HK Equity","NAV_CRNCY")</f>
        <v>HKD</v>
      </c>
      <c r="AA70" t="str">
        <f>_xll.BDP("2832 HK Equity","FUND_GEO_FOCUS")</f>
        <v>China</v>
      </c>
      <c r="AB70" t="str">
        <f>_xll.BDP("2832 HK Equity","FUND_ASSET_CLASS_FOCUS")</f>
        <v>Equity</v>
      </c>
      <c r="AC70">
        <f>_xll.BDP("2832 HK Equity","PX_LAST")</f>
        <v>15.32</v>
      </c>
      <c r="AD70">
        <f>_xll.BDP("2832 HK Equity","PX388","PX395=TIME_WAVG_BID_ASK_SPREAD_PCT","DY262=D","PY204=N","PX391=20260601","PX392=20260626")</f>
        <v>0.54659976903214524</v>
      </c>
      <c r="AE70">
        <f>_xll.BDP("2832 HK Equity","PX388","PX395=AVERAGE_BID_ASK_SPREAD_%","DY262=D","PY204=N","PX391=20260601","PX392=20260626")</f>
        <v>0.62594551263999398</v>
      </c>
    </row>
    <row r="71" spans="1:31" x14ac:dyDescent="0.25">
      <c r="A71" t="s">
        <v>96</v>
      </c>
      <c r="B71" t="str">
        <f>_xll.BDP("2834 HK Equity","LONG_COMP_NAME")</f>
        <v>iShares NASDAQ 100 ETF</v>
      </c>
      <c r="C71">
        <f>_xll.BDP("2834 HK Equity","PX385","PX395=FUND_FLOW","DY262=D","PY204=N","PX391=20260622","PX392=20260626","DS004=USD")</f>
        <v>0</v>
      </c>
      <c r="D71">
        <f>_xll.BDP("2834 HK Equity","PX388","PX395=TURNOVER","DY262=D","PY204=N","PX391=20260601","PX392=20260626","DS004=HKD")</f>
        <v>8863197.8947368432</v>
      </c>
      <c r="E71">
        <f>_xll.BDP("2834 HK Equity","PX388","PX395=TURNOVER","DY262=D","PY204=N","PX391=20250101","PX392=20251231","DS004=HKD")</f>
        <v>1937361.0199999989</v>
      </c>
      <c r="F71">
        <f>_xll.BDP("2834 HK Equity","PX596","PX395=FUND_TOTAL_ASSETS","DY262=D","PY204=N","PX391=20260626","PX392=20260626","DS004=USD")</f>
        <v>173.55718657</v>
      </c>
      <c r="G71">
        <f>_xll.BDP("2834 HK Equity","PX388","PX395=CUR_MKT_CAP","DY262=D","PY204=N","PX391=20260626","PX392=20260626","DS004=HKD")</f>
        <v>1370.3040000000001</v>
      </c>
      <c r="H71" t="str">
        <f>_xll.BDP("2834 HK Equity","FUND_LEVERAGE_TYPE")</f>
        <v>#N/A N/A</v>
      </c>
      <c r="I71">
        <f>_xll.BDP("2834 HK Equity","PX388","PX395=TURNOVER","DY262=D","PY204=N","PX391=20260101","PX392=20260131","DS004=HKD")</f>
        <v>3947247.5714285714</v>
      </c>
      <c r="J71">
        <v>-1</v>
      </c>
      <c r="K71" t="str">
        <f>_xll.BDP("2834 HK Equity","FUND_INCEPT_DT")</f>
        <v>6/22/2016</v>
      </c>
      <c r="L71" t="str">
        <f>_xll.BDP("2834 HK Equity","PX388","PX395=TURNOVER_EXCH_RATIO","DY262=D","PY204=N","PX391=20251201","PX392=20251210")</f>
        <v>#N/A N/A</v>
      </c>
      <c r="M71">
        <f>_xll.BDP("2834 HK Equity","EQY_SH_OUT")</f>
        <v>2.44</v>
      </c>
      <c r="N71">
        <f>_xll.BDP("2834 HK Equity","EQY_TRR_PCT_YTD")</f>
        <v>17.571470000000001</v>
      </c>
      <c r="O71">
        <f>_xll.BDP("2834 HK Equity","CHG_PCT_YTD")</f>
        <v>16.26369</v>
      </c>
      <c r="P71">
        <f>_xll.BDP("2834 HK Equity","CHG_PCT_1M")</f>
        <v>-3.1002369999999999</v>
      </c>
      <c r="Q71" t="str">
        <f>_xll.BDP("2834 HK Equity","LISTING_DATE")</f>
        <v>6/29/2016</v>
      </c>
      <c r="R71" t="str">
        <f>_xll.BDP("2834 HK Equity","FUND_INCEPT_DT")</f>
        <v>6/22/2016</v>
      </c>
      <c r="S71">
        <f>_xll.BDP("2834 HK Equity","AVG_DAILY_VALUE_TRADED_3M")</f>
        <v>8722902</v>
      </c>
      <c r="T71" t="str">
        <f>_xll.BDP("2834 HK Equity","PX596","PX395=HISTORICAL_MARKET_CAP","DY262=D","PY204=N","PX391=20231231","PX392=20231231","DS004=HKD")</f>
        <v>#N/A N/A</v>
      </c>
      <c r="U71">
        <f>_xll.BDP("2834 HK Equity","PX385","PX395=FUND_FLOW","DY262=D","PY204=N","PX391=20240102","PX392=20240930","DS004=HKD")</f>
        <v>38.058125999999952</v>
      </c>
      <c r="V71">
        <f>_xll.BDP("2834 HK Equity","PX596","PX395=CUR_MKT_CAP","DY262=D","PY204=N","PX391=20240101","DS004=HKD")</f>
        <v>783.91800000000001</v>
      </c>
      <c r="W71" t="str">
        <f>_xll.BDP("2834 HK Equity","FUND_INCEPT_DT")</f>
        <v>6/22/2016</v>
      </c>
      <c r="X71">
        <f>_xll.BDP("2834 HK Equity","PX388","PX395=TURNOVER","DY262=D","PY204=N","PX391=20240502","PX392=20240606","DS004=HKD")</f>
        <v>676800.13333333319</v>
      </c>
      <c r="Y71" t="str">
        <f>_xll.BDP("2834 HK Equity","PARENT_COMP_NAME")</f>
        <v>iShares ETFs/Hong Kong</v>
      </c>
      <c r="Z71" t="str">
        <f>_xll.BDP("2834 HK Equity","NAV_CRNCY")</f>
        <v>HKD</v>
      </c>
      <c r="AA71" t="str">
        <f>_xll.BDP("2834 HK Equity","FUND_GEO_FOCUS")</f>
        <v>U.S.</v>
      </c>
      <c r="AB71" t="str">
        <f>_xll.BDP("2834 HK Equity","FUND_ASSET_CLASS_FOCUS")</f>
        <v>Equity</v>
      </c>
      <c r="AC71">
        <f>_xll.BDP("2834 HK Equity","PX_LAST")</f>
        <v>562.6</v>
      </c>
      <c r="AD71">
        <f>_xll.BDP("2834 HK Equity","PX388","PX395=TIME_WAVG_BID_ASK_SPREAD_PCT","DY262=D","PY204=N","PX391=20260601","PX392=20260626")</f>
        <v>0.14999940176986579</v>
      </c>
      <c r="AE71">
        <f>_xll.BDP("2834 HK Equity","PX388","PX395=AVERAGE_BID_ASK_SPREAD_%","DY262=D","PY204=N","PX391=20260601","PX392=20260626")</f>
        <v>0.1815737009618589</v>
      </c>
    </row>
    <row r="72" spans="1:31" x14ac:dyDescent="0.25">
      <c r="A72" t="s">
        <v>97</v>
      </c>
      <c r="B72" t="str">
        <f>_xll.BDP("2835 HK Equity","LONG_COMP_NAME")</f>
        <v>Phillip HK Newly Listed Equities Index ETF</v>
      </c>
      <c r="C72">
        <f>_xll.BDP("2835 HK Equity","PX385","PX395=FUND_FLOW","DY262=D","PY204=N","PX391=20260622","PX392=20260626","DS004=USD")</f>
        <v>0</v>
      </c>
      <c r="D72">
        <f>_xll.BDP("2835 HK Equity","PX388","PX395=TURNOVER","DY262=D","PY204=N","PX391=20260601","PX392=20260626","DS004=HKD")</f>
        <v>48691.605333333326</v>
      </c>
      <c r="E72">
        <f>_xll.BDP("2835 HK Equity","PX388","PX395=TURNOVER","DY262=D","PY204=N","PX391=20250101","PX392=20251231","DS004=HKD")</f>
        <v>43348.6735849057</v>
      </c>
      <c r="F72">
        <f>_xll.BDP("2835 HK Equity","PX596","PX395=FUND_TOTAL_ASSETS","DY262=D","PY204=N","PX391=20260626","PX392=20260626","DS004=USD")</f>
        <v>8.1788067418166044</v>
      </c>
      <c r="G72">
        <f>_xll.BDP("2835 HK Equity","PX388","PX395=CUR_MKT_CAP","DY262=D","PY204=N","PX391=20260626","PX392=20260626","DS004=HKD")</f>
        <v>66</v>
      </c>
      <c r="H72" t="str">
        <f>_xll.BDP("2835 HK Equity","FUND_LEVERAGE_TYPE")</f>
        <v>#N/A N/A</v>
      </c>
      <c r="I72">
        <f>_xll.BDP("2835 HK Equity","PX388","PX395=TURNOVER","DY262=D","PY204=N","PX391=20260101","PX392=20260131","DS004=HKD")</f>
        <v>90712.0625</v>
      </c>
      <c r="J72">
        <v>-1</v>
      </c>
      <c r="K72" t="str">
        <f>_xll.BDP("2835 HK Equity","FUND_INCEPT_DT")</f>
        <v>11/21/2022</v>
      </c>
      <c r="L72" t="str">
        <f>_xll.BDP("2835 HK Equity","PX388","PX395=TURNOVER_EXCH_RATIO","DY262=D","PY204=N","PX391=20251201","PX392=20251210")</f>
        <v>#N/A N/A</v>
      </c>
      <c r="M72">
        <f>_xll.BDP("2835 HK Equity","EQY_SH_OUT")</f>
        <v>6.6</v>
      </c>
      <c r="N72">
        <f>_xll.BDP("2835 HK Equity","EQY_TRR_PCT_YTD")</f>
        <v>-17.24222</v>
      </c>
      <c r="O72">
        <f>_xll.BDP("2835 HK Equity","CHG_PCT_YTD")</f>
        <v>-17.915310000000002</v>
      </c>
      <c r="P72">
        <f>_xll.BDP("2835 HK Equity","CHG_PCT_1M")</f>
        <v>-13.84615</v>
      </c>
      <c r="Q72" t="str">
        <f>_xll.BDP("2835 HK Equity","LISTING_DATE")</f>
        <v>11/21/2022</v>
      </c>
      <c r="R72" t="str">
        <f>_xll.BDP("2835 HK Equity","FUND_INCEPT_DT")</f>
        <v>11/21/2022</v>
      </c>
      <c r="S72">
        <f>_xll.BDP("2835 HK Equity","AVG_DAILY_VALUE_TRADED_3M")</f>
        <v>26935.77</v>
      </c>
      <c r="T72" t="str">
        <f>_xll.BDP("2835 HK Equity","PX596","PX395=HISTORICAL_MARKET_CAP","DY262=D","PY204=N","PX391=20231231","PX392=20231231","DS004=HKD")</f>
        <v>#N/A N/A</v>
      </c>
      <c r="U72">
        <f>_xll.BDP("2835 HK Equity","PX385","PX395=FUND_FLOW","DY262=D","PY204=N","PX391=20240102","PX392=20240930","DS004=HKD")</f>
        <v>0</v>
      </c>
      <c r="V72">
        <f>_xll.BDP("2835 HK Equity","PX596","PX395=CUR_MKT_CAP","DY262=D","PY204=N","PX391=20240101","DS004=HKD")</f>
        <v>73.679999999999993</v>
      </c>
      <c r="W72" t="str">
        <f>_xll.BDP("2835 HK Equity","FUND_INCEPT_DT")</f>
        <v>11/21/2022</v>
      </c>
      <c r="X72">
        <f>_xll.BDP("2835 HK Equity","PX388","PX395=TURNOVER","DY262=D","PY204=N","PX391=20240502","PX392=20240606","DS004=HKD")</f>
        <v>82483.441176470587</v>
      </c>
      <c r="Y72" t="str">
        <f>_xll.BDP("2835 HK Equity","PARENT_COMP_NAME")</f>
        <v>Phillip Capital Management HK</v>
      </c>
      <c r="Z72" t="str">
        <f>_xll.BDP("2835 HK Equity","NAV_CRNCY")</f>
        <v>HKD</v>
      </c>
      <c r="AA72" t="str">
        <f>_xll.BDP("2835 HK Equity","FUND_GEO_FOCUS")</f>
        <v>Hong Kong</v>
      </c>
      <c r="AB72" t="str">
        <f>_xll.BDP("2835 HK Equity","FUND_ASSET_CLASS_FOCUS")</f>
        <v>Equity</v>
      </c>
      <c r="AC72">
        <f>_xll.BDP("2835 HK Equity","PX_LAST")</f>
        <v>10.08</v>
      </c>
      <c r="AD72">
        <f>_xll.BDP("2835 HK Equity","PX388","PX395=TIME_WAVG_BID_ASK_SPREAD_PCT","DY262=D","PY204=N","PX391=20260601","PX392=20260626")</f>
        <v>0.38775955036164161</v>
      </c>
      <c r="AE72">
        <f>_xll.BDP("2835 HK Equity","PX388","PX395=AVERAGE_BID_ASK_SPREAD_%","DY262=D","PY204=N","PX391=20260601","PX392=20260626")</f>
        <v>0.46410382005725509</v>
      </c>
    </row>
    <row r="73" spans="1:31" x14ac:dyDescent="0.25">
      <c r="A73" t="s">
        <v>98</v>
      </c>
      <c r="B73" t="str">
        <f>_xll.BDP("2836 HK Equity","LONG_COMP_NAME")</f>
        <v>iShares Core SENSEX India ETF</v>
      </c>
      <c r="C73">
        <f>_xll.BDP("2836 HK Equity","PX385","PX395=FUND_FLOW","DY262=D","PY204=N","PX391=20260622","PX392=20260626","DS004=USD")</f>
        <v>0</v>
      </c>
      <c r="D73">
        <f>_xll.BDP("2836 HK Equity","PX388","PX395=TURNOVER","DY262=D","PY204=N","PX391=20260601","PX392=20260626","DS004=HKD")</f>
        <v>635833.13684210519</v>
      </c>
      <c r="E73">
        <f>_xll.BDP("2836 HK Equity","PX388","PX395=TURNOVER","DY262=D","PY204=N","PX391=20250101","PX392=20251231","DS004=HKD")</f>
        <v>1357445.717804878</v>
      </c>
      <c r="F73">
        <f>_xll.BDP("2836 HK Equity","PX596","PX395=FUND_TOTAL_ASSETS","DY262=D","PY204=N","PX391=20260626","PX392=20260626","DS004=USD")</f>
        <v>605.88678472000004</v>
      </c>
      <c r="G73">
        <f>_xll.BDP("2836 HK Equity","PX388","PX395=CUR_MKT_CAP","DY262=D","PY204=N","PX391=20260626","PX392=20260626","DS004=HKD")</f>
        <v>4740.9600000000009</v>
      </c>
      <c r="H73" t="str">
        <f>_xll.BDP("2836 HK Equity","FUND_LEVERAGE_TYPE")</f>
        <v>#N/A N/A</v>
      </c>
      <c r="I73">
        <f>_xll.BDP("2836 HK Equity","PX388","PX395=TURNOVER","DY262=D","PY204=N","PX391=20260101","PX392=20260131","DS004=HKD")</f>
        <v>1415747.5285714283</v>
      </c>
      <c r="J73">
        <v>-1</v>
      </c>
      <c r="K73" t="str">
        <f>_xll.BDP("2836 HK Equity","FUND_INCEPT_DT")</f>
        <v>10/31/2006</v>
      </c>
      <c r="L73" t="str">
        <f>_xll.BDP("2836 HK Equity","PX388","PX395=TURNOVER_EXCH_RATIO","DY262=D","PY204=N","PX391=20251201","PX392=20251210")</f>
        <v>#N/A N/A</v>
      </c>
      <c r="M73">
        <f>_xll.BDP("2836 HK Equity","EQY_SH_OUT")</f>
        <v>132.79999999999998</v>
      </c>
      <c r="N73">
        <f>_xll.BDP("2836 HK Equity","EQY_TRR_PCT_YTD")</f>
        <v>-11.4785</v>
      </c>
      <c r="O73">
        <f>_xll.BDP("2836 HK Equity","CHG_PCT_YTD")</f>
        <v>-11.99802</v>
      </c>
      <c r="P73">
        <f>_xll.BDP("2836 HK Equity","CHG_PCT_1M")</f>
        <v>2.187675</v>
      </c>
      <c r="Q73" t="str">
        <f>_xll.BDP("2836 HK Equity","LISTING_DATE")</f>
        <v>11/2/2006</v>
      </c>
      <c r="R73" t="str">
        <f>_xll.BDP("2836 HK Equity","FUND_INCEPT_DT")</f>
        <v>10/31/2006</v>
      </c>
      <c r="S73">
        <f>_xll.BDP("2836 HK Equity","AVG_DAILY_VALUE_TRADED_3M")</f>
        <v>1180192</v>
      </c>
      <c r="T73" t="str">
        <f>_xll.BDP("2836 HK Equity","PX596","PX395=HISTORICAL_MARKET_CAP","DY262=D","PY204=N","PX391=20231231","PX392=20231231","DS004=HKD")</f>
        <v>#N/A N/A</v>
      </c>
      <c r="U73">
        <f>_xll.BDP("2836 HK Equity","PX385","PX395=FUND_FLOW","DY262=D","PY204=N","PX391=20240102","PX392=20240930","DS004=HKD")</f>
        <v>2493.6017999999963</v>
      </c>
      <c r="V73">
        <f>_xll.BDP("2836 HK Equity","PX596","PX395=CUR_MKT_CAP","DY262=D","PY204=N","PX391=20240101","DS004=HKD")</f>
        <v>5324.88</v>
      </c>
      <c r="W73" t="str">
        <f>_xll.BDP("2836 HK Equity","FUND_INCEPT_DT")</f>
        <v>10/31/2006</v>
      </c>
      <c r="X73">
        <f>_xll.BDP("2836 HK Equity","PX388","PX395=TURNOVER","DY262=D","PY204=N","PX391=20240502","PX392=20240606","DS004=HKD")</f>
        <v>3447761.804</v>
      </c>
      <c r="Y73" t="str">
        <f>_xll.BDP("2836 HK Equity","PARENT_COMP_NAME")</f>
        <v>iShares ETFs/Hong Kong</v>
      </c>
      <c r="Z73" t="str">
        <f>_xll.BDP("2836 HK Equity","NAV_CRNCY")</f>
        <v>HKD</v>
      </c>
      <c r="AA73" t="str">
        <f>_xll.BDP("2836 HK Equity","FUND_GEO_FOCUS")</f>
        <v>India</v>
      </c>
      <c r="AB73" t="str">
        <f>_xll.BDP("2836 HK Equity","FUND_ASSET_CLASS_FOCUS")</f>
        <v>Equity</v>
      </c>
      <c r="AC73">
        <f>_xll.BDP("2836 HK Equity","PX_LAST")</f>
        <v>35.5</v>
      </c>
      <c r="AD73">
        <f>_xll.BDP("2836 HK Equity","PX388","PX395=TIME_WAVG_BID_ASK_SPREAD_PCT","DY262=D","PY204=N","PX391=20260601","PX392=20260626")</f>
        <v>0.28288592097988607</v>
      </c>
      <c r="AE73">
        <f>_xll.BDP("2836 HK Equity","PX388","PX395=AVERAGE_BID_ASK_SPREAD_%","DY262=D","PY204=N","PX391=20260601","PX392=20260626")</f>
        <v>0.36821291613075641</v>
      </c>
    </row>
    <row r="74" spans="1:31" x14ac:dyDescent="0.25">
      <c r="A74" t="s">
        <v>99</v>
      </c>
      <c r="B74" t="str">
        <f>_xll.BDP("2837 HK Equity","LONG_COMP_NAME")</f>
        <v>Global X Hang Seng TECH ETF</v>
      </c>
      <c r="C74">
        <f>_xll.BDP("2837 HK Equity","PX385","PX395=FUND_FLOW","DY262=D","PY204=N","PX391=20260622","PX392=20260626","DS004=USD")</f>
        <v>0</v>
      </c>
      <c r="D74">
        <f>_xll.BDP("2837 HK Equity","PX388","PX395=TURNOVER","DY262=D","PY204=N","PX391=20260601","PX392=20260626","DS004=HKD")</f>
        <v>3111815.710526316</v>
      </c>
      <c r="E74">
        <f>_xll.BDP("2837 HK Equity","PX388","PX395=TURNOVER","DY262=D","PY204=N","PX391=20250101","PX392=20251231","DS004=HKD")</f>
        <v>5269823.3800812988</v>
      </c>
      <c r="F74">
        <f>_xll.BDP("2837 HK Equity","PX596","PX395=FUND_TOTAL_ASSETS","DY262=D","PY204=N","PX391=20260626","PX392=20260626","DS004=USD")</f>
        <v>226.74886023769139</v>
      </c>
      <c r="G74">
        <f>_xll.BDP("2837 HK Equity","PX388","PX395=CUR_MKT_CAP","DY262=D","PY204=N","PX391=20260626","PX392=20260626","DS004=HKD")</f>
        <v>1777.8799999999999</v>
      </c>
      <c r="H74" t="str">
        <f>_xll.BDP("2837 HK Equity","FUND_LEVERAGE_TYPE")</f>
        <v>#N/A N/A</v>
      </c>
      <c r="I74">
        <f>_xll.BDP("2837 HK Equity","PX388","PX395=TURNOVER","DY262=D","PY204=N","PX391=20260101","PX392=20260131","DS004=HKD")</f>
        <v>5783583.333333333</v>
      </c>
      <c r="J74">
        <v>-1</v>
      </c>
      <c r="K74" t="str">
        <f>_xll.BDP("2837 HK Equity","FUND_INCEPT_DT")</f>
        <v>3/30/2023</v>
      </c>
      <c r="L74" t="str">
        <f>_xll.BDP("2837 HK Equity","PX388","PX395=TURNOVER_EXCH_RATIO","DY262=D","PY204=N","PX391=20251201","PX392=20251210")</f>
        <v>#N/A N/A</v>
      </c>
      <c r="M74">
        <f>_xll.BDP("2837 HK Equity","EQY_SH_OUT")</f>
        <v>338</v>
      </c>
      <c r="N74">
        <f>_xll.BDP("2837 HK Equity","EQY_TRR_PCT_YTD")</f>
        <v>-19.808879999999998</v>
      </c>
      <c r="O74">
        <f>_xll.BDP("2837 HK Equity","CHG_PCT_YTD")</f>
        <v>-19.837759999999999</v>
      </c>
      <c r="P74">
        <f>_xll.BDP("2837 HK Equity","CHG_PCT_1M")</f>
        <v>-9.7925330000000006</v>
      </c>
      <c r="Q74" t="str">
        <f>_xll.BDP("2837 HK Equity","LISTING_DATE")</f>
        <v>3/30/2023</v>
      </c>
      <c r="R74" t="str">
        <f>_xll.BDP("2837 HK Equity","FUND_INCEPT_DT")</f>
        <v>3/30/2023</v>
      </c>
      <c r="S74">
        <f>_xll.BDP("2837 HK Equity","AVG_DAILY_VALUE_TRADED_3M")</f>
        <v>2337960</v>
      </c>
      <c r="T74" t="str">
        <f>_xll.BDP("2837 HK Equity","PX596","PX395=HISTORICAL_MARKET_CAP","DY262=D","PY204=N","PX391=20231231","PX392=20231231","DS004=HKD")</f>
        <v>#N/A N/A</v>
      </c>
      <c r="U74">
        <f>_xll.BDP("2837 HK Equity","PX385","PX395=FUND_FLOW","DY262=D","PY204=N","PX391=20240102","PX392=20240930","DS004=HKD")</f>
        <v>-738.87832000000003</v>
      </c>
      <c r="V74">
        <f>_xll.BDP("2837 HK Equity","PX596","PX395=CUR_MKT_CAP","DY262=D","PY204=N","PX391=20240101","DS004=HKD")</f>
        <v>1627.2</v>
      </c>
      <c r="W74" t="str">
        <f>_xll.BDP("2837 HK Equity","FUND_INCEPT_DT")</f>
        <v>3/30/2023</v>
      </c>
      <c r="X74">
        <f>_xll.BDP("2837 HK Equity","PX388","PX395=TURNOVER","DY262=D","PY204=N","PX391=20240502","PX392=20240606","DS004=HKD")</f>
        <v>487075.39199999982</v>
      </c>
      <c r="Y74" t="str">
        <f>_xll.BDP("2837 HK Equity","PARENT_COMP_NAME")</f>
        <v>Mirae Asset Global Investments</v>
      </c>
      <c r="Z74" t="str">
        <f>_xll.BDP("2837 HK Equity","NAV_CRNCY")</f>
        <v>HKD</v>
      </c>
      <c r="AA74" t="str">
        <f>_xll.BDP("2837 HK Equity","FUND_GEO_FOCUS")</f>
        <v>Hong Kong</v>
      </c>
      <c r="AB74" t="str">
        <f>_xll.BDP("2837 HK Equity","FUND_ASSET_CLASS_FOCUS")</f>
        <v>Equity</v>
      </c>
      <c r="AC74">
        <f>_xll.BDP("2837 HK Equity","PX_LAST")</f>
        <v>5.4349999999999996</v>
      </c>
      <c r="AD74">
        <f>_xll.BDP("2837 HK Equity","PX388","PX395=TIME_WAVG_BID_ASK_SPREAD_PCT","DY262=D","PY204=N","PX391=20260601","PX392=20260626")</f>
        <v>0.16526013656898192</v>
      </c>
      <c r="AE74">
        <f>_xll.BDP("2837 HK Equity","PX388","PX395=AVERAGE_BID_ASK_SPREAD_%","DY262=D","PY204=N","PX391=20260601","PX392=20260626")</f>
        <v>0.16374414789455438</v>
      </c>
    </row>
    <row r="75" spans="1:31" x14ac:dyDescent="0.25">
      <c r="A75" t="s">
        <v>100</v>
      </c>
      <c r="B75" t="str">
        <f>_xll.BDP("2841 HK Equity","LONG_COMP_NAME")</f>
        <v>Global X China MedTech ETF</v>
      </c>
      <c r="C75">
        <f>_xll.BDP("2841 HK Equity","PX385","PX395=FUND_FLOW","DY262=D","PY204=N","PX391=20260622","PX392=20260626","DS004=USD")</f>
        <v>0</v>
      </c>
      <c r="D75">
        <f>_xll.BDP("2841 HK Equity","PX388","PX395=TURNOVER","DY262=D","PY204=N","PX391=20260601","PX392=20260626","DS004=HKD")</f>
        <v>41550.663749999992</v>
      </c>
      <c r="E75">
        <f>_xll.BDP("2841 HK Equity","PX388","PX395=TURNOVER","DY262=D","PY204=N","PX391=20250101","PX392=20251231","DS004=HKD")</f>
        <v>168501.38947115387</v>
      </c>
      <c r="F75">
        <f>_xll.BDP("2841 HK Equity","PX596","PX395=FUND_TOTAL_ASSETS","DY262=D","PY204=N","PX391=20260626","PX392=20260626","DS004=USD")</f>
        <v>1.3024705844097879</v>
      </c>
      <c r="G75">
        <f>_xll.BDP("2841 HK Equity","PX388","PX395=CUR_MKT_CAP","DY262=D","PY204=N","PX391=20260626","PX392=20260626","DS004=HKD")</f>
        <v>10.17</v>
      </c>
      <c r="H75" t="str">
        <f>_xll.BDP("2841 HK Equity","FUND_LEVERAGE_TYPE")</f>
        <v>#N/A N/A</v>
      </c>
      <c r="I75">
        <f>_xll.BDP("2841 HK Equity","PX388","PX395=TURNOVER","DY262=D","PY204=N","PX391=20260101","PX392=20260131","DS004=HKD")</f>
        <v>143657.53333333335</v>
      </c>
      <c r="J75">
        <v>-1</v>
      </c>
      <c r="K75" t="str">
        <f>_xll.BDP("2841 HK Equity","FUND_INCEPT_DT")</f>
        <v>8/4/2023</v>
      </c>
      <c r="L75" t="str">
        <f>_xll.BDP("2841 HK Equity","PX388","PX395=TURNOVER_EXCH_RATIO","DY262=D","PY204=N","PX391=20251201","PX392=20251210")</f>
        <v>#N/A N/A</v>
      </c>
      <c r="M75">
        <f>_xll.BDP("2841 HK Equity","EQY_SH_OUT")</f>
        <v>0.3</v>
      </c>
      <c r="N75">
        <f>_xll.BDP("2841 HK Equity","EQY_TRR_PCT_YTD")</f>
        <v>-20.453589999999998</v>
      </c>
      <c r="O75">
        <f>_xll.BDP("2841 HK Equity","CHG_PCT_YTD")</f>
        <v>-20.351990000000001</v>
      </c>
      <c r="P75">
        <f>_xll.BDP("2841 HK Equity","CHG_PCT_1M")</f>
        <v>-10.723319999999999</v>
      </c>
      <c r="Q75" t="str">
        <f>_xll.BDP("2841 HK Equity","LISTING_DATE")</f>
        <v>8/4/2023</v>
      </c>
      <c r="R75" t="str">
        <f>_xll.BDP("2841 HK Equity","FUND_INCEPT_DT")</f>
        <v>8/4/2023</v>
      </c>
      <c r="S75">
        <f>_xll.BDP("2841 HK Equity","AVG_DAILY_VALUE_TRADED_3M")</f>
        <v>74122.16</v>
      </c>
      <c r="T75" t="str">
        <f>_xll.BDP("2841 HK Equity","PX596","PX395=HISTORICAL_MARKET_CAP","DY262=D","PY204=N","PX391=20231231","PX392=20231231","DS004=HKD")</f>
        <v>#N/A N/A</v>
      </c>
      <c r="U75">
        <f>_xll.BDP("2841 HK Equity","PX385","PX395=FUND_FLOW","DY262=D","PY204=N","PX391=20240102","PX392=20240930","DS004=HKD")</f>
        <v>-25.208570000000005</v>
      </c>
      <c r="V75">
        <f>_xll.BDP("2841 HK Equity","PX596","PX395=CUR_MKT_CAP","DY262=D","PY204=N","PX391=20240101","DS004=HKD")</f>
        <v>33.24</v>
      </c>
      <c r="W75" t="str">
        <f>_xll.BDP("2841 HK Equity","FUND_INCEPT_DT")</f>
        <v>8/4/2023</v>
      </c>
      <c r="X75">
        <f>_xll.BDP("2841 HK Equity","PX388","PX395=TURNOVER","DY262=D","PY204=N","PX391=20240502","PX392=20240606","DS004=HKD")</f>
        <v>144633.27263157893</v>
      </c>
      <c r="Y75" t="str">
        <f>_xll.BDP("2841 HK Equity","PARENT_COMP_NAME")</f>
        <v>Mirae Asset Global Investments</v>
      </c>
      <c r="Z75" t="str">
        <f>_xll.BDP("2841 HK Equity","NAV_CRNCY")</f>
        <v>HKD</v>
      </c>
      <c r="AA75" t="str">
        <f>_xll.BDP("2841 HK Equity","FUND_GEO_FOCUS")</f>
        <v>Greater China</v>
      </c>
      <c r="AB75" t="str">
        <f>_xll.BDP("2841 HK Equity","FUND_ASSET_CLASS_FOCUS")</f>
        <v>Equity</v>
      </c>
      <c r="AC75">
        <f>_xll.BDP("2841 HK Equity","PX_LAST")</f>
        <v>35.299999999999997</v>
      </c>
      <c r="AD75">
        <f>_xll.BDP("2841 HK Equity","PX388","PX395=TIME_WAVG_BID_ASK_SPREAD_PCT","DY262=D","PY204=N","PX391=20260601","PX392=20260626")</f>
        <v>0.59233345130382065</v>
      </c>
      <c r="AE75">
        <f>_xll.BDP("2841 HK Equity","PX388","PX395=AVERAGE_BID_ASK_SPREAD_%","DY262=D","PY204=N","PX391=20260601","PX392=20260626")</f>
        <v>0.66239578242432573</v>
      </c>
    </row>
    <row r="76" spans="1:31" x14ac:dyDescent="0.25">
      <c r="A76" t="s">
        <v>101</v>
      </c>
      <c r="B76" t="str">
        <f>_xll.BDP("2843 HK Equity","LONG_COMP_NAME")</f>
        <v>Amundi FTSE China A50 Index ETF</v>
      </c>
      <c r="C76">
        <f>_xll.BDP("2843 HK Equity","PX385","PX395=FUND_FLOW","DY262=D","PY204=N","PX391=20260622","PX392=20260626","DS004=USD")</f>
        <v>0</v>
      </c>
      <c r="D76">
        <f>_xll.BDP("2843 HK Equity","PX388","PX395=TURNOVER","DY262=D","PY204=N","PX391=20260601","PX392=20260626","DS004=HKD")</f>
        <v>5446</v>
      </c>
      <c r="E76">
        <f>_xll.BDP("2843 HK Equity","PX388","PX395=TURNOVER","DY262=D","PY204=N","PX391=20250101","PX392=20251231","DS004=HKD")</f>
        <v>68307.368421052641</v>
      </c>
      <c r="F76">
        <f>_xll.BDP("2843 HK Equity","PX596","PX395=FUND_TOTAL_ASSETS","DY262=D","PY204=N","PX391=20260626","PX392=20260626","DS004=USD")</f>
        <v>3.3914998396870217</v>
      </c>
      <c r="G76">
        <f>_xll.BDP("2843 HK Equity","PX388","PX395=CUR_MKT_CAP","DY262=D","PY204=N","PX391=20260626","PX392=20260626","DS004=HKD")</f>
        <v>26.67</v>
      </c>
      <c r="H76" t="str">
        <f>_xll.BDP("2843 HK Equity","FUND_LEVERAGE_TYPE")</f>
        <v>#N/A N/A</v>
      </c>
      <c r="I76">
        <f>_xll.BDP("2843 HK Equity","PX388","PX395=TURNOVER","DY262=D","PY204=N","PX391=20260101","PX392=20260131","DS004=HKD")</f>
        <v>100020</v>
      </c>
      <c r="J76">
        <v>-1</v>
      </c>
      <c r="K76" t="str">
        <f>_xll.BDP("2843 HK Equity","FUND_INCEPT_DT")</f>
        <v>10/31/2016</v>
      </c>
      <c r="L76" t="str">
        <f>_xll.BDP("2843 HK Equity","PX388","PX395=TURNOVER_EXCH_RATIO","DY262=D","PY204=N","PX391=20251201","PX392=20251210")</f>
        <v>#N/A N/A</v>
      </c>
      <c r="M76">
        <f>_xll.BDP("2843 HK Equity","EQY_SH_OUT")</f>
        <v>1.5</v>
      </c>
      <c r="N76">
        <f>_xll.BDP("2843 HK Equity","EQY_TRR_PCT_YTD")</f>
        <v>4.4040429999999997</v>
      </c>
      <c r="O76">
        <f>_xll.BDP("2843 HK Equity","CHG_PCT_YTD")</f>
        <v>4.8909880000000001</v>
      </c>
      <c r="P76">
        <f>_xll.BDP("2843 HK Equity","CHG_PCT_1M")</f>
        <v>-2.036324</v>
      </c>
      <c r="Q76" t="str">
        <f>_xll.BDP("2843 HK Equity","LISTING_DATE")</f>
        <v>10/31/2016</v>
      </c>
      <c r="R76" t="str">
        <f>_xll.BDP("2843 HK Equity","FUND_INCEPT_DT")</f>
        <v>10/31/2016</v>
      </c>
      <c r="S76">
        <f>_xll.BDP("2843 HK Equity","AVG_DAILY_VALUE_TRADED_3M")</f>
        <v>11198.95</v>
      </c>
      <c r="T76" t="str">
        <f>_xll.BDP("2843 HK Equity","PX596","PX395=HISTORICAL_MARKET_CAP","DY262=D","PY204=N","PX391=20231231","PX392=20231231","DS004=HKD")</f>
        <v>#N/A N/A</v>
      </c>
      <c r="U76">
        <f>_xll.BDP("2843 HK Equity","PX385","PX395=FUND_FLOW","DY262=D","PY204=N","PX391=20240102","PX392=20240930","DS004=HKD")</f>
        <v>0.57010000000000005</v>
      </c>
      <c r="V76">
        <f>_xll.BDP("2843 HK Equity","PX596","PX395=CUR_MKT_CAP","DY262=D","PY204=N","PX391=20240101","DS004=HKD")</f>
        <v>25.454999999999998</v>
      </c>
      <c r="W76" t="str">
        <f>_xll.BDP("2843 HK Equity","FUND_INCEPT_DT")</f>
        <v>10/31/2016</v>
      </c>
      <c r="X76">
        <f>_xll.BDP("2843 HK Equity","PX388","PX395=TURNOVER","DY262=D","PY204=N","PX391=20240502","PX392=20240606","DS004=HKD")</f>
        <v>9930</v>
      </c>
      <c r="Y76" t="str">
        <f>_xll.BDP("2843 HK Equity","PARENT_COMP_NAME")</f>
        <v>Amundi Hong Kong Ltd</v>
      </c>
      <c r="Z76" t="str">
        <f>_xll.BDP("2843 HK Equity","NAV_CRNCY")</f>
        <v>HKD</v>
      </c>
      <c r="AA76" t="str">
        <f>_xll.BDP("2843 HK Equity","FUND_GEO_FOCUS")</f>
        <v>China</v>
      </c>
      <c r="AB76" t="str">
        <f>_xll.BDP("2843 HK Equity","FUND_ASSET_CLASS_FOCUS")</f>
        <v>Equity</v>
      </c>
      <c r="AC76">
        <f>_xll.BDP("2843 HK Equity","PX_LAST")</f>
        <v>17.8</v>
      </c>
      <c r="AD76">
        <f>_xll.BDP("2843 HK Equity","PX388","PX395=TIME_WAVG_BID_ASK_SPREAD_PCT","DY262=D","PY204=N","PX391=20260601","PX392=20260626")</f>
        <v>1.4839352581232323</v>
      </c>
      <c r="AE76">
        <f>_xll.BDP("2843 HK Equity","PX388","PX395=AVERAGE_BID_ASK_SPREAD_%","DY262=D","PY204=N","PX391=20260601","PX392=20260626")</f>
        <v>1.5399955081782641</v>
      </c>
    </row>
    <row r="77" spans="1:31" x14ac:dyDescent="0.25">
      <c r="A77" t="s">
        <v>102</v>
      </c>
      <c r="B77" t="str">
        <f>_xll.BDP("3001 HK Equity","LONG_COMP_NAME")</f>
        <v>Premia China USD Property Bond ETF</v>
      </c>
      <c r="C77">
        <f>_xll.BDP("3001 HK Equity","PX385","PX395=FUND_FLOW","DY262=D","PY204=N","PX391=20260622","PX392=20260626","DS004=USD")</f>
        <v>0</v>
      </c>
      <c r="D77">
        <f>_xll.BDP("3001 HK Equity","PX388","PX395=TURNOVER","DY262=D","PY204=N","PX391=20260601","PX392=20260626","DS004=HKD")</f>
        <v>144036.70357142857</v>
      </c>
      <c r="E77">
        <f>_xll.BDP("3001 HK Equity","PX388","PX395=TURNOVER","DY262=D","PY204=N","PX391=20250101","PX392=20251231","DS004=HKD")</f>
        <v>175928.80075376882</v>
      </c>
      <c r="F77">
        <f>_xll.BDP("3001 HK Equity","PX596","PX395=FUND_TOTAL_ASSETS","DY262=D","PY204=N","PX391=20260626","PX392=20260626","DS004=USD")</f>
        <v>6.0287704299999998</v>
      </c>
      <c r="G77">
        <f>_xll.BDP("3001 HK Equity","PX388","PX395=CUR_MKT_CAP","DY262=D","PY204=N","PX391=20260626","PX392=20260626","DS004=HKD")</f>
        <v>46.800000000000004</v>
      </c>
      <c r="H77" t="str">
        <f>_xll.BDP("3001 HK Equity","FUND_LEVERAGE_TYPE")</f>
        <v>#N/A N/A</v>
      </c>
      <c r="I77">
        <f>_xll.BDP("3001 HK Equity","PX388","PX395=TURNOVER","DY262=D","PY204=N","PX391=20260101","PX392=20260131","DS004=HKD")</f>
        <v>111047.54411764706</v>
      </c>
      <c r="J77">
        <v>-1</v>
      </c>
      <c r="K77" t="str">
        <f>_xll.BDP("3001 HK Equity","FUND_INCEPT_DT")</f>
        <v>4/12/2021</v>
      </c>
      <c r="L77" t="str">
        <f>_xll.BDP("3001 HK Equity","PX388","PX395=TURNOVER_EXCH_RATIO","DY262=D","PY204=N","PX391=20251201","PX392=20251210")</f>
        <v>#N/A N/A</v>
      </c>
      <c r="M77">
        <f>_xll.BDP("3001 HK Equity","EQY_SH_OUT")</f>
        <v>0.44999999999999996</v>
      </c>
      <c r="N77">
        <f>_xll.BDP("3001 HK Equity","EQY_TRR_PCT_YTD")</f>
        <v>18.322769999999998</v>
      </c>
      <c r="O77">
        <f>_xll.BDP("3001 HK Equity","CHG_PCT_YTD")</f>
        <v>13.661199999999999</v>
      </c>
      <c r="P77">
        <f>_xll.BDP("3001 HK Equity","CHG_PCT_1M")</f>
        <v>0.48309180000000002</v>
      </c>
      <c r="Q77" t="str">
        <f>_xll.BDP("3001 HK Equity","LISTING_DATE")</f>
        <v>4/14/2021</v>
      </c>
      <c r="R77" t="str">
        <f>_xll.BDP("3001 HK Equity","FUND_INCEPT_DT")</f>
        <v>4/12/2021</v>
      </c>
      <c r="S77">
        <f>_xll.BDP("3001 HK Equity","AVG_DAILY_VALUE_TRADED_3M")</f>
        <v>59368.88</v>
      </c>
      <c r="T77" t="str">
        <f>_xll.BDP("3001 HK Equity","PX596","PX395=HISTORICAL_MARKET_CAP","DY262=D","PY204=N","PX391=20231231","PX392=20231231","DS004=HKD")</f>
        <v>#N/A N/A</v>
      </c>
      <c r="U77">
        <f>_xll.BDP("3001 HK Equity","PX385","PX395=FUND_FLOW","DY262=D","PY204=N","PX391=20240102","PX392=20240930","DS004=HKD")</f>
        <v>-8.4471299999999889</v>
      </c>
      <c r="V77">
        <f>_xll.BDP("3001 HK Equity","PX596","PX395=CUR_MKT_CAP","DY262=D","PY204=N","PX391=20240101","DS004=HKD")</f>
        <v>49.410000000000004</v>
      </c>
      <c r="W77" t="str">
        <f>_xll.BDP("3001 HK Equity","FUND_INCEPT_DT")</f>
        <v>4/12/2021</v>
      </c>
      <c r="X77">
        <f>_xll.BDP("3001 HK Equity","PX388","PX395=TURNOVER","DY262=D","PY204=N","PX391=20240502","PX392=20240606","DS004=HKD")</f>
        <v>483869.48599999992</v>
      </c>
      <c r="Y77" t="str">
        <f>_xll.BDP("3001 HK Equity","PARENT_COMP_NAME")</f>
        <v>Premia Partners Co Ltd/Hong Ko</v>
      </c>
      <c r="Z77" t="str">
        <f>_xll.BDP("3001 HK Equity","NAV_CRNCY")</f>
        <v>HKD</v>
      </c>
      <c r="AA77" t="str">
        <f>_xll.BDP("3001 HK Equity","FUND_GEO_FOCUS")</f>
        <v>China</v>
      </c>
      <c r="AB77" t="str">
        <f>_xll.BDP("3001 HK Equity","FUND_ASSET_CLASS_FOCUS")</f>
        <v>Fixed Income</v>
      </c>
      <c r="AC77">
        <f>_xll.BDP("3001 HK Equity","PX_LAST")</f>
        <v>104</v>
      </c>
      <c r="AD77">
        <f>_xll.BDP("3001 HK Equity","PX388","PX395=TIME_WAVG_BID_ASK_SPREAD_PCT","DY262=D","PY204=N","PX391=20260601","PX392=20260626")</f>
        <v>0.74447824722273903</v>
      </c>
      <c r="AE77">
        <f>_xll.BDP("3001 HK Equity","PX388","PX395=AVERAGE_BID_ASK_SPREAD_%","DY262=D","PY204=N","PX391=20260601","PX392=20260626")</f>
        <v>0.93437225845827021</v>
      </c>
    </row>
    <row r="78" spans="1:31" x14ac:dyDescent="0.25">
      <c r="A78" t="s">
        <v>103</v>
      </c>
      <c r="B78" t="str">
        <f>_xll.BDP("3003 HK Equity","LONG_COMP_NAME")</f>
        <v>CSOP MSCI China A 50 Connect ETF</v>
      </c>
      <c r="C78">
        <f>_xll.BDP("3003 HK Equity","PX385","PX395=FUND_FLOW","DY262=D","PY204=N","PX391=20260622","PX392=20260626","DS004=USD")</f>
        <v>0</v>
      </c>
      <c r="D78">
        <f>_xll.BDP("3003 HK Equity","PX388","PX395=TURNOVER","DY262=D","PY204=N","PX391=20260601","PX392=20260626","DS004=HKD")</f>
        <v>2934133.5789473685</v>
      </c>
      <c r="E78">
        <f>_xll.BDP("3003 HK Equity","PX388","PX395=TURNOVER","DY262=D","PY204=N","PX391=20250101","PX392=20251231","DS004=HKD")</f>
        <v>1098977.4753571427</v>
      </c>
      <c r="F78">
        <f>_xll.BDP("3003 HK Equity","PX596","PX395=FUND_TOTAL_ASSETS","DY262=D","PY204=N","PX391=20260626","PX392=20260626","DS004=USD")</f>
        <v>8.120556162489704</v>
      </c>
      <c r="G78">
        <f>_xll.BDP("3003 HK Equity","PX388","PX395=CUR_MKT_CAP","DY262=D","PY204=N","PX391=20260626","PX392=20260626","DS004=HKD")</f>
        <v>63.629976999999997</v>
      </c>
      <c r="H78" t="str">
        <f>_xll.BDP("3003 HK Equity","FUND_LEVERAGE_TYPE")</f>
        <v>#N/A N/A</v>
      </c>
      <c r="I78">
        <f>_xll.BDP("3003 HK Equity","PX388","PX395=TURNOVER","DY262=D","PY204=N","PX391=20260101","PX392=20260131","DS004=HKD")</f>
        <v>1057701.2631578948</v>
      </c>
      <c r="J78">
        <v>-1</v>
      </c>
      <c r="K78" t="str">
        <f>_xll.BDP("3003 HK Equity","FUND_INCEPT_DT")</f>
        <v>12/13/2021</v>
      </c>
      <c r="L78" t="str">
        <f>_xll.BDP("3003 HK Equity","PX388","PX395=TURNOVER_EXCH_RATIO","DY262=D","PY204=N","PX391=20251201","PX392=20251210")</f>
        <v>#N/A N/A</v>
      </c>
      <c r="M78">
        <f>_xll.BDP("3003 HK Equity","EQY_SH_OUT")</f>
        <v>8.4726999999999997</v>
      </c>
      <c r="N78">
        <f>_xll.BDP("3003 HK Equity","EQY_TRR_PCT_YTD")</f>
        <v>6.6337219999999997</v>
      </c>
      <c r="O78">
        <f>_xll.BDP("3003 HK Equity","CHG_PCT_YTD")</f>
        <v>12.0677</v>
      </c>
      <c r="P78">
        <f>_xll.BDP("3003 HK Equity","CHG_PCT_1M")</f>
        <v>-1.2961780000000001</v>
      </c>
      <c r="Q78" t="str">
        <f>_xll.BDP("3003 HK Equity","LISTING_DATE")</f>
        <v>12/13/2021</v>
      </c>
      <c r="R78" t="str">
        <f>_xll.BDP("3003 HK Equity","FUND_INCEPT_DT")</f>
        <v>12/13/2021</v>
      </c>
      <c r="S78">
        <f>_xll.BDP("3003 HK Equity","AVG_DAILY_VALUE_TRADED_3M")</f>
        <v>2084364</v>
      </c>
      <c r="T78" t="str">
        <f>_xll.BDP("3003 HK Equity","PX596","PX395=HISTORICAL_MARKET_CAP","DY262=D","PY204=N","PX391=20231231","PX392=20231231","DS004=HKD")</f>
        <v>#N/A N/A</v>
      </c>
      <c r="U78">
        <f>_xll.BDP("3003 HK Equity","PX385","PX395=FUND_FLOW","DY262=D","PY204=N","PX391=20240102","PX392=20240930","DS004=HKD")</f>
        <v>-4.2545836290871701</v>
      </c>
      <c r="V78">
        <f>_xll.BDP("3003 HK Equity","PX596","PX395=CUR_MKT_CAP","DY262=D","PY204=N","PX391=20240101","DS004=HKD")</f>
        <v>50.776996499999996</v>
      </c>
      <c r="W78" t="str">
        <f>_xll.BDP("3003 HK Equity","FUND_INCEPT_DT")</f>
        <v>12/13/2021</v>
      </c>
      <c r="X78">
        <f>_xll.BDP("3003 HK Equity","PX388","PX395=TURNOVER","DY262=D","PY204=N","PX391=20240502","PX392=20240606","DS004=HKD")</f>
        <v>505969.05600000004</v>
      </c>
      <c r="Y78" t="str">
        <f>_xll.BDP("3003 HK Equity","PARENT_COMP_NAME")</f>
        <v>CSOP Asset Management Ltd/Hong</v>
      </c>
      <c r="Z78" t="str">
        <f>_xll.BDP("3003 HK Equity","NAV_CRNCY")</f>
        <v>CNY</v>
      </c>
      <c r="AA78" t="str">
        <f>_xll.BDP("3003 HK Equity","FUND_GEO_FOCUS")</f>
        <v>China</v>
      </c>
      <c r="AB78" t="str">
        <f>_xll.BDP("3003 HK Equity","FUND_ASSET_CLASS_FOCUS")</f>
        <v>Equity</v>
      </c>
      <c r="AC78">
        <f>_xll.BDP("3003 HK Equity","PX_LAST")</f>
        <v>7.6150000000000002</v>
      </c>
      <c r="AD78">
        <f>_xll.BDP("3003 HK Equity","PX388","PX395=TIME_WAVG_BID_ASK_SPREAD_PCT","DY262=D","PY204=N","PX391=20260601","PX392=20260626")</f>
        <v>0.1820257146018755</v>
      </c>
      <c r="AE78">
        <f>_xll.BDP("3003 HK Equity","PX388","PX395=AVERAGE_BID_ASK_SPREAD_%","DY262=D","PY204=N","PX391=20260601","PX392=20260626")</f>
        <v>0.19423093923448653</v>
      </c>
    </row>
    <row r="79" spans="1:31" x14ac:dyDescent="0.25">
      <c r="A79" t="s">
        <v>104</v>
      </c>
      <c r="B79" t="str">
        <f>_xll.BDP("3004 HK Equity","LONG_COMP_NAME")</f>
        <v>CSOP FTSE Vietnam 30 ETF</v>
      </c>
      <c r="C79">
        <f>_xll.BDP("3004 HK Equity","PX385","PX395=FUND_FLOW","DY262=D","PY204=N","PX391=20260622","PX392=20260626","DS004=USD")</f>
        <v>0</v>
      </c>
      <c r="D79">
        <f>_xll.BDP("3004 HK Equity","PX388","PX395=TURNOVER","DY262=D","PY204=N","PX391=20260601","PX392=20260626","DS004=HKD")</f>
        <v>60479.055555555555</v>
      </c>
      <c r="E79">
        <f>_xll.BDP("3004 HK Equity","PX388","PX395=TURNOVER","DY262=D","PY204=N","PX391=20250101","PX392=20251231","DS004=HKD")</f>
        <v>98354.983957219258</v>
      </c>
      <c r="F79">
        <f>_xll.BDP("3004 HK Equity","PX596","PX395=FUND_TOTAL_ASSETS","DY262=D","PY204=N","PX391=20260626","PX392=20260626","DS004=USD")</f>
        <v>5.6737249220568096</v>
      </c>
      <c r="G79">
        <f>_xll.BDP("3004 HK Equity","PX388","PX395=CUR_MKT_CAP","DY262=D","PY204=N","PX391=20260626","PX392=20260626","DS004=HKD")</f>
        <v>44.40484</v>
      </c>
      <c r="H79" t="str">
        <f>_xll.BDP("3004 HK Equity","FUND_LEVERAGE_TYPE")</f>
        <v>#N/A N/A</v>
      </c>
      <c r="I79">
        <f>_xll.BDP("3004 HK Equity","PX388","PX395=TURNOVER","DY262=D","PY204=N","PX391=20260101","PX392=20260131","DS004=HKD")</f>
        <v>289373.42499999999</v>
      </c>
      <c r="J79">
        <v>-1</v>
      </c>
      <c r="K79" t="str">
        <f>_xll.BDP("3004 HK Equity","FUND_INCEPT_DT")</f>
        <v>9/20/2022</v>
      </c>
      <c r="L79" t="str">
        <f>_xll.BDP("3004 HK Equity","PX388","PX395=TURNOVER_EXCH_RATIO","DY262=D","PY204=N","PX391=20251201","PX392=20251210")</f>
        <v>#N/A N/A</v>
      </c>
      <c r="M79">
        <f>_xll.BDP("3004 HK Equity","EQY_SH_OUT")</f>
        <v>4.4139999999999997</v>
      </c>
      <c r="N79">
        <f>_xll.BDP("3004 HK Equity","EQY_TRR_PCT_YTD")</f>
        <v>3.881675</v>
      </c>
      <c r="O79">
        <f>_xll.BDP("3004 HK Equity","CHG_PCT_YTD")</f>
        <v>6.1181489999999998</v>
      </c>
      <c r="P79">
        <f>_xll.BDP("3004 HK Equity","CHG_PCT_1M")</f>
        <v>-0.1984119</v>
      </c>
      <c r="Q79" t="str">
        <f>_xll.BDP("3004 HK Equity","LISTING_DATE")</f>
        <v>9/20/2022</v>
      </c>
      <c r="R79" t="str">
        <f>_xll.BDP("3004 HK Equity","FUND_INCEPT_DT")</f>
        <v>9/20/2022</v>
      </c>
      <c r="S79">
        <f>_xll.BDP("3004 HK Equity","AVG_DAILY_VALUE_TRADED_3M")</f>
        <v>102637.3</v>
      </c>
      <c r="T79" t="str">
        <f>_xll.BDP("3004 HK Equity","PX596","PX395=HISTORICAL_MARKET_CAP","DY262=D","PY204=N","PX391=20231231","PX392=20231231","DS004=HKD")</f>
        <v>#N/A N/A</v>
      </c>
      <c r="U79">
        <f>_xll.BDP("3004 HK Equity","PX385","PX395=FUND_FLOW","DY262=D","PY204=N","PX391=20240102","PX392=20240930","DS004=HKD")</f>
        <v>0</v>
      </c>
      <c r="V79">
        <f>_xll.BDP("3004 HK Equity","PX596","PX395=CUR_MKT_CAP","DY262=D","PY204=N","PX391=20240101","DS004=HKD")</f>
        <v>39.000720000000001</v>
      </c>
      <c r="W79" t="str">
        <f>_xll.BDP("3004 HK Equity","FUND_INCEPT_DT")</f>
        <v>9/20/2022</v>
      </c>
      <c r="X79">
        <f>_xll.BDP("3004 HK Equity","PX388","PX395=TURNOVER","DY262=D","PY204=N","PX391=20240502","PX392=20240606","DS004=HKD")</f>
        <v>45835.59375</v>
      </c>
      <c r="Y79" t="str">
        <f>_xll.BDP("3004 HK Equity","PARENT_COMP_NAME")</f>
        <v>CSOP Asset Management Ltd/Hong</v>
      </c>
      <c r="Z79" t="str">
        <f>_xll.BDP("3004 HK Equity","NAV_CRNCY")</f>
        <v>VND</v>
      </c>
      <c r="AA79" t="str">
        <f>_xll.BDP("3004 HK Equity","FUND_GEO_FOCUS")</f>
        <v>Vietnam</v>
      </c>
      <c r="AB79" t="str">
        <f>_xll.BDP("3004 HK Equity","FUND_ASSET_CLASS_FOCUS")</f>
        <v>Equity</v>
      </c>
      <c r="AC79">
        <f>_xll.BDP("3004 HK Equity","PX_LAST")</f>
        <v>10.06</v>
      </c>
      <c r="AD79">
        <f>_xll.BDP("3004 HK Equity","PX388","PX395=TIME_WAVG_BID_ASK_SPREAD_PCT","DY262=D","PY204=N","PX391=20260601","PX392=20260626")</f>
        <v>0.94220587763740293</v>
      </c>
      <c r="AE79">
        <f>_xll.BDP("3004 HK Equity","PX388","PX395=AVERAGE_BID_ASK_SPREAD_%","DY262=D","PY204=N","PX391=20260601","PX392=20260626")</f>
        <v>1.0827469433894377</v>
      </c>
    </row>
    <row r="80" spans="1:31" x14ac:dyDescent="0.25">
      <c r="A80" t="s">
        <v>105</v>
      </c>
      <c r="B80" t="str">
        <f>_xll.BDP("3005 HK Equity","LONG_COMP_NAME")</f>
        <v>CSOP CSI 500 ETF</v>
      </c>
      <c r="C80">
        <f>_xll.BDP("3005 HK Equity","PX385","PX395=FUND_FLOW","DY262=D","PY204=N","PX391=20260622","PX392=20260626","DS004=USD")</f>
        <v>0</v>
      </c>
      <c r="D80">
        <f>_xll.BDP("3005 HK Equity","PX388","PX395=TURNOVER","DY262=D","PY204=N","PX391=20260601","PX392=20260626","DS004=HKD")</f>
        <v>291573.45454545453</v>
      </c>
      <c r="E80">
        <f>_xll.BDP("3005 HK Equity","PX388","PX395=TURNOVER","DY262=D","PY204=N","PX391=20250101","PX392=20251231","DS004=HKD")</f>
        <v>230278.05882352951</v>
      </c>
      <c r="F80">
        <f>_xll.BDP("3005 HK Equity","PX596","PX395=FUND_TOTAL_ASSETS","DY262=D","PY204=N","PX391=20260626","PX392=20260626","DS004=USD")</f>
        <v>5.8419006574302852</v>
      </c>
      <c r="G80">
        <f>_xll.BDP("3005 HK Equity","PX388","PX395=CUR_MKT_CAP","DY262=D","PY204=N","PX391=20260626","PX392=20260626","DS004=HKD")</f>
        <v>45.664000000000001</v>
      </c>
      <c r="H80" t="str">
        <f>_xll.BDP("3005 HK Equity","FUND_LEVERAGE_TYPE")</f>
        <v>#N/A N/A</v>
      </c>
      <c r="I80">
        <f>_xll.BDP("3005 HK Equity","PX388","PX395=TURNOVER","DY262=D","PY204=N","PX391=20260101","PX392=20260131","DS004=HKD")</f>
        <v>367809.68421052635</v>
      </c>
      <c r="J80">
        <v>-1</v>
      </c>
      <c r="K80" t="str">
        <f>_xll.BDP("3005 HK Equity","FUND_INCEPT_DT")</f>
        <v>3/19/2020</v>
      </c>
      <c r="L80" t="str">
        <f>_xll.BDP("3005 HK Equity","PX388","PX395=TURNOVER_EXCH_RATIO","DY262=D","PY204=N","PX391=20251201","PX392=20251210")</f>
        <v>#N/A N/A</v>
      </c>
      <c r="M80">
        <f>_xll.BDP("3005 HK Equity","EQY_SH_OUT")</f>
        <v>1.5999999999999999</v>
      </c>
      <c r="N80">
        <f>_xll.BDP("3005 HK Equity","EQY_TRR_PCT_YTD")</f>
        <v>21.296019999999999</v>
      </c>
      <c r="O80">
        <f>_xll.BDP("3005 HK Equity","CHG_PCT_YTD")</f>
        <v>22.61092</v>
      </c>
      <c r="P80">
        <f>_xll.BDP("3005 HK Equity","CHG_PCT_1M")</f>
        <v>5.1207019999999996</v>
      </c>
      <c r="Q80" t="str">
        <f>_xll.BDP("3005 HK Equity","LISTING_DATE")</f>
        <v>3/19/2020</v>
      </c>
      <c r="R80" t="str">
        <f>_xll.BDP("3005 HK Equity","FUND_INCEPT_DT")</f>
        <v>3/19/2020</v>
      </c>
      <c r="S80">
        <f>_xll.BDP("3005 HK Equity","AVG_DAILY_VALUE_TRADED_3M")</f>
        <v>123492.1</v>
      </c>
      <c r="T80" t="str">
        <f>_xll.BDP("3005 HK Equity","PX596","PX395=HISTORICAL_MARKET_CAP","DY262=D","PY204=N","PX391=20231231","PX392=20231231","DS004=HKD")</f>
        <v>#N/A N/A</v>
      </c>
      <c r="U80">
        <f>_xll.BDP("3005 HK Equity","PX385","PX395=FUND_FLOW","DY262=D","PY204=N","PX391=20240102","PX392=20240930","DS004=HKD")</f>
        <v>0.1338879999999989</v>
      </c>
      <c r="V80">
        <f>_xll.BDP("3005 HK Equity","PX596","PX395=CUR_MKT_CAP","DY262=D","PY204=N","PX391=20240101","DS004=HKD")</f>
        <v>37.504000000000005</v>
      </c>
      <c r="W80" t="str">
        <f>_xll.BDP("3005 HK Equity","FUND_INCEPT_DT")</f>
        <v>3/19/2020</v>
      </c>
      <c r="X80">
        <f>_xll.BDP("3005 HK Equity","PX388","PX395=TURNOVER","DY262=D","PY204=N","PX391=20240502","PX392=20240606","DS004=HKD")</f>
        <v>170909</v>
      </c>
      <c r="Y80" t="str">
        <f>_xll.BDP("3005 HK Equity","PARENT_COMP_NAME")</f>
        <v>CSOP Asset Management Ltd/Hong</v>
      </c>
      <c r="Z80" t="str">
        <f>_xll.BDP("3005 HK Equity","NAV_CRNCY")</f>
        <v>HKD</v>
      </c>
      <c r="AA80" t="str">
        <f>_xll.BDP("3005 HK Equity","FUND_GEO_FOCUS")</f>
        <v>China</v>
      </c>
      <c r="AB80" t="str">
        <f>_xll.BDP("3005 HK Equity","FUND_ASSET_CLASS_FOCUS")</f>
        <v>Equity</v>
      </c>
      <c r="AC80">
        <f>_xll.BDP("3005 HK Equity","PX_LAST")</f>
        <v>28.74</v>
      </c>
      <c r="AD80">
        <f>_xll.BDP("3005 HK Equity","PX388","PX395=TIME_WAVG_BID_ASK_SPREAD_PCT","DY262=D","PY204=N","PX391=20260601","PX392=20260626")</f>
        <v>0.63127263031858505</v>
      </c>
      <c r="AE80">
        <f>_xll.BDP("3005 HK Equity","PX388","PX395=AVERAGE_BID_ASK_SPREAD_%","DY262=D","PY204=N","PX391=20260601","PX392=20260626")</f>
        <v>0.83843752370616464</v>
      </c>
    </row>
    <row r="81" spans="1:31" x14ac:dyDescent="0.25">
      <c r="A81" t="s">
        <v>106</v>
      </c>
      <c r="B81" t="str">
        <f>_xll.BDP("3008 HK Equity","LONG_COMP_NAME")</f>
        <v>Bosera Hashkey BITCOIN ETF</v>
      </c>
      <c r="C81">
        <f>_xll.BDP("3008 HK Equity","PX385","PX395=FUND_FLOW","DY262=D","PY204=N","PX391=20260622","PX392=20260626","DS004=USD")</f>
        <v>0</v>
      </c>
      <c r="D81">
        <f>_xll.BDP("3008 HK Equity","PX388","PX395=TURNOVER","DY262=D","PY204=N","PX391=20260601","PX392=20260626","DS004=HKD")</f>
        <v>1611524.5368421052</v>
      </c>
      <c r="E81">
        <f>_xll.BDP("3008 HK Equity","PX388","PX395=TURNOVER","DY262=D","PY204=N","PX391=20250101","PX392=20251231","DS004=HKD")</f>
        <v>3098416.9813008145</v>
      </c>
      <c r="F81">
        <f>_xll.BDP("3008 HK Equity","PX596","PX395=FUND_TOTAL_ASSETS","DY262=D","PY204=N","PX391=20260626","PX392=20260626","DS004=USD")</f>
        <v>69.016416459999988</v>
      </c>
      <c r="G81">
        <f>_xll.BDP("3008 HK Equity","PX388","PX395=CUR_MKT_CAP","DY262=D","PY204=N","PX391=20260626","PX392=20260626","DS004=HKD")</f>
        <v>542.42493119999995</v>
      </c>
      <c r="H81" t="str">
        <f>_xll.BDP("3008 HK Equity","FUND_LEVERAGE_TYPE")</f>
        <v>#N/A N/A</v>
      </c>
      <c r="I81">
        <f>_xll.BDP("3008 HK Equity","PX388","PX395=TURNOVER","DY262=D","PY204=N","PX391=20260101","PX392=20260131","DS004=HKD")</f>
        <v>1546807.4523809529</v>
      </c>
      <c r="J81">
        <v>-1</v>
      </c>
      <c r="K81" t="str">
        <f>_xll.BDP("3008 HK Equity","FUND_INCEPT_DT")</f>
        <v>4/30/2024</v>
      </c>
      <c r="L81" t="str">
        <f>_xll.BDP("3008 HK Equity","PX388","PX395=TURNOVER_EXCH_RATIO","DY262=D","PY204=N","PX391=20251201","PX392=20251210")</f>
        <v>#N/A N/A</v>
      </c>
      <c r="M81">
        <f>_xll.BDP("3008 HK Equity","EQY_SH_OUT")</f>
        <v>116.50019999999999</v>
      </c>
      <c r="N81">
        <f>_xll.BDP("3008 HK Equity","EQY_TRR_PCT_YTD")</f>
        <v>-31.5015</v>
      </c>
      <c r="O81">
        <f>_xll.BDP("3008 HK Equity","CHG_PCT_YTD")</f>
        <v>-31.985240000000001</v>
      </c>
      <c r="P81">
        <f>_xll.BDP("3008 HK Equity","CHG_PCT_1M")</f>
        <v>-18.29787</v>
      </c>
      <c r="Q81" t="str">
        <f>_xll.BDP("3008 HK Equity","LISTING_DATE")</f>
        <v>4/30/2024</v>
      </c>
      <c r="R81" t="str">
        <f>_xll.BDP("3008 HK Equity","FUND_INCEPT_DT")</f>
        <v>4/30/2024</v>
      </c>
      <c r="S81">
        <f>_xll.BDP("3008 HK Equity","AVG_DAILY_VALUE_TRADED_3M")</f>
        <v>1214560</v>
      </c>
      <c r="T81" t="str">
        <f>_xll.BDP("3008 HK Equity","PX596","PX395=HISTORICAL_MARKET_CAP","DY262=D","PY204=N","PX391=20231231","PX392=20231231","DS004=HKD")</f>
        <v>#N/A N/A</v>
      </c>
      <c r="U81">
        <f>_xll.BDP("3008 HK Equity","PX385","PX395=FUND_FLOW","DY262=D","PY204=N","PX391=20240102","PX392=20240930","DS004=HKD")</f>
        <v>296.19963499999994</v>
      </c>
      <c r="V81">
        <f>_xll.BDP("3008 HK Equity","PX596","PX395=CUR_MKT_CAP","DY262=D","PY204=N","PX391=20240101","DS004=HKD")</f>
        <v>775.73885500000006</v>
      </c>
      <c r="W81" t="str">
        <f>_xll.BDP("3008 HK Equity","FUND_INCEPT_DT")</f>
        <v>4/30/2024</v>
      </c>
      <c r="X81">
        <f>_xll.BDP("3008 HK Equity","PX388","PX395=TURNOVER","DY262=D","PY204=N","PX391=20240502","PX392=20240606","DS004=HKD")</f>
        <v>3426371.0480000009</v>
      </c>
      <c r="Y81" t="str">
        <f>_xll.BDP("3008 HK Equity","PARENT_COMP_NAME")</f>
        <v>Bosera Asset Management Intern</v>
      </c>
      <c r="Z81" t="str">
        <f>_xll.BDP("3008 HK Equity","NAV_CRNCY")</f>
        <v>HKD</v>
      </c>
      <c r="AA81" t="str">
        <f>_xll.BDP("3008 HK Equity","FUND_GEO_FOCUS")</f>
        <v>Global</v>
      </c>
      <c r="AB81" t="str">
        <f>_xll.BDP("3008 HK Equity","FUND_ASSET_CLASS_FOCUS")</f>
        <v>Alternative</v>
      </c>
      <c r="AC81">
        <f>_xll.BDP("3008 HK Equity","PX_LAST")</f>
        <v>4.6079999999999997</v>
      </c>
      <c r="AD81">
        <f>_xll.BDP("3008 HK Equity","PX388","PX395=TIME_WAVG_BID_ASK_SPREAD_PCT","DY262=D","PY204=N","PX391=20260601","PX392=20260626")</f>
        <v>0.19151632593353876</v>
      </c>
      <c r="AE81">
        <f>_xll.BDP("3008 HK Equity","PX388","PX395=AVERAGE_BID_ASK_SPREAD_%","DY262=D","PY204=N","PX391=20260601","PX392=20260626")</f>
        <v>0.21665180750016902</v>
      </c>
    </row>
    <row r="82" spans="1:31" x14ac:dyDescent="0.25">
      <c r="A82" t="s">
        <v>107</v>
      </c>
      <c r="B82" t="str">
        <f>_xll.BDP("3009 HK Equity","LONG_COMP_NAME")</f>
        <v>Bosera Hashkey ETHER ETF</v>
      </c>
      <c r="C82">
        <f>_xll.BDP("3009 HK Equity","PX385","PX395=FUND_FLOW","DY262=D","PY204=N","PX391=20260622","PX392=20260626","DS004=USD")</f>
        <v>0</v>
      </c>
      <c r="D82">
        <f>_xll.BDP("3009 HK Equity","PX388","PX395=TURNOVER","DY262=D","PY204=N","PX391=20260601","PX392=20260626","DS004=HKD")</f>
        <v>952545.60000000009</v>
      </c>
      <c r="E82">
        <f>_xll.BDP("3009 HK Equity","PX388","PX395=TURNOVER","DY262=D","PY204=N","PX391=20250101","PX392=20251231","DS004=HKD")</f>
        <v>1708997.5989024402</v>
      </c>
      <c r="F82">
        <f>_xll.BDP("3009 HK Equity","PX596","PX395=FUND_TOTAL_ASSETS","DY262=D","PY204=N","PX391=20260626","PX392=20260626","DS004=USD")</f>
        <v>14.840800489999999</v>
      </c>
      <c r="G82">
        <f>_xll.BDP("3009 HK Equity","PX388","PX395=CUR_MKT_CAP","DY262=D","PY204=N","PX391=20260626","PX392=20260626","DS004=HKD")</f>
        <v>116.40024</v>
      </c>
      <c r="H82" t="str">
        <f>_xll.BDP("3009 HK Equity","FUND_LEVERAGE_TYPE")</f>
        <v>#N/A N/A</v>
      </c>
      <c r="I82">
        <f>_xll.BDP("3009 HK Equity","PX388","PX395=TURNOVER","DY262=D","PY204=N","PX391=20260101","PX392=20260131","DS004=HKD")</f>
        <v>849360.80476190476</v>
      </c>
      <c r="J82">
        <v>-1</v>
      </c>
      <c r="K82" t="str">
        <f>_xll.BDP("3009 HK Equity","FUND_INCEPT_DT")</f>
        <v>4/30/2024</v>
      </c>
      <c r="L82" t="str">
        <f>_xll.BDP("3009 HK Equity","PX388","PX395=TURNOVER_EXCH_RATIO","DY262=D","PY204=N","PX391=20251201","PX392=20251210")</f>
        <v>#N/A N/A</v>
      </c>
      <c r="M82">
        <f>_xll.BDP("3009 HK Equity","EQY_SH_OUT")</f>
        <v>97.000199999999992</v>
      </c>
      <c r="N82">
        <f>_xll.BDP("3009 HK Equity","EQY_TRR_PCT_YTD")</f>
        <v>-46.90211</v>
      </c>
      <c r="O82">
        <f>_xll.BDP("3009 HK Equity","CHG_PCT_YTD")</f>
        <v>-46.767049999999998</v>
      </c>
      <c r="P82">
        <f>_xll.BDP("3009 HK Equity","CHG_PCT_1M")</f>
        <v>-21.23198</v>
      </c>
      <c r="Q82" t="str">
        <f>_xll.BDP("3009 HK Equity","LISTING_DATE")</f>
        <v>4/30/2024</v>
      </c>
      <c r="R82" t="str">
        <f>_xll.BDP("3009 HK Equity","FUND_INCEPT_DT")</f>
        <v>4/30/2024</v>
      </c>
      <c r="S82">
        <f>_xll.BDP("3009 HK Equity","AVG_DAILY_VALUE_TRADED_3M")</f>
        <v>584616.80000000005</v>
      </c>
      <c r="T82" t="str">
        <f>_xll.BDP("3009 HK Equity","PX596","PX395=HISTORICAL_MARKET_CAP","DY262=D","PY204=N","PX391=20231231","PX392=20231231","DS004=HKD")</f>
        <v>#N/A N/A</v>
      </c>
      <c r="U82">
        <f>_xll.BDP("3009 HK Equity","PX385","PX395=FUND_FLOW","DY262=D","PY204=N","PX391=20240102","PX392=20240930","DS004=HKD")</f>
        <v>50.473489999999998</v>
      </c>
      <c r="V82">
        <f>_xll.BDP("3009 HK Equity","PX596","PX395=CUR_MKT_CAP","DY262=D","PY204=N","PX391=20240101","DS004=HKD")</f>
        <v>203.22045160000002</v>
      </c>
      <c r="W82" t="str">
        <f>_xll.BDP("3009 HK Equity","FUND_INCEPT_DT")</f>
        <v>4/30/2024</v>
      </c>
      <c r="X82">
        <f>_xll.BDP("3009 HK Equity","PX388","PX395=TURNOVER","DY262=D","PY204=N","PX391=20240502","PX392=20240606","DS004=HKD")</f>
        <v>1555145.304</v>
      </c>
      <c r="Y82" t="str">
        <f>_xll.BDP("3009 HK Equity","PARENT_COMP_NAME")</f>
        <v>Bosera Asset Management Intern</v>
      </c>
      <c r="Z82" t="str">
        <f>_xll.BDP("3009 HK Equity","NAV_CRNCY")</f>
        <v>HKD</v>
      </c>
      <c r="AA82" t="str">
        <f>_xll.BDP("3009 HK Equity","FUND_GEO_FOCUS")</f>
        <v>Global</v>
      </c>
      <c r="AB82" t="str">
        <f>_xll.BDP("3009 HK Equity","FUND_ASSET_CLASS_FOCUS")</f>
        <v>Alternative</v>
      </c>
      <c r="AC82">
        <f>_xll.BDP("3009 HK Equity","PX_LAST")</f>
        <v>1.202</v>
      </c>
      <c r="AD82">
        <f>_xll.BDP("3009 HK Equity","PX388","PX395=TIME_WAVG_BID_ASK_SPREAD_PCT","DY262=D","PY204=N","PX391=20260601","PX392=20260626")</f>
        <v>0.32255368946446733</v>
      </c>
      <c r="AE82">
        <f>_xll.BDP("3009 HK Equity","PX388","PX395=AVERAGE_BID_ASK_SPREAD_%","DY262=D","PY204=N","PX391=20260601","PX392=20260626")</f>
        <v>0.35839102759658464</v>
      </c>
    </row>
    <row r="83" spans="1:31" x14ac:dyDescent="0.25">
      <c r="A83" t="s">
        <v>108</v>
      </c>
      <c r="B83" t="str">
        <f>_xll.BDP("3010 HK Equity","LONG_COMP_NAME")</f>
        <v>iShares Core MSCI Asia ex Japan ETF</v>
      </c>
      <c r="C83">
        <f>_xll.BDP("3010 HK Equity","PX385","PX395=FUND_FLOW","DY262=D","PY204=N","PX391=20260622","PX392=20260626","DS004=USD")</f>
        <v>0</v>
      </c>
      <c r="D83">
        <f>_xll.BDP("3010 HK Equity","PX388","PX395=TURNOVER","DY262=D","PY204=N","PX391=20260601","PX392=20260626","DS004=HKD")</f>
        <v>14378230.526315788</v>
      </c>
      <c r="E83">
        <f>_xll.BDP("3010 HK Equity","PX388","PX395=TURNOVER","DY262=D","PY204=N","PX391=20250101","PX392=20251231","DS004=HKD")</f>
        <v>19187547.331788626</v>
      </c>
      <c r="F83">
        <f>_xll.BDP("3010 HK Equity","PX596","PX395=FUND_TOTAL_ASSETS","DY262=D","PY204=N","PX391=20260626","PX392=20260626","DS004=USD")</f>
        <v>5458.7668973099999</v>
      </c>
      <c r="G83">
        <f>_xll.BDP("3010 HK Equity","PX388","PX395=CUR_MKT_CAP","DY262=D","PY204=N","PX391=20260626","PX392=20260626","DS004=HKD")</f>
        <v>43242.864000000001</v>
      </c>
      <c r="H83" t="str">
        <f>_xll.BDP("3010 HK Equity","FUND_LEVERAGE_TYPE")</f>
        <v>#N/A N/A</v>
      </c>
      <c r="I83">
        <f>_xll.BDP("3010 HK Equity","PX388","PX395=TURNOVER","DY262=D","PY204=N","PX391=20260101","PX392=20260131","DS004=HKD")</f>
        <v>5288248.7476190468</v>
      </c>
      <c r="J83">
        <v>-1</v>
      </c>
      <c r="K83" t="str">
        <f>_xll.BDP("3010 HK Equity","FUND_INCEPT_DT")</f>
        <v>3/12/2009</v>
      </c>
      <c r="L83" t="str">
        <f>_xll.BDP("3010 HK Equity","PX388","PX395=TURNOVER_EXCH_RATIO","DY262=D","PY204=N","PX391=20251201","PX392=20251210")</f>
        <v>#N/A N/A</v>
      </c>
      <c r="M83">
        <f>_xll.BDP("3010 HK Equity","EQY_SH_OUT")</f>
        <v>478.88</v>
      </c>
      <c r="N83">
        <f>_xll.BDP("3010 HK Equity","EQY_TRR_PCT_YTD")</f>
        <v>29.987670000000001</v>
      </c>
      <c r="O83">
        <f>_xll.BDP("3010 HK Equity","CHG_PCT_YTD")</f>
        <v>26.788730000000001</v>
      </c>
      <c r="P83">
        <f>_xll.BDP("3010 HK Equity","CHG_PCT_1M")</f>
        <v>-1.832058</v>
      </c>
      <c r="Q83" t="str">
        <f>_xll.BDP("3010 HK Equity","LISTING_DATE")</f>
        <v>4/23/2009</v>
      </c>
      <c r="R83" t="str">
        <f>_xll.BDP("3010 HK Equity","FUND_INCEPT_DT")</f>
        <v>3/12/2009</v>
      </c>
      <c r="S83">
        <f>_xll.BDP("3010 HK Equity","AVG_DAILY_VALUE_TRADED_3M")</f>
        <v>14362610</v>
      </c>
      <c r="T83" t="str">
        <f>_xll.BDP("3010 HK Equity","PX596","PX395=HISTORICAL_MARKET_CAP","DY262=D","PY204=N","PX391=20231231","PX392=20231231","DS004=HKD")</f>
        <v>#N/A N/A</v>
      </c>
      <c r="U83">
        <f>_xll.BDP("3010 HK Equity","PX385","PX395=FUND_FLOW","DY262=D","PY204=N","PX391=20240102","PX392=20240930","DS004=HKD")</f>
        <v>7365.3265999999949</v>
      </c>
      <c r="V83">
        <f>_xll.BDP("3010 HK Equity","PX596","PX395=CUR_MKT_CAP","DY262=D","PY204=N","PX391=20240101","DS004=HKD")</f>
        <v>37073.360000000001</v>
      </c>
      <c r="W83" t="str">
        <f>_xll.BDP("3010 HK Equity","FUND_INCEPT_DT")</f>
        <v>3/12/2009</v>
      </c>
      <c r="X83">
        <f>_xll.BDP("3010 HK Equity","PX388","PX395=TURNOVER","DY262=D","PY204=N","PX391=20240502","PX392=20240606","DS004=HKD")</f>
        <v>3422692.1143999994</v>
      </c>
      <c r="Y83" t="str">
        <f>_xll.BDP("3010 HK Equity","PARENT_COMP_NAME")</f>
        <v>iShares ETFs/Hong Kong</v>
      </c>
      <c r="Z83" t="str">
        <f>_xll.BDP("3010 HK Equity","NAV_CRNCY")</f>
        <v>HKD</v>
      </c>
      <c r="AA83" t="str">
        <f>_xll.BDP("3010 HK Equity","FUND_GEO_FOCUS")</f>
        <v>Asian Pacific Region ex Japan</v>
      </c>
      <c r="AB83" t="str">
        <f>_xll.BDP("3010 HK Equity","FUND_ASSET_CLASS_FOCUS")</f>
        <v>Equity</v>
      </c>
      <c r="AC83">
        <f>_xll.BDP("3010 HK Equity","PX_LAST")</f>
        <v>90.02</v>
      </c>
      <c r="AD83">
        <f>_xll.BDP("3010 HK Equity","PX388","PX395=TIME_WAVG_BID_ASK_SPREAD_PCT","DY262=D","PY204=N","PX391=20260601","PX392=20260626")</f>
        <v>0.13005442718865773</v>
      </c>
      <c r="AE83">
        <f>_xll.BDP("3010 HK Equity","PX388","PX395=AVERAGE_BID_ASK_SPREAD_%","DY262=D","PY204=N","PX391=20260601","PX392=20260626")</f>
        <v>0.19155112671495142</v>
      </c>
    </row>
    <row r="84" spans="1:31" x14ac:dyDescent="0.25">
      <c r="A84" t="s">
        <v>109</v>
      </c>
      <c r="B84" t="str">
        <f>_xll.BDP("3011 HK Equity","LONG_COMP_NAME")</f>
        <v>ICBC CICC USD Money Market ETF</v>
      </c>
      <c r="C84">
        <f>_xll.BDP("3011 HK Equity","PX385","PX395=FUND_FLOW","DY262=D","PY204=N","PX391=20260622","PX392=20260626","DS004=USD")</f>
        <v>0</v>
      </c>
      <c r="D84">
        <f>_xll.BDP("3011 HK Equity","PX388","PX395=TURNOVER","DY262=D","PY204=N","PX391=20260601","PX392=20260626","DS004=HKD")</f>
        <v>4599896.1105263149</v>
      </c>
      <c r="E84">
        <f>_xll.BDP("3011 HK Equity","PX388","PX395=TURNOVER","DY262=D","PY204=N","PX391=20250101","PX392=20251231","DS004=HKD")</f>
        <v>1347407.1202643171</v>
      </c>
      <c r="F84">
        <f>_xll.BDP("3011 HK Equity","PX596","PX395=FUND_TOTAL_ASSETS","DY262=D","PY204=N","PX391=20260626","PX392=20260626","DS004=USD")</f>
        <v>1066.03318165</v>
      </c>
      <c r="G84">
        <f>_xll.BDP("3011 HK Equity","PX388","PX395=CUR_MKT_CAP","DY262=D","PY204=N","PX391=20260626","PX392=20260626","DS004=HKD")</f>
        <v>2143.8215499999997</v>
      </c>
      <c r="H84" t="str">
        <f>_xll.BDP("3011 HK Equity","FUND_LEVERAGE_TYPE")</f>
        <v>#N/A N/A</v>
      </c>
      <c r="I84">
        <f>_xll.BDP("3011 HK Equity","PX388","PX395=TURNOVER","DY262=D","PY204=N","PX391=20260101","PX392=20260131","DS004=HKD")</f>
        <v>1097268.9149999998</v>
      </c>
      <c r="J84">
        <v>-1</v>
      </c>
      <c r="K84" t="str">
        <f>_xll.BDP("3011 HK Equity","FUND_INCEPT_DT")</f>
        <v>6/18/2019</v>
      </c>
      <c r="L84" t="str">
        <f>_xll.BDP("3011 HK Equity","PX388","PX395=TURNOVER_EXCH_RATIO","DY262=D","PY204=N","PX391=20251201","PX392=20251210")</f>
        <v>#N/A N/A</v>
      </c>
      <c r="M84">
        <f>_xll.BDP("3011 HK Equity","EQY_SH_OUT")</f>
        <v>0.221</v>
      </c>
      <c r="N84">
        <f>_xll.BDP("3011 HK Equity","EQY_TRR_PCT_YTD")</f>
        <v>2.5956090000000001</v>
      </c>
      <c r="O84">
        <f>_xll.BDP("3011 HK Equity","CHG_PCT_YTD")</f>
        <v>2.6383160000000001</v>
      </c>
      <c r="P84">
        <f>_xll.BDP("3011 HK Equity","CHG_PCT_1M")</f>
        <v>0.37449880000000002</v>
      </c>
      <c r="Q84" t="str">
        <f>_xll.BDP("3011 HK Equity","LISTING_DATE")</f>
        <v>6/18/2019</v>
      </c>
      <c r="R84" t="str">
        <f>_xll.BDP("3011 HK Equity","FUND_INCEPT_DT")</f>
        <v>6/18/2019</v>
      </c>
      <c r="S84">
        <f>_xll.BDP("3011 HK Equity","AVG_DAILY_VALUE_TRADED_3M")</f>
        <v>3816045</v>
      </c>
      <c r="T84" t="str">
        <f>_xll.BDP("3011 HK Equity","PX596","PX395=HISTORICAL_MARKET_CAP","DY262=D","PY204=N","PX391=20231231","PX392=20231231","DS004=HKD")</f>
        <v>#N/A N/A</v>
      </c>
      <c r="U84">
        <f>_xll.BDP("3011 HK Equity","PX385","PX395=FUND_FLOW","DY262=D","PY204=N","PX391=20240102","PX392=20240930","DS004=HKD")</f>
        <v>1672.2531245935838</v>
      </c>
      <c r="V84">
        <f>_xll.BDP("3011 HK Equity","PX596","PX395=CUR_MKT_CAP","DY262=D","PY204=N","PX391=20240101","DS004=HKD")</f>
        <v>1985.1299999999999</v>
      </c>
      <c r="W84" t="str">
        <f>_xll.BDP("3011 HK Equity","FUND_INCEPT_DT")</f>
        <v>6/18/2019</v>
      </c>
      <c r="X84">
        <f>_xll.BDP("3011 HK Equity","PX388","PX395=TURNOVER","DY262=D","PY204=N","PX391=20240502","PX392=20240606","DS004=HKD")</f>
        <v>515476.38809523801</v>
      </c>
      <c r="Y84" t="str">
        <f>_xll.BDP("3011 HK Equity","PARENT_COMP_NAME")</f>
        <v>China International Capital Co</v>
      </c>
      <c r="Z84" t="str">
        <f>_xll.BDP("3011 HK Equity","NAV_CRNCY")</f>
        <v>HKD</v>
      </c>
      <c r="AA84" t="str">
        <f>_xll.BDP("3011 HK Equity","FUND_GEO_FOCUS")</f>
        <v>Global</v>
      </c>
      <c r="AB84" t="str">
        <f>_xll.BDP("3011 HK Equity","FUND_ASSET_CLASS_FOCUS")</f>
        <v>Money Market</v>
      </c>
      <c r="AC84">
        <f>_xll.BDP("3011 HK Equity","PX_LAST")</f>
        <v>9702.4</v>
      </c>
      <c r="AD84">
        <f>_xll.BDP("3011 HK Equity","PX388","PX395=TIME_WAVG_BID_ASK_SPREAD_PCT","DY262=D","PY204=N","PX391=20260601","PX392=20260626")</f>
        <v>0.15891657974261583</v>
      </c>
      <c r="AE84">
        <f>_xll.BDP("3011 HK Equity","PX388","PX395=AVERAGE_BID_ASK_SPREAD_%","DY262=D","PY204=N","PX391=20260601","PX392=20260626")</f>
        <v>4.3869334881651456E-2</v>
      </c>
    </row>
    <row r="85" spans="1:31" x14ac:dyDescent="0.25">
      <c r="A85" t="s">
        <v>110</v>
      </c>
      <c r="B85" t="str">
        <f>_xll.BDP("3012 HK Equity","LONG_COMP_NAME")</f>
        <v>Amundi Hang Seng HK 35 Index ETF</v>
      </c>
      <c r="C85">
        <f>_xll.BDP("3012 HK Equity","PX385","PX395=FUND_FLOW","DY262=D","PY204=N","PX391=20260622","PX392=20260626","DS004=USD")</f>
        <v>0</v>
      </c>
      <c r="D85">
        <f>_xll.BDP("3012 HK Equity","PX388","PX395=TURNOVER","DY262=D","PY204=N","PX391=20260601","PX392=20260626","DS004=HKD")</f>
        <v>173806</v>
      </c>
      <c r="E85">
        <f>_xll.BDP("3012 HK Equity","PX388","PX395=TURNOVER","DY262=D","PY204=N","PX391=20250101","PX392=20251231","DS004=HKD")</f>
        <v>90564.104477611923</v>
      </c>
      <c r="F85">
        <f>_xll.BDP("3012 HK Equity","PX596","PX395=FUND_TOTAL_ASSETS","DY262=D","PY204=N","PX391=20260626","PX392=20260626","DS004=USD")</f>
        <v>1.2741879292536435</v>
      </c>
      <c r="G85">
        <f>_xll.BDP("3012 HK Equity","PX388","PX395=CUR_MKT_CAP","DY262=D","PY204=N","PX391=20260626","PX392=20260626","DS004=HKD")</f>
        <v>10.050000000000001</v>
      </c>
      <c r="H85" t="str">
        <f>_xll.BDP("3012 HK Equity","FUND_LEVERAGE_TYPE")</f>
        <v>#N/A N/A</v>
      </c>
      <c r="I85">
        <f>_xll.BDP("3012 HK Equity","PX388","PX395=TURNOVER","DY262=D","PY204=N","PX391=20260101","PX392=20260131","DS004=HKD")</f>
        <v>51419.166666666664</v>
      </c>
      <c r="J85">
        <v>-1</v>
      </c>
      <c r="K85" t="str">
        <f>_xll.BDP("3012 HK Equity","FUND_INCEPT_DT")</f>
        <v>4/12/2016</v>
      </c>
      <c r="L85" t="str">
        <f>_xll.BDP("3012 HK Equity","PX388","PX395=TURNOVER_EXCH_RATIO","DY262=D","PY204=N","PX391=20251201","PX392=20251210")</f>
        <v>#N/A N/A</v>
      </c>
      <c r="M85">
        <f>_xll.BDP("3012 HK Equity","EQY_SH_OUT")</f>
        <v>0.5</v>
      </c>
      <c r="N85">
        <f>_xll.BDP("3012 HK Equity","EQY_TRR_PCT_YTD")</f>
        <v>6.2430779999999997</v>
      </c>
      <c r="O85">
        <f>_xll.BDP("3012 HK Equity","CHG_PCT_YTD")</f>
        <v>4.9608379999999999</v>
      </c>
      <c r="P85">
        <f>_xll.BDP("3012 HK Equity","CHG_PCT_1M")</f>
        <v>-6.4245789999999996</v>
      </c>
      <c r="Q85" t="str">
        <f>_xll.BDP("3012 HK Equity","LISTING_DATE")</f>
        <v>4/12/2016</v>
      </c>
      <c r="R85" t="str">
        <f>_xll.BDP("3012 HK Equity","FUND_INCEPT_DT")</f>
        <v>4/12/2016</v>
      </c>
      <c r="S85">
        <f>_xll.BDP("3012 HK Equity","AVG_DAILY_VALUE_TRADED_3M")</f>
        <v>18066.23</v>
      </c>
      <c r="T85" t="str">
        <f>_xll.BDP("3012 HK Equity","PX596","PX395=HISTORICAL_MARKET_CAP","DY262=D","PY204=N","PX391=20231231","PX392=20231231","DS004=HKD")</f>
        <v>#N/A N/A</v>
      </c>
      <c r="U85">
        <f>_xll.BDP("3012 HK Equity","PX385","PX395=FUND_FLOW","DY262=D","PY204=N","PX391=20240102","PX392=20240930","DS004=HKD")</f>
        <v>0</v>
      </c>
      <c r="V85">
        <f>_xll.BDP("3012 HK Equity","PX596","PX395=CUR_MKT_CAP","DY262=D","PY204=N","PX391=20240101","DS004=HKD")</f>
        <v>9.5749999999999993</v>
      </c>
      <c r="W85" t="str">
        <f>_xll.BDP("3012 HK Equity","FUND_INCEPT_DT")</f>
        <v>4/12/2016</v>
      </c>
      <c r="X85">
        <f>_xll.BDP("3012 HK Equity","PX388","PX395=TURNOVER","DY262=D","PY204=N","PX391=20240502","PX392=20240606","DS004=HKD")</f>
        <v>14650</v>
      </c>
      <c r="Y85" t="str">
        <f>_xll.BDP("3012 HK Equity","PARENT_COMP_NAME")</f>
        <v>Amundi Hong Kong Ltd</v>
      </c>
      <c r="Z85" t="str">
        <f>_xll.BDP("3012 HK Equity","NAV_CRNCY")</f>
        <v>HKD</v>
      </c>
      <c r="AA85" t="str">
        <f>_xll.BDP("3012 HK Equity","FUND_GEO_FOCUS")</f>
        <v>Hong Kong</v>
      </c>
      <c r="AB85" t="str">
        <f>_xll.BDP("3012 HK Equity","FUND_ASSET_CLASS_FOCUS")</f>
        <v>Equity</v>
      </c>
      <c r="AC85">
        <f>_xll.BDP("3012 HK Equity","PX_LAST")</f>
        <v>20.100000000000001</v>
      </c>
      <c r="AD85">
        <f>_xll.BDP("3012 HK Equity","PX388","PX395=TIME_WAVG_BID_ASK_SPREAD_PCT","DY262=D","PY204=N","PX391=20260601","PX392=20260626")</f>
        <v>0.82539343739045989</v>
      </c>
      <c r="AE85">
        <f>_xll.BDP("3012 HK Equity","PX388","PX395=AVERAGE_BID_ASK_SPREAD_%","DY262=D","PY204=N","PX391=20260601","PX392=20260626")</f>
        <v>0.8727594861717064</v>
      </c>
    </row>
    <row r="86" spans="1:31" x14ac:dyDescent="0.25">
      <c r="A86" t="s">
        <v>111</v>
      </c>
      <c r="B86" t="str">
        <f>_xll.BDP("3024 HK Equity","LONG_COMP_NAME")</f>
        <v>W.I.S.E. - SSE 50 China Tracker</v>
      </c>
      <c r="C86">
        <f>_xll.BDP("3024 HK Equity","PX385","PX395=FUND_FLOW","DY262=D","PY204=N","PX391=20260622","PX392=20260626","DS004=USD")</f>
        <v>0</v>
      </c>
      <c r="D86">
        <f>_xll.BDP("3024 HK Equity","PX388","PX395=TURNOVER","DY262=D","PY204=N","PX391=20260601","PX392=20260626","DS004=HKD")</f>
        <v>122658</v>
      </c>
      <c r="E86">
        <f>_xll.BDP("3024 HK Equity","PX388","PX395=TURNOVER","DY262=D","PY204=N","PX391=20250101","PX392=20251231","DS004=HKD")</f>
        <v>113362.27397260274</v>
      </c>
      <c r="F86">
        <f>_xll.BDP("3024 HK Equity","PX596","PX395=FUND_TOTAL_ASSETS","DY262=D","PY204=N","PX391=20260626","PX392=20260626","DS004=USD")</f>
        <v>1.575720789074355</v>
      </c>
      <c r="G86">
        <f>_xll.BDP("3024 HK Equity","PX388","PX395=CUR_MKT_CAP","DY262=D","PY204=N","PX391=20260626","PX392=20260626","DS004=HKD")</f>
        <v>12.280000000000001</v>
      </c>
      <c r="H86" t="str">
        <f>_xll.BDP("3024 HK Equity","FUND_LEVERAGE_TYPE")</f>
        <v>#N/A N/A</v>
      </c>
      <c r="I86">
        <f>_xll.BDP("3024 HK Equity","PX388","PX395=TURNOVER","DY262=D","PY204=N","PX391=20260101","PX392=20260131","DS004=HKD")</f>
        <v>92495.4</v>
      </c>
      <c r="J86">
        <v>-1</v>
      </c>
      <c r="K86" t="str">
        <f>_xll.BDP("3024 HK Equity","FUND_INCEPT_DT")</f>
        <v>4/9/2009</v>
      </c>
      <c r="L86" t="str">
        <f>_xll.BDP("3024 HK Equity","PX388","PX395=TURNOVER_EXCH_RATIO","DY262=D","PY204=N","PX391=20251201","PX392=20251210")</f>
        <v>#N/A N/A</v>
      </c>
      <c r="M86">
        <f>_xll.BDP("3024 HK Equity","EQY_SH_OUT")</f>
        <v>0.39999999999999997</v>
      </c>
      <c r="N86">
        <f>_xll.BDP("3024 HK Equity","EQY_TRR_PCT_YTD")</f>
        <v>2.0813160000000002</v>
      </c>
      <c r="O86">
        <f>_xll.BDP("3024 HK Equity","CHG_PCT_YTD")</f>
        <v>2.0725419999999999</v>
      </c>
      <c r="P86">
        <f>_xll.BDP("3024 HK Equity","CHG_PCT_1M")</f>
        <v>2.3376649999999999</v>
      </c>
      <c r="Q86" t="str">
        <f>_xll.BDP("3024 HK Equity","LISTING_DATE")</f>
        <v>4/15/2009</v>
      </c>
      <c r="R86" t="str">
        <f>_xll.BDP("3024 HK Equity","FUND_INCEPT_DT")</f>
        <v>4/9/2009</v>
      </c>
      <c r="S86">
        <f>_xll.BDP("3024 HK Equity","AVG_DAILY_VALUE_TRADED_3M")</f>
        <v>11570.36</v>
      </c>
      <c r="T86" t="str">
        <f>_xll.BDP("3024 HK Equity","PX596","PX395=HISTORICAL_MARKET_CAP","DY262=D","PY204=N","PX391=20231231","PX392=20231231","DS004=HKD")</f>
        <v>#N/A N/A</v>
      </c>
      <c r="U86">
        <f>_xll.BDP("3024 HK Equity","PX385","PX395=FUND_FLOW","DY262=D","PY204=N","PX391=20240102","PX392=20240930","DS004=HKD")</f>
        <v>0</v>
      </c>
      <c r="V86">
        <f>_xll.BDP("3024 HK Equity","PX596","PX395=CUR_MKT_CAP","DY262=D","PY204=N","PX391=20240101","DS004=HKD")</f>
        <v>12.352</v>
      </c>
      <c r="W86" t="str">
        <f>_xll.BDP("3024 HK Equity","FUND_INCEPT_DT")</f>
        <v>4/9/2009</v>
      </c>
      <c r="X86">
        <f>_xll.BDP("3024 HK Equity","PX388","PX395=TURNOVER","DY262=D","PY204=N","PX391=20240502","PX392=20240606","DS004=HKD")</f>
        <v>96728</v>
      </c>
      <c r="Y86" t="str">
        <f>_xll.BDP("3024 HK Equity","PARENT_COMP_NAME")</f>
        <v>BOCI-Prudential Asset Manageme</v>
      </c>
      <c r="Z86" t="str">
        <f>_xll.BDP("3024 HK Equity","NAV_CRNCY")</f>
        <v>HKD</v>
      </c>
      <c r="AA86" t="str">
        <f>_xll.BDP("3024 HK Equity","FUND_GEO_FOCUS")</f>
        <v>China</v>
      </c>
      <c r="AB86" t="str">
        <f>_xll.BDP("3024 HK Equity","FUND_ASSET_CLASS_FOCUS")</f>
        <v>Equity</v>
      </c>
      <c r="AC86">
        <f>_xll.BDP("3024 HK Equity","PX_LAST")</f>
        <v>31.52</v>
      </c>
      <c r="AD86">
        <f>_xll.BDP("3024 HK Equity","PX388","PX395=TIME_WAVG_BID_ASK_SPREAD_PCT","DY262=D","PY204=N","PX391=20260601","PX392=20260626")</f>
        <v>0.44266028786374789</v>
      </c>
      <c r="AE86">
        <f>_xll.BDP("3024 HK Equity","PX388","PX395=AVERAGE_BID_ASK_SPREAD_%","DY262=D","PY204=N","PX391=20260601","PX392=20260626")</f>
        <v>0.65127103469122083</v>
      </c>
    </row>
    <row r="87" spans="1:31" x14ac:dyDescent="0.25">
      <c r="A87" t="s">
        <v>112</v>
      </c>
      <c r="B87" t="str">
        <f>_xll.BDP("3029 HK Equity","LONG_COMP_NAME")</f>
        <v>Global X Hang Seng ESG ETF</v>
      </c>
      <c r="C87">
        <f>_xll.BDP("3029 HK Equity","PX385","PX395=FUND_FLOW","DY262=D","PY204=N","PX391=20260622","PX392=20260626","DS004=USD")</f>
        <v>0</v>
      </c>
      <c r="D87">
        <f>_xll.BDP("3029 HK Equity","PX388","PX395=TURNOVER","DY262=D","PY204=N","PX391=20260601","PX392=20260626","DS004=HKD")</f>
        <v>25696.564285714285</v>
      </c>
      <c r="E87">
        <f>_xll.BDP("3029 HK Equity","PX388","PX395=TURNOVER","DY262=D","PY204=N","PX391=20250101","PX392=20251231","DS004=HKD")</f>
        <v>78992.040689655085</v>
      </c>
      <c r="F87">
        <f>_xll.BDP("3029 HK Equity","PX596","PX395=FUND_TOTAL_ASSETS","DY262=D","PY204=N","PX391=20260626","PX392=20260626","DS004=USD")</f>
        <v>1.7059340495530531</v>
      </c>
      <c r="G87">
        <f>_xll.BDP("3029 HK Equity","PX388","PX395=CUR_MKT_CAP","DY262=D","PY204=N","PX391=20260626","PX392=20260626","DS004=HKD")</f>
        <v>13.398</v>
      </c>
      <c r="H87" t="str">
        <f>_xll.BDP("3029 HK Equity","FUND_LEVERAGE_TYPE")</f>
        <v>#N/A N/A</v>
      </c>
      <c r="I87">
        <f>_xll.BDP("3029 HK Equity","PX388","PX395=TURNOVER","DY262=D","PY204=N","PX391=20260101","PX392=20260131","DS004=HKD")</f>
        <v>12968.253571428571</v>
      </c>
      <c r="J87">
        <v>-1</v>
      </c>
      <c r="K87" t="str">
        <f>_xll.BDP("3029 HK Equity","FUND_INCEPT_DT")</f>
        <v>3/21/2022</v>
      </c>
      <c r="L87" t="str">
        <f>_xll.BDP("3029 HK Equity","PX388","PX395=TURNOVER_EXCH_RATIO","DY262=D","PY204=N","PX391=20251201","PX392=20251210")</f>
        <v>#N/A N/A</v>
      </c>
      <c r="M87">
        <f>_xll.BDP("3029 HK Equity","EQY_SH_OUT")</f>
        <v>3</v>
      </c>
      <c r="N87">
        <f>_xll.BDP("3029 HK Equity","EQY_TRR_PCT_YTD")</f>
        <v>-10.90945</v>
      </c>
      <c r="O87">
        <f>_xll.BDP("3029 HK Equity","CHG_PCT_YTD")</f>
        <v>-10.832520000000001</v>
      </c>
      <c r="P87">
        <f>_xll.BDP("3029 HK Equity","CHG_PCT_1M")</f>
        <v>-8.2627950000000006</v>
      </c>
      <c r="Q87" t="str">
        <f>_xll.BDP("3029 HK Equity","LISTING_DATE")</f>
        <v>3/21/2022</v>
      </c>
      <c r="R87" t="str">
        <f>_xll.BDP("3029 HK Equity","FUND_INCEPT_DT")</f>
        <v>3/21/2022</v>
      </c>
      <c r="S87">
        <f>_xll.BDP("3029 HK Equity","AVG_DAILY_VALUE_TRADED_3M")</f>
        <v>28711.48</v>
      </c>
      <c r="T87" t="str">
        <f>_xll.BDP("3029 HK Equity","PX596","PX395=HISTORICAL_MARKET_CAP","DY262=D","PY204=N","PX391=20231231","PX392=20231231","DS004=HKD")</f>
        <v>#N/A N/A</v>
      </c>
      <c r="U87">
        <f>_xll.BDP("3029 HK Equity","PX385","PX395=FUND_FLOW","DY262=D","PY204=N","PX391=20240102","PX392=20240930","DS004=HKD")</f>
        <v>-9.3276000000000003</v>
      </c>
      <c r="V87">
        <f>_xll.BDP("3029 HK Equity","PX596","PX395=CUR_MKT_CAP","DY262=D","PY204=N","PX391=20240101","DS004=HKD")</f>
        <v>15.315000000000001</v>
      </c>
      <c r="W87" t="str">
        <f>_xll.BDP("3029 HK Equity","FUND_INCEPT_DT")</f>
        <v>3/21/2022</v>
      </c>
      <c r="X87">
        <f>_xll.BDP("3029 HK Equity","PX388","PX395=TURNOVER","DY262=D","PY204=N","PX391=20240502","PX392=20240606","DS004=HKD")</f>
        <v>1021.8000000000001</v>
      </c>
      <c r="Y87" t="str">
        <f>_xll.BDP("3029 HK Equity","PARENT_COMP_NAME")</f>
        <v>Mirae Asset Global Investments</v>
      </c>
      <c r="Z87" t="str">
        <f>_xll.BDP("3029 HK Equity","NAV_CRNCY")</f>
        <v>HKD</v>
      </c>
      <c r="AA87" t="str">
        <f>_xll.BDP("3029 HK Equity","FUND_GEO_FOCUS")</f>
        <v>China</v>
      </c>
      <c r="AB87" t="str">
        <f>_xll.BDP("3029 HK Equity","FUND_ASSET_CLASS_FOCUS")</f>
        <v>Equity</v>
      </c>
      <c r="AC87">
        <f>_xll.BDP("3029 HK Equity","PX_LAST")</f>
        <v>4.5519999999999996</v>
      </c>
      <c r="AD87">
        <f>_xll.BDP("3029 HK Equity","PX388","PX395=TIME_WAVG_BID_ASK_SPREAD_PCT","DY262=D","PY204=N","PX391=20260601","PX392=20260626")</f>
        <v>0.32614682312849141</v>
      </c>
      <c r="AE87">
        <f>_xll.BDP("3029 HK Equity","PX388","PX395=AVERAGE_BID_ASK_SPREAD_%","DY262=D","PY204=N","PX391=20260601","PX392=20260626")</f>
        <v>0.40763372111194968</v>
      </c>
    </row>
    <row r="88" spans="1:31" x14ac:dyDescent="0.25">
      <c r="A88" t="s">
        <v>113</v>
      </c>
      <c r="B88" t="str">
        <f>_xll.BDP("3030 HK Equity","LONG_COMP_NAME")</f>
        <v>CSOP Gold ETF</v>
      </c>
      <c r="C88">
        <f>_xll.BDP("3030 HK Equity","PX385","PX395=FUND_FLOW","DY262=D","PY204=N","PX391=20260622","PX392=20260626","DS004=USD")</f>
        <v>0</v>
      </c>
      <c r="D88">
        <f>_xll.BDP("3030 HK Equity","PX388","PX395=TURNOVER","DY262=D","PY204=N","PX391=20260601","PX392=20260626","DS004=HKD")</f>
        <v>268886.94736842101</v>
      </c>
      <c r="E88" t="str">
        <f>_xll.BDP("3030 HK Equity","PX388","PX395=TURNOVER","DY262=D","PY204=N","PX391=20250101","PX392=20251231","DS004=HKD")</f>
        <v>#N/A N/A</v>
      </c>
      <c r="F88">
        <f>_xll.BDP("3030 HK Equity","PX596","PX395=FUND_TOTAL_ASSETS","DY262=D","PY204=N","PX391=20260626","PX392=20260626","DS004=USD")</f>
        <v>609.75641510000003</v>
      </c>
      <c r="G88">
        <f>_xll.BDP("3030 HK Equity","PX388","PX395=CUR_MKT_CAP","DY262=D","PY204=N","PX391=20260626","PX392=20260626","DS004=HKD")</f>
        <v>4760.1949999999997</v>
      </c>
      <c r="H88" t="str">
        <f>_xll.BDP("3030 HK Equity","FUND_LEVERAGE_TYPE")</f>
        <v>#N/A N/A</v>
      </c>
      <c r="I88" t="str">
        <f>_xll.BDP("3030 HK Equity","PX388","PX395=TURNOVER","DY262=D","PY204=N","PX391=20260101","PX392=20260131","DS004=HKD")</f>
        <v>#N/A N/A</v>
      </c>
      <c r="J88" t="s">
        <v>31</v>
      </c>
      <c r="K88" t="str">
        <f>_xll.BDP("3030 HK Equity","FUND_INCEPT_DT")</f>
        <v>4/20/2026</v>
      </c>
      <c r="L88" t="str">
        <f>_xll.BDP("3030 HK Equity","PX388","PX395=TURNOVER_EXCH_RATIO","DY262=D","PY204=N","PX391=20251201","PX392=20251210")</f>
        <v>#N/A N/A</v>
      </c>
      <c r="M88">
        <f>_xll.BDP("3030 HK Equity","EQY_SH_OUT")</f>
        <v>781</v>
      </c>
      <c r="N88" t="str">
        <f>_xll.BDP("3030 HK Equity","EQY_TRR_PCT_YTD")</f>
        <v>#N/A N/A</v>
      </c>
      <c r="O88" t="str">
        <f>_xll.BDP("3030 HK Equity","CHG_PCT_YTD")</f>
        <v>#N/A N/A</v>
      </c>
      <c r="P88">
        <f>_xll.BDP("3030 HK Equity","CHG_PCT_1M")</f>
        <v>-9.7222240000000006</v>
      </c>
      <c r="Q88" t="str">
        <f>_xll.BDP("3030 HK Equity","LISTING_DATE")</f>
        <v>4/21/2026</v>
      </c>
      <c r="R88" t="str">
        <f>_xll.BDP("3030 HK Equity","FUND_INCEPT_DT")</f>
        <v>4/20/2026</v>
      </c>
      <c r="S88" t="str">
        <f>_xll.BDP("3030 HK Equity","AVG_DAILY_VALUE_TRADED_3M")</f>
        <v>#N/A N/A</v>
      </c>
      <c r="T88" t="str">
        <f>_xll.BDP("3030 HK Equity","PX596","PX395=HISTORICAL_MARKET_CAP","DY262=D","PY204=N","PX391=20231231","PX392=20231231","DS004=HKD")</f>
        <v>#N/A N/A</v>
      </c>
      <c r="U88" t="str">
        <f>_xll.BDP("3030 HK Equity","PX385","PX395=FUND_FLOW","DY262=D","PY204=N","PX391=20240102","PX392=20240930","DS004=HKD")</f>
        <v>#N/A N/A</v>
      </c>
      <c r="V88" t="str">
        <f>_xll.BDP("3030 HK Equity","PX596","PX395=CUR_MKT_CAP","DY262=D","PY204=N","PX391=20240101","DS004=HKD")</f>
        <v>#N/A N/A</v>
      </c>
      <c r="W88" t="str">
        <f>_xll.BDP("3030 HK Equity","FUND_INCEPT_DT")</f>
        <v>4/20/2026</v>
      </c>
      <c r="X88" t="str">
        <f>_xll.BDP("3030 HK Equity","PX388","PX395=TURNOVER","DY262=D","PY204=N","PX391=20240502","PX392=20240606","DS004=HKD")</f>
        <v>#N/A N/A</v>
      </c>
      <c r="Y88" t="str">
        <f>_xll.BDP("3030 HK Equity","PARENT_COMP_NAME")</f>
        <v>CSOP Asset Management Ltd/Hong</v>
      </c>
      <c r="Z88" t="str">
        <f>_xll.BDP("3030 HK Equity","NAV_CRNCY")</f>
        <v>USD</v>
      </c>
      <c r="AA88" t="str">
        <f>_xll.BDP("3030 HK Equity","FUND_GEO_FOCUS")</f>
        <v>Global</v>
      </c>
      <c r="AB88" t="str">
        <f>_xll.BDP("3030 HK Equity","FUND_ASSET_CLASS_FOCUS")</f>
        <v>Commodity</v>
      </c>
      <c r="AC88">
        <f>_xll.BDP("3030 HK Equity","PX_LAST")</f>
        <v>6.1749999999999998</v>
      </c>
      <c r="AD88">
        <f>_xll.BDP("3030 HK Equity","PX388","PX395=TIME_WAVG_BID_ASK_SPREAD_PCT","DY262=D","PY204=N","PX391=20260601","PX392=20260626")</f>
        <v>0.23012706051991519</v>
      </c>
      <c r="AE88">
        <f>_xll.BDP("3030 HK Equity","PX388","PX395=AVERAGE_BID_ASK_SPREAD_%","DY262=D","PY204=N","PX391=20260601","PX392=20260626")</f>
        <v>0.24039414639464057</v>
      </c>
    </row>
    <row r="89" spans="1:31" x14ac:dyDescent="0.25">
      <c r="A89" t="s">
        <v>114</v>
      </c>
      <c r="B89" t="str">
        <f>_xll.BDP("3031 HK Equity","LONG_COMP_NAME")</f>
        <v>Fullgoal Hang Seng HK High Dividend ETF</v>
      </c>
      <c r="C89">
        <f>_xll.BDP("3031 HK Equity","PX385","PX395=FUND_FLOW","DY262=D","PY204=N","PX391=20260622","PX392=20260626","DS004=USD")</f>
        <v>0</v>
      </c>
      <c r="D89">
        <f>_xll.BDP("3031 HK Equity","PX388","PX395=TURNOVER","DY262=D","PY204=N","PX391=20260601","PX392=20260626","DS004=HKD")</f>
        <v>779062.86842105258</v>
      </c>
      <c r="E89" t="str">
        <f>_xll.BDP("3031 HK Equity","PX388","PX395=TURNOVER","DY262=D","PY204=N","PX391=20250101","PX392=20251231","DS004=HKD")</f>
        <v>#N/A N/A</v>
      </c>
      <c r="F89">
        <f>_xll.BDP("3031 HK Equity","PX596","PX395=FUND_TOTAL_ASSETS","DY262=D","PY204=N","PX391=20260626","PX392=20260626","DS004=USD")</f>
        <v>66.386554621848731</v>
      </c>
      <c r="G89">
        <f>_xll.BDP("3031 HK Equity","PX388","PX395=CUR_MKT_CAP","DY262=D","PY204=N","PX391=20260626","PX392=20260626","DS004=HKD")</f>
        <v>521.26499999999999</v>
      </c>
      <c r="H89" t="str">
        <f>_xll.BDP("3031 HK Equity","FUND_LEVERAGE_TYPE")</f>
        <v>#N/A N/A</v>
      </c>
      <c r="I89" t="str">
        <f>_xll.BDP("3031 HK Equity","PX388","PX395=TURNOVER","DY262=D","PY204=N","PX391=20260101","PX392=20260131","DS004=HKD")</f>
        <v>#N/A N/A</v>
      </c>
      <c r="J89" t="s">
        <v>31</v>
      </c>
      <c r="K89" t="str">
        <f>_xll.BDP("3031 HK Equity","FUND_INCEPT_DT")</f>
        <v>3/31/2026</v>
      </c>
      <c r="L89" t="str">
        <f>_xll.BDP("3031 HK Equity","PX388","PX395=TURNOVER_EXCH_RATIO","DY262=D","PY204=N","PX391=20251201","PX392=20251210")</f>
        <v>#N/A N/A</v>
      </c>
      <c r="M89">
        <f>_xll.BDP("3031 HK Equity","EQY_SH_OUT")</f>
        <v>58.9</v>
      </c>
      <c r="N89" t="str">
        <f>_xll.BDP("3031 HK Equity","EQY_TRR_PCT_YTD")</f>
        <v>#N/A N/A</v>
      </c>
      <c r="O89" t="str">
        <f>_xll.BDP("3031 HK Equity","CHG_PCT_YTD")</f>
        <v>#N/A N/A</v>
      </c>
      <c r="P89">
        <f>_xll.BDP("3031 HK Equity","CHG_PCT_1M")</f>
        <v>-9.173845</v>
      </c>
      <c r="Q89" t="str">
        <f>_xll.BDP("3031 HK Equity","LISTING_DATE")</f>
        <v>3/31/2026</v>
      </c>
      <c r="R89" t="str">
        <f>_xll.BDP("3031 HK Equity","FUND_INCEPT_DT")</f>
        <v>3/31/2026</v>
      </c>
      <c r="S89" t="str">
        <f>_xll.BDP("3031 HK Equity","AVG_DAILY_VALUE_TRADED_3M")</f>
        <v>#N/A N/A</v>
      </c>
      <c r="T89" t="str">
        <f>_xll.BDP("3031 HK Equity","PX596","PX395=HISTORICAL_MARKET_CAP","DY262=D","PY204=N","PX391=20231231","PX392=20231231","DS004=HKD")</f>
        <v>#N/A N/A</v>
      </c>
      <c r="U89" t="str">
        <f>_xll.BDP("3031 HK Equity","PX385","PX395=FUND_FLOW","DY262=D","PY204=N","PX391=20240102","PX392=20240930","DS004=HKD")</f>
        <v>#N/A N/A</v>
      </c>
      <c r="V89" t="str">
        <f>_xll.BDP("3031 HK Equity","PX596","PX395=CUR_MKT_CAP","DY262=D","PY204=N","PX391=20240101","DS004=HKD")</f>
        <v>#N/A N/A</v>
      </c>
      <c r="W89" t="str">
        <f>_xll.BDP("3031 HK Equity","FUND_INCEPT_DT")</f>
        <v>3/31/2026</v>
      </c>
      <c r="X89" t="str">
        <f>_xll.BDP("3031 HK Equity","PX388","PX395=TURNOVER","DY262=D","PY204=N","PX391=20240502","PX392=20240606","DS004=HKD")</f>
        <v>#N/A N/A</v>
      </c>
      <c r="Y89" t="str">
        <f>_xll.BDP("3031 HK Equity","PARENT_COMP_NAME")</f>
        <v>Fullgoal International Fund Se</v>
      </c>
      <c r="Z89" t="str">
        <f>_xll.BDP("3031 HK Equity","NAV_CRNCY")</f>
        <v>HKD</v>
      </c>
      <c r="AA89" t="str">
        <f>_xll.BDP("3031 HK Equity","FUND_GEO_FOCUS")</f>
        <v>Hong Kong</v>
      </c>
      <c r="AB89" t="str">
        <f>_xll.BDP("3031 HK Equity","FUND_ASSET_CLASS_FOCUS")</f>
        <v>Equity</v>
      </c>
      <c r="AC89">
        <f>_xll.BDP("3031 HK Equity","PX_LAST")</f>
        <v>8.9600000000000009</v>
      </c>
      <c r="AD89">
        <f>_xll.BDP("3031 HK Equity","PX388","PX395=TIME_WAVG_BID_ASK_SPREAD_PCT","DY262=D","PY204=N","PX391=20260601","PX392=20260626")</f>
        <v>0.33069083306154945</v>
      </c>
      <c r="AE89">
        <f>_xll.BDP("3031 HK Equity","PX388","PX395=AVERAGE_BID_ASK_SPREAD_%","DY262=D","PY204=N","PX391=20260601","PX392=20260626")</f>
        <v>0.39078207338407756</v>
      </c>
    </row>
    <row r="90" spans="1:31" x14ac:dyDescent="0.25">
      <c r="A90" t="s">
        <v>115</v>
      </c>
      <c r="B90" t="str">
        <f>_xll.BDP("3034 HK Equity","LONG_COMP_NAME")</f>
        <v>CSOP NASDAQ 100 ETF</v>
      </c>
      <c r="C90">
        <f>_xll.BDP("3034 HK Equity","PX385","PX395=FUND_FLOW","DY262=D","PY204=N","PX391=20260622","PX392=20260626","DS004=USD")</f>
        <v>0</v>
      </c>
      <c r="D90">
        <f>_xll.BDP("3034 HK Equity","PX388","PX395=TURNOVER","DY262=D","PY204=N","PX391=20260601","PX392=20260626","DS004=HKD")</f>
        <v>618493.5894736842</v>
      </c>
      <c r="E90">
        <f>_xll.BDP("3034 HK Equity","PX388","PX395=TURNOVER","DY262=D","PY204=N","PX391=20250101","PX392=20251231","DS004=HKD")</f>
        <v>208894.57914893614</v>
      </c>
      <c r="F90">
        <f>_xll.BDP("3034 HK Equity","PX596","PX395=FUND_TOTAL_ASSETS","DY262=D","PY204=N","PX391=20260626","PX392=20260626","DS004=USD")</f>
        <v>9.1021359900000007</v>
      </c>
      <c r="G90">
        <f>_xll.BDP("3034 HK Equity","PX388","PX395=CUR_MKT_CAP","DY262=D","PY204=N","PX391=20260626","PX392=20260626","DS004=HKD")</f>
        <v>31.2075</v>
      </c>
      <c r="H90" t="str">
        <f>_xll.BDP("3034 HK Equity","FUND_LEVERAGE_TYPE")</f>
        <v>#N/A N/A</v>
      </c>
      <c r="I90">
        <f>_xll.BDP("3034 HK Equity","PX388","PX395=TURNOVER","DY262=D","PY204=N","PX391=20260101","PX392=20260131","DS004=HKD")</f>
        <v>89668.014285714278</v>
      </c>
      <c r="J90">
        <v>-1</v>
      </c>
      <c r="K90" t="str">
        <f>_xll.BDP("3034 HK Equity","FUND_INCEPT_DT")</f>
        <v>2/21/2022</v>
      </c>
      <c r="L90" t="str">
        <f>_xll.BDP("3034 HK Equity","PX388","PX395=TURNOVER_EXCH_RATIO","DY262=D","PY204=N","PX391=20251201","PX392=20251210")</f>
        <v>#N/A N/A</v>
      </c>
      <c r="M90">
        <f>_xll.BDP("3034 HK Equity","EQY_SH_OUT")</f>
        <v>2.4965999999999999</v>
      </c>
      <c r="N90">
        <f>_xll.BDP("3034 HK Equity","EQY_TRR_PCT_YTD")</f>
        <v>15.71191</v>
      </c>
      <c r="O90">
        <f>_xll.BDP("3034 HK Equity","CHG_PCT_YTD")</f>
        <v>15.74586</v>
      </c>
      <c r="P90">
        <f>_xll.BDP("3034 HK Equity","CHG_PCT_1M")</f>
        <v>-2.7089789999999998</v>
      </c>
      <c r="Q90" t="str">
        <f>_xll.BDP("3034 HK Equity","LISTING_DATE")</f>
        <v>2/21/2022</v>
      </c>
      <c r="R90" t="str">
        <f>_xll.BDP("3034 HK Equity","FUND_INCEPT_DT")</f>
        <v>2/21/2022</v>
      </c>
      <c r="S90">
        <f>_xll.BDP("3034 HK Equity","AVG_DAILY_VALUE_TRADED_3M")</f>
        <v>382069.3</v>
      </c>
      <c r="T90" t="str">
        <f>_xll.BDP("3034 HK Equity","PX596","PX395=HISTORICAL_MARKET_CAP","DY262=D","PY204=N","PX391=20231231","PX392=20231231","DS004=HKD")</f>
        <v>#N/A N/A</v>
      </c>
      <c r="U90">
        <f>_xll.BDP("3034 HK Equity","PX385","PX395=FUND_FLOW","DY262=D","PY204=N","PX391=20240102","PX392=20240930","DS004=HKD")</f>
        <v>-12.586272785999999</v>
      </c>
      <c r="V90">
        <f>_xll.BDP("3034 HK Equity","PX596","PX395=CUR_MKT_CAP","DY262=D","PY204=N","PX391=20240101","DS004=HKD")</f>
        <v>23.855076</v>
      </c>
      <c r="W90" t="str">
        <f>_xll.BDP("3034 HK Equity","FUND_INCEPT_DT")</f>
        <v>2/21/2022</v>
      </c>
      <c r="X90">
        <f>_xll.BDP("3034 HK Equity","PX388","PX395=TURNOVER","DY262=D","PY204=N","PX391=20240502","PX392=20240606","DS004=HKD")</f>
        <v>58472.104347826084</v>
      </c>
      <c r="Y90" t="str">
        <f>_xll.BDP("3034 HK Equity","PARENT_COMP_NAME")</f>
        <v>CSOP Asset Management Ltd/Hong</v>
      </c>
      <c r="Z90" t="str">
        <f>_xll.BDP("3034 HK Equity","NAV_CRNCY")</f>
        <v>USD</v>
      </c>
      <c r="AA90" t="str">
        <f>_xll.BDP("3034 HK Equity","FUND_GEO_FOCUS")</f>
        <v>U.S.</v>
      </c>
      <c r="AB90" t="str">
        <f>_xll.BDP("3034 HK Equity","FUND_ASSET_CLASS_FOCUS")</f>
        <v>Equity</v>
      </c>
      <c r="AC90">
        <f>_xll.BDP("3034 HK Equity","PX_LAST")</f>
        <v>12.57</v>
      </c>
      <c r="AD90">
        <f>_xll.BDP("3034 HK Equity","PX388","PX395=TIME_WAVG_BID_ASK_SPREAD_PCT","DY262=D","PY204=N","PX391=20260601","PX392=20260626")</f>
        <v>0.22249079204187777</v>
      </c>
      <c r="AE90">
        <f>_xll.BDP("3034 HK Equity","PX388","PX395=AVERAGE_BID_ASK_SPREAD_%","DY262=D","PY204=N","PX391=20260601","PX392=20260626")</f>
        <v>0.28261032411731485</v>
      </c>
    </row>
    <row r="91" spans="1:31" x14ac:dyDescent="0.25">
      <c r="A91" t="s">
        <v>116</v>
      </c>
      <c r="B91" t="str">
        <f>_xll.BDP("3037 HK Equity","LONG_COMP_NAME")</f>
        <v>CSOP Hang Seng Index ETF</v>
      </c>
      <c r="C91">
        <f>_xll.BDP("3037 HK Equity","PX385","PX395=FUND_FLOW","DY262=D","PY204=N","PX391=20260622","PX392=20260626","DS004=USD")</f>
        <v>0</v>
      </c>
      <c r="D91">
        <f>_xll.BDP("3037 HK Equity","PX388","PX395=TURNOVER","DY262=D","PY204=N","PX391=20260601","PX392=20260626","DS004=HKD")</f>
        <v>2376594.9947368419</v>
      </c>
      <c r="E91">
        <f>_xll.BDP("3037 HK Equity","PX388","PX395=TURNOVER","DY262=D","PY204=N","PX391=20250101","PX392=20251231","DS004=HKD")</f>
        <v>3722457.6410569116</v>
      </c>
      <c r="F91">
        <f>_xll.BDP("3037 HK Equity","PX596","PX395=FUND_TOTAL_ASSETS","DY262=D","PY204=N","PX391=20260626","PX392=20260626","DS004=USD")</f>
        <v>75.54942899350938</v>
      </c>
      <c r="G91">
        <f>_xll.BDP("3037 HK Equity","PX388","PX395=CUR_MKT_CAP","DY262=D","PY204=N","PX391=20260626","PX392=20260626","DS004=HKD")</f>
        <v>592.12799999999993</v>
      </c>
      <c r="H91" t="str">
        <f>_xll.BDP("3037 HK Equity","FUND_LEVERAGE_TYPE")</f>
        <v>#N/A N/A</v>
      </c>
      <c r="I91">
        <f>_xll.BDP("3037 HK Equity","PX388","PX395=TURNOVER","DY262=D","PY204=N","PX391=20260101","PX392=20260131","DS004=HKD")</f>
        <v>1465471.2333333329</v>
      </c>
      <c r="J91">
        <v>-1</v>
      </c>
      <c r="K91" t="str">
        <f>_xll.BDP("3037 HK Equity","FUND_INCEPT_DT")</f>
        <v>5/5/2021</v>
      </c>
      <c r="L91" t="str">
        <f>_xll.BDP("3037 HK Equity","PX388","PX395=TURNOVER_EXCH_RATIO","DY262=D","PY204=N","PX391=20251201","PX392=20251210")</f>
        <v>#N/A N/A</v>
      </c>
      <c r="M91">
        <f>_xll.BDP("3037 HK Equity","EQY_SH_OUT")</f>
        <v>25.7</v>
      </c>
      <c r="N91">
        <f>_xll.BDP("3037 HK Equity","EQY_TRR_PCT_YTD")</f>
        <v>-10.19778</v>
      </c>
      <c r="O91">
        <f>_xll.BDP("3037 HK Equity","CHG_PCT_YTD")</f>
        <v>-9.3725780000000007</v>
      </c>
      <c r="P91">
        <f>_xll.BDP("3037 HK Equity","CHG_PCT_1M")</f>
        <v>-8.0188699999999997</v>
      </c>
      <c r="Q91" t="str">
        <f>_xll.BDP("3037 HK Equity","LISTING_DATE")</f>
        <v>5/6/2021</v>
      </c>
      <c r="R91" t="str">
        <f>_xll.BDP("3037 HK Equity","FUND_INCEPT_DT")</f>
        <v>5/5/2021</v>
      </c>
      <c r="S91">
        <f>_xll.BDP("3037 HK Equity","AVG_DAILY_VALUE_TRADED_3M")</f>
        <v>2044875</v>
      </c>
      <c r="T91" t="str">
        <f>_xll.BDP("3037 HK Equity","PX596","PX395=HISTORICAL_MARKET_CAP","DY262=D","PY204=N","PX391=20231231","PX392=20231231","DS004=HKD")</f>
        <v>#N/A N/A</v>
      </c>
      <c r="U91">
        <f>_xll.BDP("3037 HK Equity","PX385","PX395=FUND_FLOW","DY262=D","PY204=N","PX391=20240102","PX392=20240930","DS004=HKD")</f>
        <v>-251.65079999999998</v>
      </c>
      <c r="V91">
        <f>_xll.BDP("3037 HK Equity","PX596","PX395=CUR_MKT_CAP","DY262=D","PY204=N","PX391=20240101","DS004=HKD")</f>
        <v>663.57399999999996</v>
      </c>
      <c r="W91" t="str">
        <f>_xll.BDP("3037 HK Equity","FUND_INCEPT_DT")</f>
        <v>5/5/2021</v>
      </c>
      <c r="X91">
        <f>_xll.BDP("3037 HK Equity","PX388","PX395=TURNOVER","DY262=D","PY204=N","PX391=20240502","PX392=20240606","DS004=HKD")</f>
        <v>2176030.4400000004</v>
      </c>
      <c r="Y91" t="str">
        <f>_xll.BDP("3037 HK Equity","PARENT_COMP_NAME")</f>
        <v>CSOP Asset Management Ltd/Hong</v>
      </c>
      <c r="Z91" t="str">
        <f>_xll.BDP("3037 HK Equity","NAV_CRNCY")</f>
        <v>HKD</v>
      </c>
      <c r="AA91" t="str">
        <f>_xll.BDP("3037 HK Equity","FUND_GEO_FOCUS")</f>
        <v>Hong Kong</v>
      </c>
      <c r="AB91" t="str">
        <f>_xll.BDP("3037 HK Equity","FUND_ASSET_CLASS_FOCUS")</f>
        <v>Equity</v>
      </c>
      <c r="AC91">
        <f>_xll.BDP("3037 HK Equity","PX_LAST")</f>
        <v>23.4</v>
      </c>
      <c r="AD91">
        <f>_xll.BDP("3037 HK Equity","PX388","PX395=TIME_WAVG_BID_ASK_SPREAD_PCT","DY262=D","PY204=N","PX391=20260601","PX392=20260626")</f>
        <v>0.13498514458953856</v>
      </c>
      <c r="AE91">
        <f>_xll.BDP("3037 HK Equity","PX388","PX395=AVERAGE_BID_ASK_SPREAD_%","DY262=D","PY204=N","PX391=20260601","PX392=20260626")</f>
        <v>0.14371958539833787</v>
      </c>
    </row>
    <row r="92" spans="1:31" x14ac:dyDescent="0.25">
      <c r="A92" t="s">
        <v>117</v>
      </c>
      <c r="B92" t="str">
        <f>_xll.BDP("3038 HK Equity","LONG_COMP_NAME")</f>
        <v>Hang Seng Stock Connect China A Low Carbon Index ETF</v>
      </c>
      <c r="C92">
        <f>_xll.BDP("3038 HK Equity","PX385","PX395=FUND_FLOW","DY262=D","PY204=N","PX391=20260622","PX392=20260626","DS004=USD")</f>
        <v>0</v>
      </c>
      <c r="D92">
        <f>_xll.BDP("3038 HK Equity","PX388","PX395=TURNOVER","DY262=D","PY204=N","PX391=20260601","PX392=20260626","DS004=HKD")</f>
        <v>437217.5</v>
      </c>
      <c r="E92">
        <f>_xll.BDP("3038 HK Equity","PX388","PX395=TURNOVER","DY262=D","PY204=N","PX391=20250101","PX392=20251231","DS004=HKD")</f>
        <v>1278220.6293103446</v>
      </c>
      <c r="F92">
        <f>_xll.BDP("3038 HK Equity","PX596","PX395=FUND_TOTAL_ASSETS","DY262=D","PY204=N","PX391=20260626","PX392=20260626","DS004=USD")</f>
        <v>1.5771635324744084</v>
      </c>
      <c r="G92">
        <f>_xll.BDP("3038 HK Equity","PX388","PX395=CUR_MKT_CAP","DY262=D","PY204=N","PX391=20260626","PX392=20260626","DS004=HKD")</f>
        <v>10.62</v>
      </c>
      <c r="H92" t="str">
        <f>_xll.BDP("3038 HK Equity","FUND_LEVERAGE_TYPE")</f>
        <v>#N/A N/A</v>
      </c>
      <c r="I92">
        <f>_xll.BDP("3038 HK Equity","PX388","PX395=TURNOVER","DY262=D","PY204=N","PX391=20260101","PX392=20260131","DS004=HKD")</f>
        <v>301299</v>
      </c>
      <c r="J92">
        <v>-1</v>
      </c>
      <c r="K92" t="str">
        <f>_xll.BDP("3038 HK Equity","FUND_INCEPT_DT")</f>
        <v>3/28/2023</v>
      </c>
      <c r="L92" t="str">
        <f>_xll.BDP("3038 HK Equity","PX388","PX395=TURNOVER_EXCH_RATIO","DY262=D","PY204=N","PX391=20251201","PX392=20251210")</f>
        <v>#N/A N/A</v>
      </c>
      <c r="M92">
        <f>_xll.BDP("3038 HK Equity","EQY_SH_OUT")</f>
        <v>0.3</v>
      </c>
      <c r="N92">
        <f>_xll.BDP("3038 HK Equity","EQY_TRR_PCT_YTD")</f>
        <v>7.5490019999999998</v>
      </c>
      <c r="O92">
        <f>_xll.BDP("3038 HK Equity","CHG_PCT_YTD")</f>
        <v>9.7561</v>
      </c>
      <c r="P92">
        <f>_xll.BDP("3038 HK Equity","CHG_PCT_1M")</f>
        <v>0.72747150000000005</v>
      </c>
      <c r="Q92" t="str">
        <f>_xll.BDP("3038 HK Equity","LISTING_DATE")</f>
        <v>3/30/2023</v>
      </c>
      <c r="R92" t="str">
        <f>_xll.BDP("3038 HK Equity","FUND_INCEPT_DT")</f>
        <v>3/28/2023</v>
      </c>
      <c r="S92">
        <f>_xll.BDP("3038 HK Equity","AVG_DAILY_VALUE_TRADED_3M")</f>
        <v>91590.92</v>
      </c>
      <c r="T92" t="str">
        <f>_xll.BDP("3038 HK Equity","PX596","PX395=HISTORICAL_MARKET_CAP","DY262=D","PY204=N","PX391=20231231","PX392=20231231","DS004=HKD")</f>
        <v>#N/A N/A</v>
      </c>
      <c r="U92">
        <f>_xll.BDP("3038 HK Equity","PX385","PX395=FUND_FLOW","DY262=D","PY204=N","PX391=20240102","PX392=20240930","DS004=HKD")</f>
        <v>-34.145587950250302</v>
      </c>
      <c r="V92">
        <f>_xll.BDP("3038 HK Equity","PX596","PX395=CUR_MKT_CAP","DY262=D","PY204=N","PX391=20240101","DS004=HKD")</f>
        <v>9.8399999999999981</v>
      </c>
      <c r="W92" t="str">
        <f>_xll.BDP("3038 HK Equity","FUND_INCEPT_DT")</f>
        <v>3/28/2023</v>
      </c>
      <c r="X92">
        <f>_xll.BDP("3038 HK Equity","PX388","PX395=TURNOVER","DY262=D","PY204=N","PX391=20240502","PX392=20240606","DS004=HKD")</f>
        <v>611832</v>
      </c>
      <c r="Y92" t="str">
        <f>_xll.BDP("3038 HK Equity","PARENT_COMP_NAME")</f>
        <v>Hang Seng Investment Managemen</v>
      </c>
      <c r="Z92" t="str">
        <f>_xll.BDP("3038 HK Equity","NAV_CRNCY")</f>
        <v>HKD</v>
      </c>
      <c r="AA92" t="str">
        <f>_xll.BDP("3038 HK Equity","FUND_GEO_FOCUS")</f>
        <v>China</v>
      </c>
      <c r="AB92" t="str">
        <f>_xll.BDP("3038 HK Equity","FUND_ASSET_CLASS_FOCUS")</f>
        <v>Equity</v>
      </c>
      <c r="AC92">
        <f>_xll.BDP("3038 HK Equity","PX_LAST")</f>
        <v>36</v>
      </c>
      <c r="AD92">
        <f>_xll.BDP("3038 HK Equity","PX388","PX395=TIME_WAVG_BID_ASK_SPREAD_PCT","DY262=D","PY204=N","PX391=20260601","PX392=20260626")</f>
        <v>0.43167420265326428</v>
      </c>
      <c r="AE92">
        <f>_xll.BDP("3038 HK Equity","PX388","PX395=AVERAGE_BID_ASK_SPREAD_%","DY262=D","PY204=N","PX391=20260601","PX392=20260626")</f>
        <v>0.49304062455985731</v>
      </c>
    </row>
    <row r="93" spans="1:31" x14ac:dyDescent="0.25">
      <c r="A93" t="s">
        <v>118</v>
      </c>
      <c r="B93" t="str">
        <f>_xll.BDP("3039 HK Equity","LONG_COMP_NAME")</f>
        <v>E Fund HK HSI ESG Enhanced Index ETF</v>
      </c>
      <c r="C93">
        <f>_xll.BDP("3039 HK Equity","PX385","PX395=FUND_FLOW","DY262=D","PY204=N","PX391=20260622","PX392=20260626","DS004=USD")</f>
        <v>0</v>
      </c>
      <c r="D93">
        <f>_xll.BDP("3039 HK Equity","PX388","PX395=TURNOVER","DY262=D","PY204=N","PX391=20260601","PX392=20260626","DS004=HKD")</f>
        <v>1107873.8888888888</v>
      </c>
      <c r="E93">
        <f>_xll.BDP("3039 HK Equity","PX388","PX395=TURNOVER","DY262=D","PY204=N","PX391=20250101","PX392=20251231","DS004=HKD")</f>
        <v>1305034.0709322037</v>
      </c>
      <c r="F93">
        <f>_xll.BDP("3039 HK Equity","PX596","PX395=FUND_TOTAL_ASSETS","DY262=D","PY204=N","PX391=20260626","PX392=20260626","DS004=USD")</f>
        <v>72.619201744430683</v>
      </c>
      <c r="G93">
        <f>_xll.BDP("3039 HK Equity","PX388","PX395=CUR_MKT_CAP","DY262=D","PY204=N","PX391=20260626","PX392=20260626","DS004=HKD")</f>
        <v>569.16</v>
      </c>
      <c r="H93" t="str">
        <f>_xll.BDP("3039 HK Equity","FUND_LEVERAGE_TYPE")</f>
        <v>#N/A N/A</v>
      </c>
      <c r="I93">
        <f>_xll.BDP("3039 HK Equity","PX388","PX395=TURNOVER","DY262=D","PY204=N","PX391=20260101","PX392=20260131","DS004=HKD")</f>
        <v>979703.42105263157</v>
      </c>
      <c r="J93">
        <v>-1</v>
      </c>
      <c r="K93" t="str">
        <f>_xll.BDP("3039 HK Equity","FUND_INCEPT_DT")</f>
        <v>10/10/2022</v>
      </c>
      <c r="L93" t="str">
        <f>_xll.BDP("3039 HK Equity","PX388","PX395=TURNOVER_EXCH_RATIO","DY262=D","PY204=N","PX391=20251201","PX392=20251210")</f>
        <v>#N/A N/A</v>
      </c>
      <c r="M93">
        <f>_xll.BDP("3039 HK Equity","EQY_SH_OUT")</f>
        <v>170</v>
      </c>
      <c r="N93">
        <f>_xll.BDP("3039 HK Equity","EQY_TRR_PCT_YTD")</f>
        <v>-12.28102</v>
      </c>
      <c r="O93">
        <f>_xll.BDP("3039 HK Equity","CHG_PCT_YTD")</f>
        <v>-10.45168</v>
      </c>
      <c r="P93">
        <f>_xll.BDP("3039 HK Equity","CHG_PCT_1M")</f>
        <v>-8.2346629999999994</v>
      </c>
      <c r="Q93" t="str">
        <f>_xll.BDP("3039 HK Equity","LISTING_DATE")</f>
        <v>10/7/2022</v>
      </c>
      <c r="R93" t="str">
        <f>_xll.BDP("3039 HK Equity","FUND_INCEPT_DT")</f>
        <v>10/10/2022</v>
      </c>
      <c r="S93">
        <f>_xll.BDP("3039 HK Equity","AVG_DAILY_VALUE_TRADED_3M")</f>
        <v>946206.2</v>
      </c>
      <c r="T93" t="str">
        <f>_xll.BDP("3039 HK Equity","PX596","PX395=HISTORICAL_MARKET_CAP","DY262=D","PY204=N","PX391=20231231","PX392=20231231","DS004=HKD")</f>
        <v>#N/A N/A</v>
      </c>
      <c r="U93">
        <f>_xll.BDP("3039 HK Equity","PX385","PX395=FUND_FLOW","DY262=D","PY204=N","PX391=20240102","PX392=20240930","DS004=HKD")</f>
        <v>73.029400000000066</v>
      </c>
      <c r="V93">
        <f>_xll.BDP("3039 HK Equity","PX596","PX395=CUR_MKT_CAP","DY262=D","PY204=N","PX391=20240101","DS004=HKD")</f>
        <v>659.54559999999992</v>
      </c>
      <c r="W93" t="str">
        <f>_xll.BDP("3039 HK Equity","FUND_INCEPT_DT")</f>
        <v>10/10/2022</v>
      </c>
      <c r="X93">
        <f>_xll.BDP("3039 HK Equity","PX388","PX395=TURNOVER","DY262=D","PY204=N","PX391=20240502","PX392=20240606","DS004=HKD")</f>
        <v>973607.25833333342</v>
      </c>
      <c r="Y93" t="str">
        <f>_xll.BDP("3039 HK Equity","PARENT_COMP_NAME")</f>
        <v>E Fund Management Hong Kong Co</v>
      </c>
      <c r="Z93" t="str">
        <f>_xll.BDP("3039 HK Equity","NAV_CRNCY")</f>
        <v>HKD</v>
      </c>
      <c r="AA93" t="str">
        <f>_xll.BDP("3039 HK Equity","FUND_GEO_FOCUS")</f>
        <v>Hong Kong</v>
      </c>
      <c r="AB93" t="str">
        <f>_xll.BDP("3039 HK Equity","FUND_ASSET_CLASS_FOCUS")</f>
        <v>Equity</v>
      </c>
      <c r="AC93">
        <f>_xll.BDP("3039 HK Equity","PX_LAST")</f>
        <v>3.41</v>
      </c>
      <c r="AD93">
        <f>_xll.BDP("3039 HK Equity","PX388","PX395=TIME_WAVG_BID_ASK_SPREAD_PCT","DY262=D","PY204=N","PX391=20260601","PX392=20260626")</f>
        <v>0.21148746732002927</v>
      </c>
      <c r="AE93">
        <f>_xll.BDP("3039 HK Equity","PX388","PX395=AVERAGE_BID_ASK_SPREAD_%","DY262=D","PY204=N","PX391=20260601","PX392=20260626")</f>
        <v>0.21698939645891513</v>
      </c>
    </row>
    <row r="94" spans="1:31" x14ac:dyDescent="0.25">
      <c r="A94" t="s">
        <v>119</v>
      </c>
      <c r="B94" t="str">
        <f>_xll.BDP("3041 HK Equity","LONG_COMP_NAME")</f>
        <v>Global X FTSE China Policy Bank Bond ETF</v>
      </c>
      <c r="C94">
        <f>_xll.BDP("3041 HK Equity","PX385","PX395=FUND_FLOW","DY262=D","PY204=N","PX391=20260622","PX392=20260626","DS004=USD")</f>
        <v>0</v>
      </c>
      <c r="D94">
        <f>_xll.BDP("3041 HK Equity","PX388","PX395=TURNOVER","DY262=D","PY204=N","PX391=20260601","PX392=20260626","DS004=HKD")</f>
        <v>40117</v>
      </c>
      <c r="E94">
        <f>_xll.BDP("3041 HK Equity","PX388","PX395=TURNOVER","DY262=D","PY204=N","PX391=20250101","PX392=20251231","DS004=HKD")</f>
        <v>23184</v>
      </c>
      <c r="F94">
        <f>_xll.BDP("3041 HK Equity","PX596","PX395=FUND_TOTAL_ASSETS","DY262=D","PY204=N","PX391=20260626","PX392=20260626","DS004=USD")</f>
        <v>2.2076126603129778</v>
      </c>
      <c r="G94">
        <f>_xll.BDP("3041 HK Equity","PX388","PX395=CUR_MKT_CAP","DY262=D","PY204=N","PX391=20260626","PX392=20260626","DS004=HKD")</f>
        <v>17.3736</v>
      </c>
      <c r="H94" t="str">
        <f>_xll.BDP("3041 HK Equity","FUND_LEVERAGE_TYPE")</f>
        <v>#N/A N/A</v>
      </c>
      <c r="I94">
        <f>_xll.BDP("3041 HK Equity","PX388","PX395=TURNOVER","DY262=D","PY204=N","PX391=20260101","PX392=20260131","DS004=HKD")</f>
        <v>41345.5</v>
      </c>
      <c r="J94">
        <v>-1</v>
      </c>
      <c r="K94" t="str">
        <f>_xll.BDP("3041 HK Equity","FUND_INCEPT_DT")</f>
        <v>10/19/2022</v>
      </c>
      <c r="L94" t="str">
        <f>_xll.BDP("3041 HK Equity","PX388","PX395=TURNOVER_EXCH_RATIO","DY262=D","PY204=N","PX391=20251201","PX392=20251210")</f>
        <v>#N/A N/A</v>
      </c>
      <c r="M94">
        <f>_xll.BDP("3041 HK Equity","EQY_SH_OUT")</f>
        <v>0.28499999999999998</v>
      </c>
      <c r="N94">
        <f>_xll.BDP("3041 HK Equity","EQY_TRR_PCT_YTD")</f>
        <v>1.8841239999999999</v>
      </c>
      <c r="O94">
        <f>_xll.BDP("3041 HK Equity","CHG_PCT_YTD")</f>
        <v>5.2486220000000001</v>
      </c>
      <c r="P94">
        <f>_xll.BDP("3041 HK Equity","CHG_PCT_1M")</f>
        <v>0.56087279999999995</v>
      </c>
      <c r="Q94" t="str">
        <f>_xll.BDP("3041 HK Equity","LISTING_DATE")</f>
        <v>10/19/2022</v>
      </c>
      <c r="R94" t="str">
        <f>_xll.BDP("3041 HK Equity","FUND_INCEPT_DT")</f>
        <v>10/19/2022</v>
      </c>
      <c r="S94">
        <f>_xll.BDP("3041 HK Equity","AVG_DAILY_VALUE_TRADED_3M")</f>
        <v>5040.1970000000001</v>
      </c>
      <c r="T94" t="str">
        <f>_xll.BDP("3041 HK Equity","PX596","PX395=HISTORICAL_MARKET_CAP","DY262=D","PY204=N","PX391=20231231","PX392=20231231","DS004=HKD")</f>
        <v>#N/A N/A</v>
      </c>
      <c r="U94">
        <f>_xll.BDP("3041 HK Equity","PX385","PX395=FUND_FLOW","DY262=D","PY204=N","PX391=20240102","PX392=20240930","DS004=HKD")</f>
        <v>-1.6889812322442672</v>
      </c>
      <c r="V94">
        <f>_xll.BDP("3041 HK Equity","PX596","PX395=CUR_MKT_CAP","DY262=D","PY204=N","PX391=20240101","DS004=HKD")</f>
        <v>16.507199999999997</v>
      </c>
      <c r="W94" t="str">
        <f>_xll.BDP("3041 HK Equity","FUND_INCEPT_DT")</f>
        <v>10/19/2022</v>
      </c>
      <c r="X94" t="str">
        <f>_xll.BDP("3041 HK Equity","PX388","PX395=TURNOVER","DY262=D","PY204=N","PX391=20240502","PX392=20240606","DS004=HKD")</f>
        <v>#N/A N/A</v>
      </c>
      <c r="Y94" t="str">
        <f>_xll.BDP("3041 HK Equity","PARENT_COMP_NAME")</f>
        <v>Mirae Asset Global Investments</v>
      </c>
      <c r="Z94" t="str">
        <f>_xll.BDP("3041 HK Equity","NAV_CRNCY")</f>
        <v>CNH</v>
      </c>
      <c r="AA94" t="str">
        <f>_xll.BDP("3041 HK Equity","FUND_GEO_FOCUS")</f>
        <v>Multi</v>
      </c>
      <c r="AB94" t="str">
        <f>_xll.BDP("3041 HK Equity","FUND_ASSET_CLASS_FOCUS")</f>
        <v>Fixed Income</v>
      </c>
      <c r="AC94">
        <f>_xll.BDP("3041 HK Equity","PX_LAST")</f>
        <v>60.96</v>
      </c>
      <c r="AD94">
        <f>_xll.BDP("3041 HK Equity","PX388","PX395=TIME_WAVG_BID_ASK_SPREAD_PCT","DY262=D","PY204=N","PX391=20260601","PX392=20260626")</f>
        <v>0.81782017196055234</v>
      </c>
      <c r="AE94">
        <f>_xll.BDP("3041 HK Equity","PX388","PX395=AVERAGE_BID_ASK_SPREAD_%","DY262=D","PY204=N","PX391=20260601","PX392=20260626")</f>
        <v>0.94309459875752422</v>
      </c>
    </row>
    <row r="95" spans="1:31" x14ac:dyDescent="0.25">
      <c r="A95" t="s">
        <v>120</v>
      </c>
      <c r="B95" t="str">
        <f>_xll.BDP("3042 HK Equity","LONG_COMP_NAME")</f>
        <v>ChinaAMC Bitcoin ETF</v>
      </c>
      <c r="C95">
        <f>_xll.BDP("3042 HK Equity","PX385","PX395=FUND_FLOW","DY262=D","PY204=N","PX391=20260622","PX392=20260626","DS004=USD")</f>
        <v>0</v>
      </c>
      <c r="D95">
        <f>_xll.BDP("3042 HK Equity","PX388","PX395=TURNOVER","DY262=D","PY204=N","PX391=20260601","PX392=20260626","DS004=HKD")</f>
        <v>7283963.7368421033</v>
      </c>
      <c r="E95">
        <f>_xll.BDP("3042 HK Equity","PX388","PX395=TURNOVER","DY262=D","PY204=N","PX391=20250101","PX392=20251231","DS004=HKD")</f>
        <v>21350780.382113829</v>
      </c>
      <c r="F95">
        <f>_xll.BDP("3042 HK Equity","PX596","PX395=FUND_TOTAL_ASSETS","DY262=D","PY204=N","PX391=20260626","PX392=20260626","DS004=USD")</f>
        <v>151.16999999999999</v>
      </c>
      <c r="G95">
        <f>_xll.BDP("3042 HK Equity","PX388","PX395=CUR_MKT_CAP","DY262=D","PY204=N","PX391=20260626","PX392=20260626","DS004=HKD")</f>
        <v>1169.5620000000001</v>
      </c>
      <c r="H95" t="str">
        <f>_xll.BDP("3042 HK Equity","FUND_LEVERAGE_TYPE")</f>
        <v>#N/A N/A</v>
      </c>
      <c r="I95">
        <f>_xll.BDP("3042 HK Equity","PX388","PX395=TURNOVER","DY262=D","PY204=N","PX391=20260101","PX392=20260131","DS004=HKD")</f>
        <v>7746321.1904761894</v>
      </c>
      <c r="J95">
        <v>-1</v>
      </c>
      <c r="K95" t="str">
        <f>_xll.BDP("3042 HK Equity","FUND_INCEPT_DT")</f>
        <v>4/30/2024</v>
      </c>
      <c r="L95" t="str">
        <f>_xll.BDP("3042 HK Equity","PX388","PX395=TURNOVER_EXCH_RATIO","DY262=D","PY204=N","PX391=20251201","PX392=20251210")</f>
        <v>#N/A N/A</v>
      </c>
      <c r="M95">
        <f>_xll.BDP("3042 HK Equity","EQY_SH_OUT")</f>
        <v>158.79999999999998</v>
      </c>
      <c r="N95">
        <f>_xll.BDP("3042 HK Equity","EQY_TRR_PCT_YTD")</f>
        <v>-31.642330000000001</v>
      </c>
      <c r="O95">
        <f>_xll.BDP("3042 HK Equity","CHG_PCT_YTD")</f>
        <v>-32.189239999999998</v>
      </c>
      <c r="P95">
        <f>_xll.BDP("3042 HK Equity","CHG_PCT_1M")</f>
        <v>-18.141100000000002</v>
      </c>
      <c r="Q95" t="str">
        <f>_xll.BDP("3042 HK Equity","LISTING_DATE")</f>
        <v>4/30/2024</v>
      </c>
      <c r="R95" t="str">
        <f>_xll.BDP("3042 HK Equity","FUND_INCEPT_DT")</f>
        <v>4/30/2024</v>
      </c>
      <c r="S95">
        <f>_xll.BDP("3042 HK Equity","AVG_DAILY_VALUE_TRADED_3M")</f>
        <v>7005337</v>
      </c>
      <c r="T95" t="str">
        <f>_xll.BDP("3042 HK Equity","PX596","PX395=HISTORICAL_MARKET_CAP","DY262=D","PY204=N","PX391=20231231","PX392=20231231","DS004=HKD")</f>
        <v>#N/A N/A</v>
      </c>
      <c r="U95">
        <f>_xll.BDP("3042 HK Equity","PX385","PX395=FUND_FLOW","DY262=D","PY204=N","PX391=20240102","PX392=20240930","DS004=HKD")</f>
        <v>124.12897811566306</v>
      </c>
      <c r="V95">
        <f>_xll.BDP("3042 HK Equity","PX596","PX395=CUR_MKT_CAP","DY262=D","PY204=N","PX391=20240101","DS004=HKD")</f>
        <v>1647.184</v>
      </c>
      <c r="W95" t="str">
        <f>_xll.BDP("3042 HK Equity","FUND_INCEPT_DT")</f>
        <v>4/30/2024</v>
      </c>
      <c r="X95">
        <f>_xll.BDP("3042 HK Equity","PX388","PX395=TURNOVER","DY262=D","PY204=N","PX391=20240502","PX392=20240606","DS004=HKD")</f>
        <v>14973048.880000001</v>
      </c>
      <c r="Y95" t="str">
        <f>_xll.BDP("3042 HK Equity","PARENT_COMP_NAME")</f>
        <v>China Asset Management Hong Ko</v>
      </c>
      <c r="Z95" t="str">
        <f>_xll.BDP("3042 HK Equity","NAV_CRNCY")</f>
        <v>HKD</v>
      </c>
      <c r="AA95" t="str">
        <f>_xll.BDP("3042 HK Equity","FUND_GEO_FOCUS")</f>
        <v>Global</v>
      </c>
      <c r="AB95" t="str">
        <f>_xll.BDP("3042 HK Equity","FUND_ASSET_CLASS_FOCUS")</f>
        <v>Alternative</v>
      </c>
      <c r="AC95">
        <f>_xll.BDP("3042 HK Equity","PX_LAST")</f>
        <v>7.31</v>
      </c>
      <c r="AD95">
        <f>_xll.BDP("3042 HK Equity","PX388","PX395=TIME_WAVG_BID_ASK_SPREAD_PCT","DY262=D","PY204=N","PX391=20260601","PX392=20260626")</f>
        <v>0.18915540856438554</v>
      </c>
      <c r="AE95">
        <f>_xll.BDP("3042 HK Equity","PX388","PX395=AVERAGE_BID_ASK_SPREAD_%","DY262=D","PY204=N","PX391=20260601","PX392=20260626")</f>
        <v>0.22385698188501432</v>
      </c>
    </row>
    <row r="96" spans="1:31" x14ac:dyDescent="0.25">
      <c r="A96" t="s">
        <v>121</v>
      </c>
      <c r="B96" t="str">
        <f>_xll.BDP("3046 HK Equity","LONG_COMP_NAME")</f>
        <v>ChinaAMC Ether ETF</v>
      </c>
      <c r="C96">
        <f>_xll.BDP("3046 HK Equity","PX385","PX395=FUND_FLOW","DY262=D","PY204=N","PX391=20260622","PX392=20260626","DS004=USD")</f>
        <v>0</v>
      </c>
      <c r="D96">
        <f>_xll.BDP("3046 HK Equity","PX388","PX395=TURNOVER","DY262=D","PY204=N","PX391=20260601","PX392=20260626","DS004=HKD")</f>
        <v>2705075.4631578941</v>
      </c>
      <c r="E96">
        <f>_xll.BDP("3046 HK Equity","PX388","PX395=TURNOVER","DY262=D","PY204=N","PX391=20250101","PX392=20251231","DS004=HKD")</f>
        <v>9097036.1906504035</v>
      </c>
      <c r="F96">
        <f>_xll.BDP("3046 HK Equity","PX596","PX395=FUND_TOTAL_ASSETS","DY262=D","PY204=N","PX391=20260626","PX392=20260626","DS004=USD")</f>
        <v>28.95</v>
      </c>
      <c r="G96">
        <f>_xll.BDP("3046 HK Equity","PX388","PX395=CUR_MKT_CAP","DY262=D","PY204=N","PX391=20260626","PX392=20260626","DS004=HKD")</f>
        <v>221.459</v>
      </c>
      <c r="H96" t="str">
        <f>_xll.BDP("3046 HK Equity","FUND_LEVERAGE_TYPE")</f>
        <v>#N/A N/A</v>
      </c>
      <c r="I96">
        <f>_xll.BDP("3046 HK Equity","PX388","PX395=TURNOVER","DY262=D","PY204=N","PX391=20260101","PX392=20260131","DS004=HKD")</f>
        <v>3709967.7571428572</v>
      </c>
      <c r="J96">
        <v>-1</v>
      </c>
      <c r="K96" t="str">
        <f>_xll.BDP("3046 HK Equity","FUND_INCEPT_DT")</f>
        <v>4/30/2024</v>
      </c>
      <c r="L96" t="str">
        <f>_xll.BDP("3046 HK Equity","PX388","PX395=TURNOVER_EXCH_RATIO","DY262=D","PY204=N","PX391=20251201","PX392=20251210")</f>
        <v>#N/A N/A</v>
      </c>
      <c r="M96">
        <f>_xll.BDP("3046 HK Equity","EQY_SH_OUT")</f>
        <v>59.5</v>
      </c>
      <c r="N96">
        <f>_xll.BDP("3046 HK Equity","EQY_TRR_PCT_YTD")</f>
        <v>-46.975000000000001</v>
      </c>
      <c r="O96">
        <f>_xll.BDP("3046 HK Equity","CHG_PCT_YTD")</f>
        <v>-46.970779999999998</v>
      </c>
      <c r="P96">
        <f>_xll.BDP("3046 HK Equity","CHG_PCT_1M")</f>
        <v>-21.219819999999999</v>
      </c>
      <c r="Q96" t="str">
        <f>_xll.BDP("3046 HK Equity","LISTING_DATE")</f>
        <v>4/30/2024</v>
      </c>
      <c r="R96" t="str">
        <f>_xll.BDP("3046 HK Equity","FUND_INCEPT_DT")</f>
        <v>4/30/2024</v>
      </c>
      <c r="S96">
        <f>_xll.BDP("3046 HK Equity","AVG_DAILY_VALUE_TRADED_3M")</f>
        <v>2450641</v>
      </c>
      <c r="T96" t="str">
        <f>_xll.BDP("3046 HK Equity","PX596","PX395=HISTORICAL_MARKET_CAP","DY262=D","PY204=N","PX391=20231231","PX392=20231231","DS004=HKD")</f>
        <v>#N/A N/A</v>
      </c>
      <c r="U96">
        <f>_xll.BDP("3046 HK Equity","PX385","PX395=FUND_FLOW","DY262=D","PY204=N","PX391=20240102","PX392=20240930","DS004=HKD")</f>
        <v>-15.73949418093787</v>
      </c>
      <c r="V96">
        <f>_xll.BDP("3046 HK Equity","PX596","PX395=CUR_MKT_CAP","DY262=D","PY204=N","PX391=20240101","DS004=HKD")</f>
        <v>460.18399999999991</v>
      </c>
      <c r="W96" t="str">
        <f>_xll.BDP("3046 HK Equity","FUND_INCEPT_DT")</f>
        <v>4/30/2024</v>
      </c>
      <c r="X96">
        <f>_xll.BDP("3046 HK Equity","PX388","PX395=TURNOVER","DY262=D","PY204=N","PX391=20240502","PX392=20240606","DS004=HKD")</f>
        <v>5041128.3600000003</v>
      </c>
      <c r="Y96" t="str">
        <f>_xll.BDP("3046 HK Equity","PARENT_COMP_NAME")</f>
        <v>China Asset Management Hong Ko</v>
      </c>
      <c r="Z96" t="str">
        <f>_xll.BDP("3046 HK Equity","NAV_CRNCY")</f>
        <v>HKD</v>
      </c>
      <c r="AA96" t="str">
        <f>_xll.BDP("3046 HK Equity","FUND_GEO_FOCUS")</f>
        <v>Global</v>
      </c>
      <c r="AB96" t="str">
        <f>_xll.BDP("3046 HK Equity","FUND_ASSET_CLASS_FOCUS")</f>
        <v>Alternative</v>
      </c>
      <c r="AC96">
        <f>_xll.BDP("3046 HK Equity","PX_LAST")</f>
        <v>3.72</v>
      </c>
      <c r="AD96">
        <f>_xll.BDP("3046 HK Equity","PX388","PX395=TIME_WAVG_BID_ASK_SPREAD_PCT","DY262=D","PY204=N","PX391=20260601","PX392=20260626")</f>
        <v>0.25073392507306091</v>
      </c>
      <c r="AE96">
        <f>_xll.BDP("3046 HK Equity","PX388","PX395=AVERAGE_BID_ASK_SPREAD_%","DY262=D","PY204=N","PX391=20260601","PX392=20260626")</f>
        <v>0.28283421628239391</v>
      </c>
    </row>
    <row r="97" spans="1:31" x14ac:dyDescent="0.25">
      <c r="A97" t="s">
        <v>122</v>
      </c>
      <c r="B97" t="str">
        <f>_xll.BDP("3047 HK Equity","LONG_COMP_NAME")</f>
        <v>SSIF DCE Iron Ore Futures Index ETF</v>
      </c>
      <c r="C97">
        <f>_xll.BDP("3047 HK Equity","PX385","PX395=FUND_FLOW","DY262=D","PY204=N","PX391=20260622","PX392=20260626","DS004=USD")</f>
        <v>0</v>
      </c>
      <c r="D97">
        <f>_xll.BDP("3047 HK Equity","PX388","PX395=TURNOVER","DY262=D","PY204=N","PX391=20260601","PX392=20260626","DS004=HKD")</f>
        <v>127595.64266666667</v>
      </c>
      <c r="E97">
        <f>_xll.BDP("3047 HK Equity","PX388","PX395=TURNOVER","DY262=D","PY204=N","PX391=20250101","PX392=20251231","DS004=HKD")</f>
        <v>44783.767368421039</v>
      </c>
      <c r="F97">
        <f>_xll.BDP("3047 HK Equity","PX596","PX395=FUND_TOTAL_ASSETS","DY262=D","PY204=N","PX391=20260626","PX392=20260626","DS004=USD")</f>
        <v>9.4688511023832884</v>
      </c>
      <c r="G97">
        <f>_xll.BDP("3047 HK Equity","PX388","PX395=CUR_MKT_CAP","DY262=D","PY204=N","PX391=20260626","PX392=20260626","DS004=HKD")</f>
        <v>75.072000000000003</v>
      </c>
      <c r="H97" t="str">
        <f>_xll.BDP("3047 HK Equity","FUND_LEVERAGE_TYPE")</f>
        <v>#N/A N/A</v>
      </c>
      <c r="I97">
        <f>_xll.BDP("3047 HK Equity","PX388","PX395=TURNOVER","DY262=D","PY204=N","PX391=20260101","PX392=20260131","DS004=HKD")</f>
        <v>88480.468421052632</v>
      </c>
      <c r="J97">
        <v>-1</v>
      </c>
      <c r="K97" t="str">
        <f>_xll.BDP("3047 HK Equity","FUND_INCEPT_DT")</f>
        <v>3/27/2020</v>
      </c>
      <c r="L97" t="str">
        <f>_xll.BDP("3047 HK Equity","PX388","PX395=TURNOVER_EXCH_RATIO","DY262=D","PY204=N","PX391=20251201","PX392=20251210")</f>
        <v>#N/A N/A</v>
      </c>
      <c r="M97">
        <f>_xll.BDP("3047 HK Equity","EQY_SH_OUT")</f>
        <v>3.1999999999999997</v>
      </c>
      <c r="N97">
        <f>_xll.BDP("3047 HK Equity","EQY_TRR_PCT_YTD")</f>
        <v>-3.347086</v>
      </c>
      <c r="O97">
        <f>_xll.BDP("3047 HK Equity","CHG_PCT_YTD")</f>
        <v>-2.412649</v>
      </c>
      <c r="P97">
        <f>_xll.BDP("3047 HK Equity","CHG_PCT_1M")</f>
        <v>-3.9312040000000001</v>
      </c>
      <c r="Q97" t="str">
        <f>_xll.BDP("3047 HK Equity","LISTING_DATE")</f>
        <v>3/27/2020</v>
      </c>
      <c r="R97" t="str">
        <f>_xll.BDP("3047 HK Equity","FUND_INCEPT_DT")</f>
        <v>3/27/2020</v>
      </c>
      <c r="S97">
        <f>_xll.BDP("3047 HK Equity","AVG_DAILY_VALUE_TRADED_3M")</f>
        <v>53627.03</v>
      </c>
      <c r="T97" t="str">
        <f>_xll.BDP("3047 HK Equity","PX596","PX395=HISTORICAL_MARKET_CAP","DY262=D","PY204=N","PX391=20231231","PX392=20231231","DS004=HKD")</f>
        <v>#N/A N/A</v>
      </c>
      <c r="U97">
        <f>_xll.BDP("3047 HK Equity","PX385","PX395=FUND_FLOW","DY262=D","PY204=N","PX391=20240102","PX392=20240930","DS004=HKD")</f>
        <v>-17.027519999999996</v>
      </c>
      <c r="V97">
        <f>_xll.BDP("3047 HK Equity","PX596","PX395=CUR_MKT_CAP","DY262=D","PY204=N","PX391=20240101","DS004=HKD")</f>
        <v>88.948000000000008</v>
      </c>
      <c r="W97" t="str">
        <f>_xll.BDP("3047 HK Equity","FUND_INCEPT_DT")</f>
        <v>3/27/2020</v>
      </c>
      <c r="X97">
        <f>_xll.BDP("3047 HK Equity","PX388","PX395=TURNOVER","DY262=D","PY204=N","PX391=20240502","PX392=20240606","DS004=HKD")</f>
        <v>187132.15130434779</v>
      </c>
      <c r="Y97" t="str">
        <f>_xll.BDP("3047 HK Equity","PARENT_COMP_NAME")</f>
        <v>Shanxi Securities Internationa</v>
      </c>
      <c r="Z97" t="str">
        <f>_xll.BDP("3047 HK Equity","NAV_CRNCY")</f>
        <v>HKD</v>
      </c>
      <c r="AA97" t="str">
        <f>_xll.BDP("3047 HK Equity","FUND_GEO_FOCUS")</f>
        <v>Global</v>
      </c>
      <c r="AB97" t="str">
        <f>_xll.BDP("3047 HK Equity","FUND_ASSET_CLASS_FOCUS")</f>
        <v>Commodity</v>
      </c>
      <c r="AC97">
        <f>_xll.BDP("3047 HK Equity","PX_LAST")</f>
        <v>23.46</v>
      </c>
      <c r="AD97">
        <f>_xll.BDP("3047 HK Equity","PX388","PX395=TIME_WAVG_BID_ASK_SPREAD_PCT","DY262=D","PY204=N","PX391=20260601","PX392=20260626")</f>
        <v>0.842802571571454</v>
      </c>
      <c r="AE97">
        <f>_xll.BDP("3047 HK Equity","PX388","PX395=AVERAGE_BID_ASK_SPREAD_%","DY262=D","PY204=N","PX391=20260601","PX392=20260626")</f>
        <v>1.3742708897585254</v>
      </c>
    </row>
    <row r="98" spans="1:31" x14ac:dyDescent="0.25">
      <c r="A98" t="s">
        <v>123</v>
      </c>
      <c r="B98" t="str">
        <f>_xll.BDP("3050 HK Equity","LONG_COMP_NAME")</f>
        <v>Global X China Global Leaders ETF</v>
      </c>
      <c r="C98">
        <f>_xll.BDP("3050 HK Equity","PX385","PX395=FUND_FLOW","DY262=D","PY204=N","PX391=20260622","PX392=20260626","DS004=USD")</f>
        <v>0</v>
      </c>
      <c r="D98">
        <f>_xll.BDP("3050 HK Equity","PX388","PX395=TURNOVER","DY262=D","PY204=N","PX391=20260601","PX392=20260626","DS004=HKD")</f>
        <v>148362.08631578949</v>
      </c>
      <c r="E98">
        <f>_xll.BDP("3050 HK Equity","PX388","PX395=TURNOVER","DY262=D","PY204=N","PX391=20250101","PX392=20251231","DS004=HKD")</f>
        <v>979275.70163636375</v>
      </c>
      <c r="F98">
        <f>_xll.BDP("3050 HK Equity","PX596","PX395=FUND_TOTAL_ASSETS","DY262=D","PY204=N","PX391=20260626","PX392=20260626","DS004=USD")</f>
        <v>4.8367968822126715</v>
      </c>
      <c r="G98">
        <f>_xll.BDP("3050 HK Equity","PX388","PX395=CUR_MKT_CAP","DY262=D","PY204=N","PX391=20260626","PX392=20260626","DS004=HKD")</f>
        <v>37.609000000000002</v>
      </c>
      <c r="H98" t="str">
        <f>_xll.BDP("3050 HK Equity","FUND_LEVERAGE_TYPE")</f>
        <v>#N/A N/A</v>
      </c>
      <c r="I98">
        <f>_xll.BDP("3050 HK Equity","PX388","PX395=TURNOVER","DY262=D","PY204=N","PX391=20260101","PX392=20260131","DS004=HKD")</f>
        <v>164113.10999999999</v>
      </c>
      <c r="J98">
        <v>-1</v>
      </c>
      <c r="K98" t="str">
        <f>_xll.BDP("3050 HK Equity","FUND_INCEPT_DT")</f>
        <v>3/11/2021</v>
      </c>
      <c r="L98" t="str">
        <f>_xll.BDP("3050 HK Equity","PX388","PX395=TURNOVER_EXCH_RATIO","DY262=D","PY204=N","PX391=20251201","PX392=20251210")</f>
        <v>#N/A N/A</v>
      </c>
      <c r="M98">
        <f>_xll.BDP("3050 HK Equity","EQY_SH_OUT")</f>
        <v>0.65</v>
      </c>
      <c r="N98">
        <f>_xll.BDP("3050 HK Equity","EQY_TRR_PCT_YTD")</f>
        <v>11.318820000000001</v>
      </c>
      <c r="O98">
        <f>_xll.BDP("3050 HK Equity","CHG_PCT_YTD")</f>
        <v>8.3671249999999997</v>
      </c>
      <c r="P98">
        <f>_xll.BDP("3050 HK Equity","CHG_PCT_1M")</f>
        <v>-1.869156</v>
      </c>
      <c r="Q98" t="str">
        <f>_xll.BDP("3050 HK Equity","LISTING_DATE")</f>
        <v>3/11/2021</v>
      </c>
      <c r="R98" t="str">
        <f>_xll.BDP("3050 HK Equity","FUND_INCEPT_DT")</f>
        <v>3/11/2021</v>
      </c>
      <c r="S98">
        <f>_xll.BDP("3050 HK Equity","AVG_DAILY_VALUE_TRADED_3M")</f>
        <v>145062.39999999999</v>
      </c>
      <c r="T98" t="str">
        <f>_xll.BDP("3050 HK Equity","PX596","PX395=HISTORICAL_MARKET_CAP","DY262=D","PY204=N","PX391=20231231","PX392=20231231","DS004=HKD")</f>
        <v>#N/A N/A</v>
      </c>
      <c r="U98">
        <f>_xll.BDP("3050 HK Equity","PX385","PX395=FUND_FLOW","DY262=D","PY204=N","PX391=20240102","PX392=20240930","DS004=HKD")</f>
        <v>-19.95748</v>
      </c>
      <c r="V98">
        <f>_xll.BDP("3050 HK Equity","PX596","PX395=CUR_MKT_CAP","DY262=D","PY204=N","PX391=20240101","DS004=HKD")</f>
        <v>35.268999999999998</v>
      </c>
      <c r="W98" t="str">
        <f>_xll.BDP("3050 HK Equity","FUND_INCEPT_DT")</f>
        <v>3/11/2021</v>
      </c>
      <c r="X98">
        <f>_xll.BDP("3050 HK Equity","PX388","PX395=TURNOVER","DY262=D","PY204=N","PX391=20240502","PX392=20240606","DS004=HKD")</f>
        <v>451137.34375</v>
      </c>
      <c r="Y98" t="str">
        <f>_xll.BDP("3050 HK Equity","PARENT_COMP_NAME")</f>
        <v>Mirae Asset Global Investments</v>
      </c>
      <c r="Z98" t="str">
        <f>_xll.BDP("3050 HK Equity","NAV_CRNCY")</f>
        <v>HKD</v>
      </c>
      <c r="AA98" t="str">
        <f>_xll.BDP("3050 HK Equity","FUND_GEO_FOCUS")</f>
        <v>Greater China</v>
      </c>
      <c r="AB98" t="str">
        <f>_xll.BDP("3050 HK Equity","FUND_ASSET_CLASS_FOCUS")</f>
        <v>Equity</v>
      </c>
      <c r="AC98">
        <f>_xll.BDP("3050 HK Equity","PX_LAST")</f>
        <v>58.8</v>
      </c>
      <c r="AD98">
        <f>_xll.BDP("3050 HK Equity","PX388","PX395=TIME_WAVG_BID_ASK_SPREAD_PCT","DY262=D","PY204=N","PX391=20260601","PX392=20260626")</f>
        <v>0.29885268033692236</v>
      </c>
      <c r="AE98">
        <f>_xll.BDP("3050 HK Equity","PX388","PX395=AVERAGE_BID_ASK_SPREAD_%","DY262=D","PY204=N","PX391=20260601","PX392=20260626")</f>
        <v>0.33305983662801386</v>
      </c>
    </row>
    <row r="99" spans="1:31" x14ac:dyDescent="0.25">
      <c r="A99" t="s">
        <v>124</v>
      </c>
      <c r="B99" t="str">
        <f>_xll.BDP("3053 HK Equity","LONG_COMP_NAME")</f>
        <v>CSOP Hong Kong Dollar Money Market ETF</v>
      </c>
      <c r="C99">
        <f>_xll.BDP("3053 HK Equity","PX385","PX395=FUND_FLOW","DY262=D","PY204=N","PX391=20260622","PX392=20260626","DS004=USD")</f>
        <v>0</v>
      </c>
      <c r="D99">
        <f>_xll.BDP("3053 HK Equity","PX388","PX395=TURNOVER","DY262=D","PY204=N","PX391=20260601","PX392=20260626","DS004=HKD")</f>
        <v>3422585.8421052634</v>
      </c>
      <c r="E99">
        <f>_xll.BDP("3053 HK Equity","PX388","PX395=TURNOVER","DY262=D","PY204=N","PX391=20250101","PX392=20251231","DS004=HKD")</f>
        <v>2838756.9004065036</v>
      </c>
      <c r="F99">
        <f>_xll.BDP("3053 HK Equity","PX596","PX395=FUND_TOTAL_ASSETS","DY262=D","PY204=N","PX391=20260626","PX392=20260626","DS004=USD")</f>
        <v>959.92380525241958</v>
      </c>
      <c r="G99">
        <f>_xll.BDP("3053 HK Equity","PX388","PX395=CUR_MKT_CAP","DY262=D","PY204=N","PX391=20260626","PX392=20260626","DS004=HKD")</f>
        <v>3312.4989430000001</v>
      </c>
      <c r="H99" t="str">
        <f>_xll.BDP("3053 HK Equity","FUND_LEVERAGE_TYPE")</f>
        <v>#N/A N/A</v>
      </c>
      <c r="I99">
        <f>_xll.BDP("3053 HK Equity","PX388","PX395=TURNOVER","DY262=D","PY204=N","PX391=20260101","PX392=20260131","DS004=HKD")</f>
        <v>3203520.0095238099</v>
      </c>
      <c r="J99">
        <v>-1</v>
      </c>
      <c r="K99" t="str">
        <f>_xll.BDP("3053 HK Equity","FUND_INCEPT_DT")</f>
        <v>7/18/2018</v>
      </c>
      <c r="L99" t="str">
        <f>_xll.BDP("3053 HK Equity","PX388","PX395=TURNOVER_EXCH_RATIO","DY262=D","PY204=N","PX391=20251201","PX392=20251210")</f>
        <v>#N/A N/A</v>
      </c>
      <c r="M99">
        <f>_xll.BDP("3053 HK Equity","EQY_SH_OUT")</f>
        <v>1.09701</v>
      </c>
      <c r="N99">
        <f>_xll.BDP("3053 HK Equity","EQY_TRR_PCT_YTD")</f>
        <v>1.0943099999999999</v>
      </c>
      <c r="O99">
        <f>_xll.BDP("3053 HK Equity","CHG_PCT_YTD")</f>
        <v>1.024195</v>
      </c>
      <c r="P99">
        <f>_xll.BDP("3053 HK Equity","CHG_PCT_1M")</f>
        <v>0.11418010000000001</v>
      </c>
      <c r="Q99" t="str">
        <f>_xll.BDP("3053 HK Equity","LISTING_DATE")</f>
        <v>7/18/2018</v>
      </c>
      <c r="R99" t="str">
        <f>_xll.BDP("3053 HK Equity","FUND_INCEPT_DT")</f>
        <v>7/18/2018</v>
      </c>
      <c r="S99">
        <f>_xll.BDP("3053 HK Equity","AVG_DAILY_VALUE_TRADED_3M")</f>
        <v>4775307</v>
      </c>
      <c r="T99" t="str">
        <f>_xll.BDP("3053 HK Equity","PX596","PX395=HISTORICAL_MARKET_CAP","DY262=D","PY204=N","PX391=20231231","PX392=20231231","DS004=HKD")</f>
        <v>#N/A N/A</v>
      </c>
      <c r="U99">
        <f>_xll.BDP("3053 HK Equity","PX385","PX395=FUND_FLOW","DY262=D","PY204=N","PX391=20240102","PX392=20240930","DS004=HKD")</f>
        <v>-1749.0402657000002</v>
      </c>
      <c r="V99">
        <f>_xll.BDP("3053 HK Equity","PX596","PX395=CUR_MKT_CAP","DY262=D","PY204=N","PX391=20240101","DS004=HKD")</f>
        <v>1213.8411165000002</v>
      </c>
      <c r="W99" t="str">
        <f>_xll.BDP("3053 HK Equity","FUND_INCEPT_DT")</f>
        <v>7/18/2018</v>
      </c>
      <c r="X99">
        <f>_xll.BDP("3053 HK Equity","PX388","PX395=TURNOVER","DY262=D","PY204=N","PX391=20240502","PX392=20240606","DS004=HKD")</f>
        <v>1045043.5240000002</v>
      </c>
      <c r="Y99" t="str">
        <f>_xll.BDP("3053 HK Equity","PARENT_COMP_NAME")</f>
        <v>CSOP Asset Management Ltd/Hong</v>
      </c>
      <c r="Z99" t="str">
        <f>_xll.BDP("3053 HK Equity","NAV_CRNCY")</f>
        <v>HKD</v>
      </c>
      <c r="AA99" t="str">
        <f>_xll.BDP("3053 HK Equity","FUND_GEO_FOCUS")</f>
        <v>Hong Kong</v>
      </c>
      <c r="AB99" t="str">
        <f>_xll.BDP("3053 HK Equity","FUND_ASSET_CLASS_FOCUS")</f>
        <v>Money Market</v>
      </c>
      <c r="AC99">
        <f>_xll.BDP("3053 HK Equity","PX_LAST")</f>
        <v>1183.6500000000001</v>
      </c>
      <c r="AD99">
        <f>_xll.BDP("3053 HK Equity","PX388","PX395=TIME_WAVG_BID_ASK_SPREAD_PCT","DY262=D","PY204=N","PX391=20260601","PX392=20260626")</f>
        <v>1.4005783068034202E-2</v>
      </c>
      <c r="AE99">
        <f>_xll.BDP("3053 HK Equity","PX388","PX395=AVERAGE_BID_ASK_SPREAD_%","DY262=D","PY204=N","PX391=20260601","PX392=20260626")</f>
        <v>1.7152005505881723E-2</v>
      </c>
    </row>
    <row r="100" spans="1:31" x14ac:dyDescent="0.25">
      <c r="A100" t="s">
        <v>125</v>
      </c>
      <c r="B100" t="str">
        <f>_xll.BDP("3056 HK Equity","LONG_COMP_NAME")</f>
        <v>Pando Innovation ETF</v>
      </c>
      <c r="C100">
        <f>_xll.BDP("3056 HK Equity","PX385","PX395=FUND_FLOW","DY262=D","PY204=N","PX391=20260622","PX392=20260626","DS004=USD")</f>
        <v>0</v>
      </c>
      <c r="D100">
        <f>_xll.BDP("3056 HK Equity","PX388","PX395=TURNOVER","DY262=D","PY204=N","PX391=20260601","PX392=20260626","DS004=HKD")</f>
        <v>604901.1315789473</v>
      </c>
      <c r="E100">
        <f>_xll.BDP("3056 HK Equity","PX388","PX395=TURNOVER","DY262=D","PY204=N","PX391=20250101","PX392=20251231","DS004=HKD")</f>
        <v>630800.53739837394</v>
      </c>
      <c r="F100">
        <f>_xll.BDP("3056 HK Equity","PX596","PX395=FUND_TOTAL_ASSETS","DY262=D","PY204=N","PX391=20260626","PX392=20260626","DS004=USD")</f>
        <v>21.725185922069979</v>
      </c>
      <c r="G100">
        <f>_xll.BDP("3056 HK Equity","PX388","PX395=CUR_MKT_CAP","DY262=D","PY204=N","PX391=20260626","PX392=20260626","DS004=HKD")</f>
        <v>168.32</v>
      </c>
      <c r="H100" t="str">
        <f>_xll.BDP("3056 HK Equity","FUND_LEVERAGE_TYPE")</f>
        <v>#N/A N/A</v>
      </c>
      <c r="I100">
        <f>_xll.BDP("3056 HK Equity","PX388","PX395=TURNOVER","DY262=D","PY204=N","PX391=20260101","PX392=20260131","DS004=HKD")</f>
        <v>541646.61904761917</v>
      </c>
      <c r="J100">
        <v>-1</v>
      </c>
      <c r="K100" t="str">
        <f>_xll.BDP("3056 HK Equity","FUND_INCEPT_DT")</f>
        <v>12/8/2022</v>
      </c>
      <c r="L100" t="str">
        <f>_xll.BDP("3056 HK Equity","PX388","PX395=TURNOVER_EXCH_RATIO","DY262=D","PY204=N","PX391=20251201","PX392=20251210")</f>
        <v>#N/A N/A</v>
      </c>
      <c r="M100">
        <f>_xll.BDP("3056 HK Equity","EQY_SH_OUT")</f>
        <v>8</v>
      </c>
      <c r="N100">
        <f>_xll.BDP("3056 HK Equity","EQY_TRR_PCT_YTD")</f>
        <v>-4.8700099999999997</v>
      </c>
      <c r="O100">
        <f>_xll.BDP("3056 HK Equity","CHG_PCT_YTD")</f>
        <v>-5.0131920000000001</v>
      </c>
      <c r="P100">
        <f>_xll.BDP("3056 HK Equity","CHG_PCT_1M")</f>
        <v>-10.89109</v>
      </c>
      <c r="Q100" t="str">
        <f>_xll.BDP("3056 HK Equity","LISTING_DATE")</f>
        <v>12/8/2022</v>
      </c>
      <c r="R100" t="str">
        <f>_xll.BDP("3056 HK Equity","FUND_INCEPT_DT")</f>
        <v>12/8/2022</v>
      </c>
      <c r="S100">
        <f>_xll.BDP("3056 HK Equity","AVG_DAILY_VALUE_TRADED_3M")</f>
        <v>490651.5</v>
      </c>
      <c r="T100" t="str">
        <f>_xll.BDP("3056 HK Equity","PX596","PX395=HISTORICAL_MARKET_CAP","DY262=D","PY204=N","PX391=20231231","PX392=20231231","DS004=HKD")</f>
        <v>#N/A N/A</v>
      </c>
      <c r="U100">
        <f>_xll.BDP("3056 HK Equity","PX385","PX395=FUND_FLOW","DY262=D","PY204=N","PX391=20240102","PX392=20240930","DS004=HKD")</f>
        <v>7.2592367606399311</v>
      </c>
      <c r="V100">
        <f>_xll.BDP("3056 HK Equity","PX596","PX395=CUR_MKT_CAP","DY262=D","PY204=N","PX391=20240101","DS004=HKD")</f>
        <v>179.64599999999999</v>
      </c>
      <c r="W100" t="str">
        <f>_xll.BDP("3056 HK Equity","FUND_INCEPT_DT")</f>
        <v>12/8/2022</v>
      </c>
      <c r="X100">
        <f>_xll.BDP("3056 HK Equity","PX388","PX395=TURNOVER","DY262=D","PY204=N","PX391=20240502","PX392=20240606","DS004=HKD")</f>
        <v>78342.272727272735</v>
      </c>
      <c r="Y100" t="str">
        <f>_xll.BDP("3056 HK Equity","PARENT_COMP_NAME")</f>
        <v>Pando Finance Ltd/HK</v>
      </c>
      <c r="Z100" t="str">
        <f>_xll.BDP("3056 HK Equity","NAV_CRNCY")</f>
        <v>HKD</v>
      </c>
      <c r="AA100" t="str">
        <f>_xll.BDP("3056 HK Equity","FUND_GEO_FOCUS")</f>
        <v>Global</v>
      </c>
      <c r="AB100" t="str">
        <f>_xll.BDP("3056 HK Equity","FUND_ASSET_CLASS_FOCUS")</f>
        <v>Equity</v>
      </c>
      <c r="AC100">
        <f>_xll.BDP("3056 HK Equity","PX_LAST")</f>
        <v>21.6</v>
      </c>
      <c r="AD100">
        <f>_xll.BDP("3056 HK Equity","PX388","PX395=TIME_WAVG_BID_ASK_SPREAD_PCT","DY262=D","PY204=N","PX391=20260601","PX392=20260626")</f>
        <v>0.3351671045262532</v>
      </c>
      <c r="AE100">
        <f>_xll.BDP("3056 HK Equity","PX388","PX395=AVERAGE_BID_ASK_SPREAD_%","DY262=D","PY204=N","PX391=20260601","PX392=20260626")</f>
        <v>0.42344929241061874</v>
      </c>
    </row>
    <row r="101" spans="1:31" x14ac:dyDescent="0.25">
      <c r="A101" t="s">
        <v>126</v>
      </c>
      <c r="B101" t="str">
        <f>_xll.BDP("3059 HK Equity","LONG_COMP_NAME")</f>
        <v>Global X Bloomberg MSCI Asia ex Japan Green Bond ETF</v>
      </c>
      <c r="C101">
        <f>_xll.BDP("3059 HK Equity","PX385","PX395=FUND_FLOW","DY262=D","PY204=N","PX391=20260622","PX392=20260626","DS004=USD")</f>
        <v>0</v>
      </c>
      <c r="D101">
        <f>_xll.BDP("3059 HK Equity","PX388","PX395=TURNOVER","DY262=D","PY204=N","PX391=20260601","PX392=20260626","DS004=HKD")</f>
        <v>14505.666666666666</v>
      </c>
      <c r="E101">
        <f>_xll.BDP("3059 HK Equity","PX388","PX395=TURNOVER","DY262=D","PY204=N","PX391=20250101","PX392=20251231","DS004=HKD")</f>
        <v>189711.2869565218</v>
      </c>
      <c r="F101">
        <f>_xll.BDP("3059 HK Equity","PX596","PX395=FUND_TOTAL_ASSETS","DY262=D","PY204=N","PX391=20260626","PX392=20260626","DS004=USD")</f>
        <v>5.75</v>
      </c>
      <c r="G101">
        <f>_xll.BDP("3059 HK Equity","PX388","PX395=CUR_MKT_CAP","DY262=D","PY204=N","PX391=20260626","PX392=20260626","DS004=HKD")</f>
        <v>45.2712</v>
      </c>
      <c r="H101" t="str">
        <f>_xll.BDP("3059 HK Equity","FUND_LEVERAGE_TYPE")</f>
        <v>#N/A N/A</v>
      </c>
      <c r="I101">
        <f>_xll.BDP("3059 HK Equity","PX388","PX395=TURNOVER","DY262=D","PY204=N","PX391=20260101","PX392=20260131","DS004=HKD")</f>
        <v>75464</v>
      </c>
      <c r="J101">
        <v>-1</v>
      </c>
      <c r="K101" t="str">
        <f>_xll.BDP("3059 HK Equity","FUND_INCEPT_DT")</f>
        <v>8/19/2022</v>
      </c>
      <c r="L101" t="str">
        <f>_xll.BDP("3059 HK Equity","PX388","PX395=TURNOVER_EXCH_RATIO","DY262=D","PY204=N","PX391=20251201","PX392=20251210")</f>
        <v>#N/A N/A</v>
      </c>
      <c r="M101">
        <f>_xll.BDP("3059 HK Equity","EQY_SH_OUT")</f>
        <v>0.77999999999999992</v>
      </c>
      <c r="N101">
        <f>_xll.BDP("3059 HK Equity","EQY_TRR_PCT_YTD")</f>
        <v>0.746031</v>
      </c>
      <c r="O101">
        <f>_xll.BDP("3059 HK Equity","CHG_PCT_YTD")</f>
        <v>0.90403259999999996</v>
      </c>
      <c r="P101">
        <f>_xll.BDP("3059 HK Equity","CHG_PCT_1M")</f>
        <v>0.97425269999999997</v>
      </c>
      <c r="Q101" t="str">
        <f>_xll.BDP("3059 HK Equity","LISTING_DATE")</f>
        <v>8/19/2022</v>
      </c>
      <c r="R101" t="str">
        <f>_xll.BDP("3059 HK Equity","FUND_INCEPT_DT")</f>
        <v>8/19/2022</v>
      </c>
      <c r="S101">
        <f>_xll.BDP("3059 HK Equity","AVG_DAILY_VALUE_TRADED_3M")</f>
        <v>2259.8530000000001</v>
      </c>
      <c r="T101" t="str">
        <f>_xll.BDP("3059 HK Equity","PX596","PX395=HISTORICAL_MARKET_CAP","DY262=D","PY204=N","PX391=20231231","PX392=20231231","DS004=HKD")</f>
        <v>#N/A N/A</v>
      </c>
      <c r="U101">
        <f>_xll.BDP("3059 HK Equity","PX385","PX395=FUND_FLOW","DY262=D","PY204=N","PX391=20240102","PX392=20240930","DS004=HKD")</f>
        <v>1.6527082572000014</v>
      </c>
      <c r="V101">
        <f>_xll.BDP("3059 HK Equity","PX596","PX395=CUR_MKT_CAP","DY262=D","PY204=N","PX391=20240101","DS004=HKD")</f>
        <v>46.591200000000008</v>
      </c>
      <c r="W101" t="str">
        <f>_xll.BDP("3059 HK Equity","FUND_INCEPT_DT")</f>
        <v>8/19/2022</v>
      </c>
      <c r="X101">
        <f>_xll.BDP("3059 HK Equity","PX388","PX395=TURNOVER","DY262=D","PY204=N","PX391=20240502","PX392=20240606","DS004=HKD")</f>
        <v>881035.77777777775</v>
      </c>
      <c r="Y101" t="str">
        <f>_xll.BDP("3059 HK Equity","PARENT_COMP_NAME")</f>
        <v>Mirae Asset Global Investments</v>
      </c>
      <c r="Z101" t="str">
        <f>_xll.BDP("3059 HK Equity","NAV_CRNCY")</f>
        <v>USD</v>
      </c>
      <c r="AA101" t="str">
        <f>_xll.BDP("3059 HK Equity","FUND_GEO_FOCUS")</f>
        <v>Asian Pacific Region ex Japan</v>
      </c>
      <c r="AB101" t="str">
        <f>_xll.BDP("3059 HK Equity","FUND_ASSET_CLASS_FOCUS")</f>
        <v>Fixed Income</v>
      </c>
      <c r="AC101">
        <f>_xll.BDP("3059 HK Equity","PX_LAST")</f>
        <v>58.04</v>
      </c>
      <c r="AD101">
        <f>_xll.BDP("3059 HK Equity","PX388","PX395=TIME_WAVG_BID_ASK_SPREAD_PCT","DY262=D","PY204=N","PX391=20260601","PX392=20260626")</f>
        <v>0.84959465744349971</v>
      </c>
      <c r="AE101">
        <f>_xll.BDP("3059 HK Equity","PX388","PX395=AVERAGE_BID_ASK_SPREAD_%","DY262=D","PY204=N","PX391=20260601","PX392=20260626")</f>
        <v>0.99420989978829821</v>
      </c>
    </row>
    <row r="102" spans="1:31" x14ac:dyDescent="0.25">
      <c r="A102" t="s">
        <v>127</v>
      </c>
      <c r="B102" t="str">
        <f>_xll.BDP("3064 HK Equity","LONG_COMP_NAME")</f>
        <v>Global X MSCI Asia Pacific ex Japan ETF</v>
      </c>
      <c r="C102">
        <f>_xll.BDP("3064 HK Equity","PX385","PX395=FUND_FLOW","DY262=D","PY204=N","PX391=20260622","PX392=20260626","DS004=USD")</f>
        <v>0</v>
      </c>
      <c r="D102">
        <f>_xll.BDP("3064 HK Equity","PX388","PX395=TURNOVER","DY262=D","PY204=N","PX391=20260601","PX392=20260626","DS004=HKD")</f>
        <v>18659393.777777776</v>
      </c>
      <c r="E102">
        <f>_xll.BDP("3064 HK Equity","PX388","PX395=TURNOVER","DY262=D","PY204=N","PX391=20250101","PX392=20251231","DS004=HKD")</f>
        <v>62445.111111111109</v>
      </c>
      <c r="F102">
        <f>_xll.BDP("3064 HK Equity","PX596","PX395=FUND_TOTAL_ASSETS","DY262=D","PY204=N","PX391=20260626","PX392=20260626","DS004=USD")</f>
        <v>26.081993879190517</v>
      </c>
      <c r="G102">
        <f>_xll.BDP("3064 HK Equity","PX388","PX395=CUR_MKT_CAP","DY262=D","PY204=N","PX391=20260626","PX392=20260626","DS004=HKD")</f>
        <v>206.38720000000001</v>
      </c>
      <c r="H102" t="str">
        <f>_xll.BDP("3064 HK Equity","FUND_LEVERAGE_TYPE")</f>
        <v>#N/A N/A</v>
      </c>
      <c r="I102">
        <f>_xll.BDP("3064 HK Equity","PX388","PX395=TURNOVER","DY262=D","PY204=N","PX391=20260101","PX392=20260131","DS004=HKD")</f>
        <v>1211733.8333333335</v>
      </c>
      <c r="J102">
        <v>-1</v>
      </c>
      <c r="K102" t="str">
        <f>_xll.BDP("3064 HK Equity","FUND_INCEPT_DT")</f>
        <v>6/9/2025</v>
      </c>
      <c r="L102" t="str">
        <f>_xll.BDP("3064 HK Equity","PX388","PX395=TURNOVER_EXCH_RATIO","DY262=D","PY204=N","PX391=20251201","PX392=20251210")</f>
        <v>#N/A N/A</v>
      </c>
      <c r="M102">
        <f>_xll.BDP("3064 HK Equity","EQY_SH_OUT")</f>
        <v>2.56</v>
      </c>
      <c r="N102">
        <f>_xll.BDP("3064 HK Equity","EQY_TRR_PCT_YTD")</f>
        <v>27.030570000000001</v>
      </c>
      <c r="O102">
        <f>_xll.BDP("3064 HK Equity","CHG_PCT_YTD")</f>
        <v>25.459070000000001</v>
      </c>
      <c r="P102">
        <f>_xll.BDP("3064 HK Equity","CHG_PCT_1M")</f>
        <v>-1.346061</v>
      </c>
      <c r="Q102" t="str">
        <f>_xll.BDP("3064 HK Equity","LISTING_DATE")</f>
        <v>6/9/2025</v>
      </c>
      <c r="R102" t="str">
        <f>_xll.BDP("3064 HK Equity","FUND_INCEPT_DT")</f>
        <v>6/9/2025</v>
      </c>
      <c r="S102">
        <f>_xll.BDP("3064 HK Equity","AVG_DAILY_VALUE_TRADED_3M")</f>
        <v>2763317</v>
      </c>
      <c r="T102" t="str">
        <f>_xll.BDP("3064 HK Equity","PX596","PX395=HISTORICAL_MARKET_CAP","DY262=D","PY204=N","PX391=20231231","PX392=20231231","DS004=HKD")</f>
        <v>#N/A N/A</v>
      </c>
      <c r="U102" t="str">
        <f>_xll.BDP("3064 HK Equity","PX385","PX395=FUND_FLOW","DY262=D","PY204=N","PX391=20240102","PX392=20240930","DS004=HKD")</f>
        <v>#N/A N/A</v>
      </c>
      <c r="V102">
        <f>_xll.BDP("3064 HK Equity","PX596","PX395=CUR_MKT_CAP","DY262=D","PY204=N","PX391=20240101","DS004=HKD")</f>
        <v>97.675200000000004</v>
      </c>
      <c r="W102" t="str">
        <f>_xll.BDP("3064 HK Equity","FUND_INCEPT_DT")</f>
        <v>6/9/2025</v>
      </c>
      <c r="X102" t="str">
        <f>_xll.BDP("3064 HK Equity","PX388","PX395=TURNOVER","DY262=D","PY204=N","PX391=20240502","PX392=20240606","DS004=HKD")</f>
        <v>#N/A N/A</v>
      </c>
      <c r="Y102" t="str">
        <f>_xll.BDP("3064 HK Equity","PARENT_COMP_NAME")</f>
        <v>Mirae Asset Global Investments</v>
      </c>
      <c r="Z102" t="str">
        <f>_xll.BDP("3064 HK Equity","NAV_CRNCY")</f>
        <v>HKD</v>
      </c>
      <c r="AA102" t="str">
        <f>_xll.BDP("3064 HK Equity","FUND_GEO_FOCUS")</f>
        <v>Asian Pacific Region ex Japan</v>
      </c>
      <c r="AB102" t="str">
        <f>_xll.BDP("3064 HK Equity","FUND_ASSET_CLASS_FOCUS")</f>
        <v>Equity</v>
      </c>
      <c r="AC102">
        <f>_xll.BDP("3064 HK Equity","PX_LAST")</f>
        <v>80.62</v>
      </c>
      <c r="AD102">
        <f>_xll.BDP("3064 HK Equity","PX388","PX395=TIME_WAVG_BID_ASK_SPREAD_PCT","DY262=D","PY204=N","PX391=20260601","PX392=20260626")</f>
        <v>0.72172843389473895</v>
      </c>
      <c r="AE102">
        <f>_xll.BDP("3064 HK Equity","PX388","PX395=AVERAGE_BID_ASK_SPREAD_%","DY262=D","PY204=N","PX391=20260601","PX392=20260626")</f>
        <v>0.76933061196187824</v>
      </c>
    </row>
    <row r="103" spans="1:31" x14ac:dyDescent="0.25">
      <c r="A103" t="s">
        <v>128</v>
      </c>
      <c r="B103" t="str">
        <f>_xll.BDP("3066 HK Equity","LONG_COMP_NAME")</f>
        <v>CSOP Bitcoin Futures ETF</v>
      </c>
      <c r="C103">
        <f>_xll.BDP("3066 HK Equity","PX385","PX395=FUND_FLOW","DY262=D","PY204=N","PX391=20260622","PX392=20260626","DS004=USD")</f>
        <v>0</v>
      </c>
      <c r="D103">
        <f>_xll.BDP("3066 HK Equity","PX388","PX395=TURNOVER","DY262=D","PY204=N","PX391=20260601","PX392=20260626","DS004=HKD")</f>
        <v>1654479.010526316</v>
      </c>
      <c r="E103">
        <f>_xll.BDP("3066 HK Equity","PX388","PX395=TURNOVER","DY262=D","PY204=N","PX391=20250101","PX392=20251231","DS004=HKD")</f>
        <v>12504555.686991874</v>
      </c>
      <c r="F103">
        <f>_xll.BDP("3066 HK Equity","PX596","PX395=FUND_TOTAL_ASSETS","DY262=D","PY204=N","PX391=20260626","PX392=20260626","DS004=USD")</f>
        <v>28.932891219999998</v>
      </c>
      <c r="G103">
        <f>_xll.BDP("3066 HK Equity","PX388","PX395=CUR_MKT_CAP","DY262=D","PY204=N","PX391=20260626","PX392=20260626","DS004=HKD")</f>
        <v>229.95840200000001</v>
      </c>
      <c r="H103" t="str">
        <f>_xll.BDP("3066 HK Equity","FUND_LEVERAGE_TYPE")</f>
        <v>#N/A N/A</v>
      </c>
      <c r="I103">
        <f>_xll.BDP("3066 HK Equity","PX388","PX395=TURNOVER","DY262=D","PY204=N","PX391=20260101","PX392=20260131","DS004=HKD")</f>
        <v>4460630.2857142864</v>
      </c>
      <c r="J103">
        <v>-1</v>
      </c>
      <c r="K103" t="str">
        <f>_xll.BDP("3066 HK Equity","FUND_INCEPT_DT")</f>
        <v>12/16/2022</v>
      </c>
      <c r="L103" t="str">
        <f>_xll.BDP("3066 HK Equity","PX388","PX395=TURNOVER_EXCH_RATIO","DY262=D","PY204=N","PX391=20251201","PX392=20251210")</f>
        <v>#N/A N/A</v>
      </c>
      <c r="M103">
        <f>_xll.BDP("3066 HK Equity","EQY_SH_OUT")</f>
        <v>11.8903</v>
      </c>
      <c r="N103">
        <f>_xll.BDP("3066 HK Equity","EQY_TRR_PCT_YTD")</f>
        <v>-34.251730000000002</v>
      </c>
      <c r="O103">
        <f>_xll.BDP("3066 HK Equity","CHG_PCT_YTD")</f>
        <v>-33.564489999999999</v>
      </c>
      <c r="P103">
        <f>_xll.BDP("3066 HK Equity","CHG_PCT_1M")</f>
        <v>-18.46809</v>
      </c>
      <c r="Q103" t="str">
        <f>_xll.BDP("3066 HK Equity","LISTING_DATE")</f>
        <v>12/16/2022</v>
      </c>
      <c r="R103" t="str">
        <f>_xll.BDP("3066 HK Equity","FUND_INCEPT_DT")</f>
        <v>12/16/2022</v>
      </c>
      <c r="S103">
        <f>_xll.BDP("3066 HK Equity","AVG_DAILY_VALUE_TRADED_3M")</f>
        <v>2123796</v>
      </c>
      <c r="T103" t="str">
        <f>_xll.BDP("3066 HK Equity","PX596","PX395=HISTORICAL_MARKET_CAP","DY262=D","PY204=N","PX391=20231231","PX392=20231231","DS004=HKD")</f>
        <v>#N/A N/A</v>
      </c>
      <c r="U103">
        <f>_xll.BDP("3066 HK Equity","PX385","PX395=FUND_FLOW","DY262=D","PY204=N","PX391=20240102","PX392=20240930","DS004=HKD")</f>
        <v>18.709968985000017</v>
      </c>
      <c r="V103">
        <f>_xll.BDP("3066 HK Equity","PX596","PX395=CUR_MKT_CAP","DY262=D","PY204=N","PX391=20240101","DS004=HKD")</f>
        <v>357.336252</v>
      </c>
      <c r="W103" t="str">
        <f>_xll.BDP("3066 HK Equity","FUND_INCEPT_DT")</f>
        <v>12/16/2022</v>
      </c>
      <c r="X103">
        <f>_xll.BDP("3066 HK Equity","PX388","PX395=TURNOVER","DY262=D","PY204=N","PX391=20240502","PX392=20240606","DS004=HKD")</f>
        <v>25133117.280000005</v>
      </c>
      <c r="Y103" t="str">
        <f>_xll.BDP("3066 HK Equity","PARENT_COMP_NAME")</f>
        <v>CSOP Asset Management Ltd/Hong</v>
      </c>
      <c r="Z103" t="str">
        <f>_xll.BDP("3066 HK Equity","NAV_CRNCY")</f>
        <v>USD</v>
      </c>
      <c r="AA103" t="str">
        <f>_xll.BDP("3066 HK Equity","FUND_GEO_FOCUS")</f>
        <v>Global</v>
      </c>
      <c r="AB103" t="str">
        <f>_xll.BDP("3066 HK Equity","FUND_ASSET_CLASS_FOCUS")</f>
        <v>Alternative</v>
      </c>
      <c r="AC103">
        <f>_xll.BDP("3066 HK Equity","PX_LAST")</f>
        <v>19.16</v>
      </c>
      <c r="AD103">
        <f>_xll.BDP("3066 HK Equity","PX388","PX395=TIME_WAVG_BID_ASK_SPREAD_PCT","DY262=D","PY204=N","PX391=20260601","PX392=20260626")</f>
        <v>0.27884370119938073</v>
      </c>
      <c r="AE103">
        <f>_xll.BDP("3066 HK Equity","PX388","PX395=AVERAGE_BID_ASK_SPREAD_%","DY262=D","PY204=N","PX391=20260601","PX392=20260626")</f>
        <v>0.28932762893901764</v>
      </c>
    </row>
    <row r="104" spans="1:31" x14ac:dyDescent="0.25">
      <c r="A104" t="s">
        <v>129</v>
      </c>
      <c r="B104" t="str">
        <f>_xll.BDP("3068 HK Equity","LONG_COMP_NAME")</f>
        <v>CSOP Ether Futures ETF</v>
      </c>
      <c r="C104">
        <f>_xll.BDP("3068 HK Equity","PX385","PX395=FUND_FLOW","DY262=D","PY204=N","PX391=20260622","PX392=20260626","DS004=USD")</f>
        <v>0</v>
      </c>
      <c r="D104">
        <f>_xll.BDP("3068 HK Equity","PX388","PX395=TURNOVER","DY262=D","PY204=N","PX391=20260601","PX392=20260626","DS004=HKD")</f>
        <v>544525.30000000005</v>
      </c>
      <c r="E104">
        <f>_xll.BDP("3068 HK Equity","PX388","PX395=TURNOVER","DY262=D","PY204=N","PX391=20250101","PX392=20251231","DS004=HKD")</f>
        <v>4561437.0597560983</v>
      </c>
      <c r="F104">
        <f>_xll.BDP("3068 HK Equity","PX596","PX395=FUND_TOTAL_ASSETS","DY262=D","PY204=N","PX391=20260626","PX392=20260626","DS004=USD")</f>
        <v>9.4902860699999998</v>
      </c>
      <c r="G104">
        <f>_xll.BDP("3068 HK Equity","PX388","PX395=CUR_MKT_CAP","DY262=D","PY204=N","PX391=20260626","PX392=20260626","DS004=HKD")</f>
        <v>74.478432499999997</v>
      </c>
      <c r="H104" t="str">
        <f>_xll.BDP("3068 HK Equity","FUND_LEVERAGE_TYPE")</f>
        <v>#N/A N/A</v>
      </c>
      <c r="I104">
        <f>_xll.BDP("3068 HK Equity","PX388","PX395=TURNOVER","DY262=D","PY204=N","PX391=20260101","PX392=20260131","DS004=HKD")</f>
        <v>1795367.5142857144</v>
      </c>
      <c r="J104">
        <v>-1</v>
      </c>
      <c r="K104" t="str">
        <f>_xll.BDP("3068 HK Equity","FUND_INCEPT_DT")</f>
        <v>12/16/2022</v>
      </c>
      <c r="L104" t="str">
        <f>_xll.BDP("3068 HK Equity","PX388","PX395=TURNOVER_EXCH_RATIO","DY262=D","PY204=N","PX391=20251201","PX392=20251210")</f>
        <v>#N/A N/A</v>
      </c>
      <c r="M104">
        <f>_xll.BDP("3068 HK Equity","EQY_SH_OUT")</f>
        <v>10.7395</v>
      </c>
      <c r="N104">
        <f>_xll.BDP("3068 HK Equity","EQY_TRR_PCT_YTD")</f>
        <v>-49.51979</v>
      </c>
      <c r="O104">
        <f>_xll.BDP("3068 HK Equity","CHG_PCT_YTD")</f>
        <v>-48.364310000000003</v>
      </c>
      <c r="P104">
        <f>_xll.BDP("3068 HK Equity","CHG_PCT_1M")</f>
        <v>-21.481069999999999</v>
      </c>
      <c r="Q104" t="str">
        <f>_xll.BDP("3068 HK Equity","LISTING_DATE")</f>
        <v>12/16/2022</v>
      </c>
      <c r="R104" t="str">
        <f>_xll.BDP("3068 HK Equity","FUND_INCEPT_DT")</f>
        <v>12/16/2022</v>
      </c>
      <c r="S104">
        <f>_xll.BDP("3068 HK Equity","AVG_DAILY_VALUE_TRADED_3M")</f>
        <v>573600.9</v>
      </c>
      <c r="T104" t="str">
        <f>_xll.BDP("3068 HK Equity","PX596","PX395=HISTORICAL_MARKET_CAP","DY262=D","PY204=N","PX391=20231231","PX392=20231231","DS004=HKD")</f>
        <v>#N/A N/A</v>
      </c>
      <c r="U104">
        <f>_xll.BDP("3068 HK Equity","PX385","PX395=FUND_FLOW","DY262=D","PY204=N","PX391=20240102","PX392=20240930","DS004=HKD")</f>
        <v>56.452744704999986</v>
      </c>
      <c r="V104">
        <f>_xll.BDP("3068 HK Equity","PX596","PX395=CUR_MKT_CAP","DY262=D","PY204=N","PX391=20240101","DS004=HKD")</f>
        <v>157.89627499999997</v>
      </c>
      <c r="W104" t="str">
        <f>_xll.BDP("3068 HK Equity","FUND_INCEPT_DT")</f>
        <v>12/16/2022</v>
      </c>
      <c r="X104">
        <f>_xll.BDP("3068 HK Equity","PX388","PX395=TURNOVER","DY262=D","PY204=N","PX391=20240502","PX392=20240606","DS004=HKD")</f>
        <v>6073115.3600000013</v>
      </c>
      <c r="Y104" t="str">
        <f>_xll.BDP("3068 HK Equity","PARENT_COMP_NAME")</f>
        <v>CSOP Asset Management Ltd/Hong</v>
      </c>
      <c r="Z104" t="str">
        <f>_xll.BDP("3068 HK Equity","NAV_CRNCY")</f>
        <v>USD</v>
      </c>
      <c r="AA104" t="str">
        <f>_xll.BDP("3068 HK Equity","FUND_GEO_FOCUS")</f>
        <v>Global</v>
      </c>
      <c r="AB104" t="str">
        <f>_xll.BDP("3068 HK Equity","FUND_ASSET_CLASS_FOCUS")</f>
        <v>Alternative</v>
      </c>
      <c r="AC104">
        <f>_xll.BDP("3068 HK Equity","PX_LAST")</f>
        <v>6.9450000000000003</v>
      </c>
      <c r="AD104">
        <f>_xll.BDP("3068 HK Equity","PX388","PX395=TIME_WAVG_BID_ASK_SPREAD_PCT","DY262=D","PY204=N","PX391=20260601","PX392=20260626")</f>
        <v>0.23468423468566199</v>
      </c>
      <c r="AE104">
        <f>_xll.BDP("3068 HK Equity","PX388","PX395=AVERAGE_BID_ASK_SPREAD_%","DY262=D","PY204=N","PX391=20260601","PX392=20260626")</f>
        <v>0.24546312827520306</v>
      </c>
    </row>
    <row r="105" spans="1:31" x14ac:dyDescent="0.25">
      <c r="A105" t="s">
        <v>130</v>
      </c>
      <c r="B105" t="str">
        <f>_xll.BDP("3070 HK Equity","LONG_COMP_NAME")</f>
        <v>Ping An of China CSI HK Dividend ETF</v>
      </c>
      <c r="C105">
        <f>_xll.BDP("3070 HK Equity","PX385","PX395=FUND_FLOW","DY262=D","PY204=N","PX391=20260622","PX392=20260626","DS004=USD")</f>
        <v>0</v>
      </c>
      <c r="D105">
        <f>_xll.BDP("3070 HK Equity","PX388","PX395=TURNOVER","DY262=D","PY204=N","PX391=20260601","PX392=20260626","DS004=HKD")</f>
        <v>6187019.7894736845</v>
      </c>
      <c r="E105">
        <f>_xll.BDP("3070 HK Equity","PX388","PX395=TURNOVER","DY262=D","PY204=N","PX391=20250101","PX392=20251231","DS004=HKD")</f>
        <v>21017697.816260152</v>
      </c>
      <c r="F105">
        <f>_xll.BDP("3070 HK Equity","PX596","PX395=FUND_TOTAL_ASSETS","DY262=D","PY204=N","PX391=20260626","PX392=20260626","DS004=USD")</f>
        <v>172.12292073424209</v>
      </c>
      <c r="G105">
        <f>_xll.BDP("3070 HK Equity","PX388","PX395=CUR_MKT_CAP","DY262=D","PY204=N","PX391=20260626","PX392=20260626","DS004=HKD")</f>
        <v>1348.3716000000002</v>
      </c>
      <c r="H105" t="str">
        <f>_xll.BDP("3070 HK Equity","FUND_LEVERAGE_TYPE")</f>
        <v>#N/A N/A</v>
      </c>
      <c r="I105">
        <f>_xll.BDP("3070 HK Equity","PX388","PX395=TURNOVER","DY262=D","PY204=N","PX391=20260101","PX392=20260131","DS004=HKD")</f>
        <v>24774743.904761903</v>
      </c>
      <c r="J105">
        <v>-1</v>
      </c>
      <c r="K105" t="str">
        <f>_xll.BDP("3070 HK Equity","FUND_INCEPT_DT")</f>
        <v>2/15/2012</v>
      </c>
      <c r="L105" t="str">
        <f>_xll.BDP("3070 HK Equity","PX388","PX395=TURNOVER_EXCH_RATIO","DY262=D","PY204=N","PX391=20251201","PX392=20251210")</f>
        <v>#N/A N/A</v>
      </c>
      <c r="M105">
        <f>_xll.BDP("3070 HK Equity","EQY_SH_OUT")</f>
        <v>36.129999999999995</v>
      </c>
      <c r="N105">
        <f>_xll.BDP("3070 HK Equity","EQY_TRR_PCT_YTD")</f>
        <v>-0.31348799999999999</v>
      </c>
      <c r="O105">
        <f>_xll.BDP("3070 HK Equity","CHG_PCT_YTD")</f>
        <v>-0.7411297</v>
      </c>
      <c r="P105">
        <f>_xll.BDP("3070 HK Equity","CHG_PCT_1M")</f>
        <v>-9.1129390000000008</v>
      </c>
      <c r="Q105" t="str">
        <f>_xll.BDP("3070 HK Equity","LISTING_DATE")</f>
        <v>2/15/2012</v>
      </c>
      <c r="R105" t="str">
        <f>_xll.BDP("3070 HK Equity","FUND_INCEPT_DT")</f>
        <v>2/15/2012</v>
      </c>
      <c r="S105">
        <f>_xll.BDP("3070 HK Equity","AVG_DAILY_VALUE_TRADED_3M")</f>
        <v>7617420</v>
      </c>
      <c r="T105" t="str">
        <f>_xll.BDP("3070 HK Equity","PX596","PX395=HISTORICAL_MARKET_CAP","DY262=D","PY204=N","PX391=20231231","PX392=20231231","DS004=HKD")</f>
        <v>#N/A N/A</v>
      </c>
      <c r="U105">
        <f>_xll.BDP("3070 HK Equity","PX385","PX395=FUND_FLOW","DY262=D","PY204=N","PX391=20240102","PX392=20240930","DS004=HKD")</f>
        <v>116.45748900000009</v>
      </c>
      <c r="V105">
        <f>_xll.BDP("3070 HK Equity","PX596","PX395=CUR_MKT_CAP","DY262=D","PY204=N","PX391=20240101","DS004=HKD")</f>
        <v>6017.5983999999999</v>
      </c>
      <c r="W105" t="str">
        <f>_xll.BDP("3070 HK Equity","FUND_INCEPT_DT")</f>
        <v>2/15/2012</v>
      </c>
      <c r="X105">
        <f>_xll.BDP("3070 HK Equity","PX388","PX395=TURNOVER","DY262=D","PY204=N","PX391=20240502","PX392=20240606","DS004=HKD")</f>
        <v>1776953.2440000002</v>
      </c>
      <c r="Y105" t="str">
        <f>_xll.BDP("3070 HK Equity","PARENT_COMP_NAME")</f>
        <v>Ping An of China Asset Managem</v>
      </c>
      <c r="Z105" t="str">
        <f>_xll.BDP("3070 HK Equity","NAV_CRNCY")</f>
        <v>HKD</v>
      </c>
      <c r="AA105" t="str">
        <f>_xll.BDP("3070 HK Equity","FUND_GEO_FOCUS")</f>
        <v>Hong Kong</v>
      </c>
      <c r="AB105" t="str">
        <f>_xll.BDP("3070 HK Equity","FUND_ASSET_CLASS_FOCUS")</f>
        <v>Equity</v>
      </c>
      <c r="AC105">
        <f>_xll.BDP("3070 HK Equity","PX_LAST")</f>
        <v>37.5</v>
      </c>
      <c r="AD105">
        <f>_xll.BDP("3070 HK Equity","PX388","PX395=TIME_WAVG_BID_ASK_SPREAD_PCT","DY262=D","PY204=N","PX391=20260601","PX392=20260626")</f>
        <v>0.18500263845473899</v>
      </c>
      <c r="AE105">
        <f>_xll.BDP("3070 HK Equity","PX388","PX395=AVERAGE_BID_ASK_SPREAD_%","DY262=D","PY204=N","PX391=20260601","PX392=20260626")</f>
        <v>0.21237697405586212</v>
      </c>
    </row>
    <row r="106" spans="1:31" x14ac:dyDescent="0.25">
      <c r="A106" t="s">
        <v>131</v>
      </c>
      <c r="B106" t="str">
        <f>_xll.BDP("3071 HK Equity","LONG_COMP_NAME")</f>
        <v>CICC HKD Money Market ETF</v>
      </c>
      <c r="C106">
        <f>_xll.BDP("3071 HK Equity","PX385","PX395=FUND_FLOW","DY262=D","PY204=N","PX391=20260622","PX392=20260626","DS004=USD")</f>
        <v>0</v>
      </c>
      <c r="D106">
        <f>_xll.BDP("3071 HK Equity","PX388","PX395=TURNOVER","DY262=D","PY204=N","PX391=20260601","PX392=20260626","DS004=HKD")</f>
        <v>202010.30000000002</v>
      </c>
      <c r="E106">
        <f>_xll.BDP("3071 HK Equity","PX388","PX395=TURNOVER","DY262=D","PY204=N","PX391=20250101","PX392=20251231","DS004=HKD")</f>
        <v>287583.97472222225</v>
      </c>
      <c r="F106">
        <f>_xll.BDP("3071 HK Equity","PX596","PX395=FUND_TOTAL_ASSETS","DY262=D","PY204=N","PX391=20260626","PX392=20260626","DS004=USD")</f>
        <v>73.909928909348253</v>
      </c>
      <c r="G106">
        <f>_xll.BDP("3071 HK Equity","PX388","PX395=CUR_MKT_CAP","DY262=D","PY204=N","PX391=20260626","PX392=20260626","DS004=HKD")</f>
        <v>47.1008</v>
      </c>
      <c r="H106" t="str">
        <f>_xll.BDP("3071 HK Equity","FUND_LEVERAGE_TYPE")</f>
        <v>#N/A N/A</v>
      </c>
      <c r="I106">
        <f>_xll.BDP("3071 HK Equity","PX388","PX395=TURNOVER","DY262=D","PY204=N","PX391=20260101","PX392=20260131","DS004=HKD")</f>
        <v>461541.07500000001</v>
      </c>
      <c r="J106">
        <v>-1</v>
      </c>
      <c r="K106" t="str">
        <f>_xll.BDP("3071 HK Equity","FUND_INCEPT_DT")</f>
        <v>11/30/2020</v>
      </c>
      <c r="L106" t="str">
        <f>_xll.BDP("3071 HK Equity","PX388","PX395=TURNOVER_EXCH_RATIO","DY262=D","PY204=N","PX391=20251201","PX392=20251210")</f>
        <v>#N/A N/A</v>
      </c>
      <c r="M106">
        <f>_xll.BDP("3071 HK Equity","EQY_SH_OUT")</f>
        <v>4.0999999999999995E-2</v>
      </c>
      <c r="N106">
        <f>_xll.BDP("3071 HK Equity","EQY_TRR_PCT_YTD")</f>
        <v>1.2097720000000001</v>
      </c>
      <c r="O106">
        <f>_xll.BDP("3071 HK Equity","CHG_PCT_YTD")</f>
        <v>1.2163949999999999</v>
      </c>
      <c r="P106">
        <f>_xll.BDP("3071 HK Equity","CHG_PCT_1M")</f>
        <v>0.1438953</v>
      </c>
      <c r="Q106" t="str">
        <f>_xll.BDP("3071 HK Equity","LISTING_DATE")</f>
        <v>12/2/2020</v>
      </c>
      <c r="R106" t="str">
        <f>_xll.BDP("3071 HK Equity","FUND_INCEPT_DT")</f>
        <v>11/30/2020</v>
      </c>
      <c r="S106">
        <f>_xll.BDP("3071 HK Equity","AVG_DAILY_VALUE_TRADED_3M")</f>
        <v>503935.7</v>
      </c>
      <c r="T106" t="str">
        <f>_xll.BDP("3071 HK Equity","PX596","PX395=HISTORICAL_MARKET_CAP","DY262=D","PY204=N","PX391=20231231","PX392=20231231","DS004=HKD")</f>
        <v>#N/A N/A</v>
      </c>
      <c r="U106">
        <f>_xll.BDP("3071 HK Equity","PX385","PX395=FUND_FLOW","DY262=D","PY204=N","PX391=20240102","PX392=20240930","DS004=HKD")</f>
        <v>577.2175834393571</v>
      </c>
      <c r="V106">
        <f>_xll.BDP("3071 HK Equity","PX596","PX395=CUR_MKT_CAP","DY262=D","PY204=N","PX391=20240101","DS004=HKD")</f>
        <v>17.017499999999998</v>
      </c>
      <c r="W106" t="str">
        <f>_xll.BDP("3071 HK Equity","FUND_INCEPT_DT")</f>
        <v>11/30/2020</v>
      </c>
      <c r="X106">
        <f>_xll.BDP("3071 HK Equity","PX388","PX395=TURNOVER","DY262=D","PY204=N","PX391=20240502","PX392=20240606","DS004=HKD")</f>
        <v>424697.28684210521</v>
      </c>
      <c r="Y106" t="str">
        <f>_xll.BDP("3071 HK Equity","PARENT_COMP_NAME")</f>
        <v>China International Capital Co</v>
      </c>
      <c r="Z106" t="str">
        <f>_xll.BDP("3071 HK Equity","NAV_CRNCY")</f>
        <v>HKD</v>
      </c>
      <c r="AA106" t="str">
        <f>_xll.BDP("3071 HK Equity","FUND_GEO_FOCUS")</f>
        <v>Global</v>
      </c>
      <c r="AB106" t="str">
        <f>_xll.BDP("3071 HK Equity","FUND_ASSET_CLASS_FOCUS")</f>
        <v>Money Market</v>
      </c>
      <c r="AC106">
        <f>_xll.BDP("3071 HK Equity","PX_LAST")</f>
        <v>1148.3</v>
      </c>
      <c r="AD106">
        <f>_xll.BDP("3071 HK Equity","PX388","PX395=TIME_WAVG_BID_ASK_SPREAD_PCT","DY262=D","PY204=N","PX391=20260601","PX392=20260626")</f>
        <v>6.5551332978193697E-2</v>
      </c>
      <c r="AE106">
        <f>_xll.BDP("3071 HK Equity","PX388","PX395=AVERAGE_BID_ASK_SPREAD_%","DY262=D","PY204=N","PX391=20260601","PX392=20260626")</f>
        <v>0.17203396546854971</v>
      </c>
    </row>
    <row r="107" spans="1:31" x14ac:dyDescent="0.25">
      <c r="A107" t="s">
        <v>132</v>
      </c>
      <c r="B107" t="str">
        <f>_xll.BDP("3075 HK Equity","LONG_COMP_NAME")</f>
        <v>Global X Asia USD Investment Grade Bond ETF</v>
      </c>
      <c r="C107">
        <f>_xll.BDP("3075 HK Equity","PX385","PX395=FUND_FLOW","DY262=D","PY204=N","PX391=20260622","PX392=20260626","DS004=USD")</f>
        <v>0</v>
      </c>
      <c r="D107">
        <f>_xll.BDP("3075 HK Equity","PX388","PX395=TURNOVER","DY262=D","PY204=N","PX391=20260601","PX392=20260626","DS004=HKD")</f>
        <v>147567.73684210528</v>
      </c>
      <c r="E107">
        <f>_xll.BDP("3075 HK Equity","PX388","PX395=TURNOVER","DY262=D","PY204=N","PX391=20250101","PX392=20251231","DS004=HKD")</f>
        <v>214792.85542168678</v>
      </c>
      <c r="F107">
        <f>_xll.BDP("3075 HK Equity","PX596","PX395=FUND_TOTAL_ASSETS","DY262=D","PY204=N","PX391=20260626","PX392=20260626","DS004=USD")</f>
        <v>8.7578489970798632</v>
      </c>
      <c r="G107">
        <f>_xll.BDP("3075 HK Equity","PX388","PX395=CUR_MKT_CAP","DY262=D","PY204=N","PX391=20260626","PX392=20260626","DS004=HKD")</f>
        <v>69.5595</v>
      </c>
      <c r="H107" t="str">
        <f>_xll.BDP("3075 HK Equity","FUND_LEVERAGE_TYPE")</f>
        <v>#N/A N/A</v>
      </c>
      <c r="I107">
        <f>_xll.BDP("3075 HK Equity","PX388","PX395=TURNOVER","DY262=D","PY204=N","PX391=20260101","PX392=20260131","DS004=HKD")</f>
        <v>224753.66666666666</v>
      </c>
      <c r="J107">
        <v>-1</v>
      </c>
      <c r="K107" t="str">
        <f>_xll.BDP("3075 HK Equity","FUND_INCEPT_DT")</f>
        <v>10/12/2023</v>
      </c>
      <c r="L107" t="str">
        <f>_xll.BDP("3075 HK Equity","PX388","PX395=TURNOVER_EXCH_RATIO","DY262=D","PY204=N","PX391=20251201","PX392=20251210")</f>
        <v>#N/A N/A</v>
      </c>
      <c r="M107">
        <f>_xll.BDP("3075 HK Equity","EQY_SH_OUT")</f>
        <v>1.1850000000000001</v>
      </c>
      <c r="N107">
        <f>_xll.BDP("3075 HK Equity","EQY_TRR_PCT_YTD")</f>
        <v>1.392628</v>
      </c>
      <c r="O107">
        <f>_xll.BDP("3075 HK Equity","CHG_PCT_YTD")</f>
        <v>-0.17006669999999999</v>
      </c>
      <c r="P107">
        <f>_xll.BDP("3075 HK Equity","CHG_PCT_1M")</f>
        <v>0.1023203</v>
      </c>
      <c r="Q107" t="str">
        <f>_xll.BDP("3075 HK Equity","LISTING_DATE")</f>
        <v>10/12/2023</v>
      </c>
      <c r="R107" t="str">
        <f>_xll.BDP("3075 HK Equity","FUND_INCEPT_DT")</f>
        <v>10/12/2023</v>
      </c>
      <c r="S107">
        <f>_xll.BDP("3075 HK Equity","AVG_DAILY_VALUE_TRADED_3M")</f>
        <v>270132</v>
      </c>
      <c r="T107" t="str">
        <f>_xll.BDP("3075 HK Equity","PX596","PX395=HISTORICAL_MARKET_CAP","DY262=D","PY204=N","PX391=20231231","PX392=20231231","DS004=HKD")</f>
        <v>#N/A N/A</v>
      </c>
      <c r="U107">
        <f>_xll.BDP("3075 HK Equity","PX385","PX395=FUND_FLOW","DY262=D","PY204=N","PX391=20240102","PX392=20240930","DS004=HKD")</f>
        <v>-76.298786999999976</v>
      </c>
      <c r="V107">
        <f>_xll.BDP("3075 HK Equity","PX596","PX395=CUR_MKT_CAP","DY262=D","PY204=N","PX391=20240101","DS004=HKD")</f>
        <v>58.211999999999996</v>
      </c>
      <c r="W107" t="str">
        <f>_xll.BDP("3075 HK Equity","FUND_INCEPT_DT")</f>
        <v>10/12/2023</v>
      </c>
      <c r="X107">
        <f>_xll.BDP("3075 HK Equity","PX388","PX395=TURNOVER","DY262=D","PY204=N","PX391=20240502","PX392=20240606","DS004=HKD")</f>
        <v>55710.25</v>
      </c>
      <c r="Y107" t="str">
        <f>_xll.BDP("3075 HK Equity","PARENT_COMP_NAME")</f>
        <v>Mirae Asset Global Investments</v>
      </c>
      <c r="Z107" t="str">
        <f>_xll.BDP("3075 HK Equity","NAV_CRNCY")</f>
        <v>HKD</v>
      </c>
      <c r="AA107" t="str">
        <f>_xll.BDP("3075 HK Equity","FUND_GEO_FOCUS")</f>
        <v>Asian Pacific Region ex Japan</v>
      </c>
      <c r="AB107" t="str">
        <f>_xll.BDP("3075 HK Equity","FUND_ASSET_CLASS_FOCUS")</f>
        <v>Fixed Income</v>
      </c>
      <c r="AC107">
        <f>_xll.BDP("3075 HK Equity","PX_LAST")</f>
        <v>58.7</v>
      </c>
      <c r="AD107">
        <f>_xll.BDP("3075 HK Equity","PX388","PX395=TIME_WAVG_BID_ASK_SPREAD_PCT","DY262=D","PY204=N","PX391=20260601","PX392=20260626")</f>
        <v>0.21136828521128151</v>
      </c>
      <c r="AE107">
        <f>_xll.BDP("3075 HK Equity","PX388","PX395=AVERAGE_BID_ASK_SPREAD_%","DY262=D","PY204=N","PX391=20260601","PX392=20260626")</f>
        <v>0.27698206730029395</v>
      </c>
    </row>
    <row r="108" spans="1:31" x14ac:dyDescent="0.25">
      <c r="A108" t="s">
        <v>133</v>
      </c>
      <c r="B108" t="str">
        <f>_xll.BDP("3077 HK Equity","LONG_COMP_NAME")</f>
        <v>Premia US Treasury Floating Rate ETF</v>
      </c>
      <c r="C108">
        <f>_xll.BDP("3077 HK Equity","PX385","PX395=FUND_FLOW","DY262=D","PY204=N","PX391=20260622","PX392=20260626","DS004=USD")</f>
        <v>0</v>
      </c>
      <c r="D108">
        <f>_xll.BDP("3077 HK Equity","PX388","PX395=TURNOVER","DY262=D","PY204=N","PX391=20260601","PX392=20260626","DS004=HKD")</f>
        <v>190238.53750000001</v>
      </c>
      <c r="E108">
        <f>_xll.BDP("3077 HK Equity","PX388","PX395=TURNOVER","DY262=D","PY204=N","PX391=20250101","PX392=20251231","DS004=HKD")</f>
        <v>374024.56954887218</v>
      </c>
      <c r="F108">
        <f>_xll.BDP("3077 HK Equity","PX596","PX395=FUND_TOTAL_ASSETS","DY262=D","PY204=N","PX391=20260626","PX392=20260626","DS004=USD")</f>
        <v>18.49712654</v>
      </c>
      <c r="G108">
        <f>_xll.BDP("3077 HK Equity","PX388","PX395=CUR_MKT_CAP","DY262=D","PY204=N","PX391=20260626","PX392=20260626","DS004=HKD")</f>
        <v>35.6265</v>
      </c>
      <c r="H108" t="str">
        <f>_xll.BDP("3077 HK Equity","FUND_LEVERAGE_TYPE")</f>
        <v>#N/A N/A</v>
      </c>
      <c r="I108">
        <f>_xll.BDP("3077 HK Equity","PX388","PX395=TURNOVER","DY262=D","PY204=N","PX391=20260101","PX392=20260131","DS004=HKD")</f>
        <v>411333.7888888889</v>
      </c>
      <c r="J108">
        <v>-1</v>
      </c>
      <c r="K108" t="str">
        <f>_xll.BDP("3077 HK Equity","FUND_INCEPT_DT")</f>
        <v>7/18/2019</v>
      </c>
      <c r="L108" t="str">
        <f>_xll.BDP("3077 HK Equity","PX388","PX395=TURNOVER_EXCH_RATIO","DY262=D","PY204=N","PX391=20251201","PX392=20251210")</f>
        <v>#N/A N/A</v>
      </c>
      <c r="M108">
        <f>_xll.BDP("3077 HK Equity","EQY_SH_OUT")</f>
        <v>8.9999999999999993E-3</v>
      </c>
      <c r="N108">
        <f>_xll.BDP("3077 HK Equity","EQY_TRR_PCT_YTD")</f>
        <v>2.5512549999999998</v>
      </c>
      <c r="O108">
        <f>_xll.BDP("3077 HK Equity","CHG_PCT_YTD")</f>
        <v>0.86377979999999999</v>
      </c>
      <c r="P108">
        <f>_xll.BDP("3077 HK Equity","CHG_PCT_1M")</f>
        <v>0.57164630000000005</v>
      </c>
      <c r="Q108" t="str">
        <f>_xll.BDP("3077 HK Equity","LISTING_DATE")</f>
        <v>7/18/2019</v>
      </c>
      <c r="R108" t="str">
        <f>_xll.BDP("3077 HK Equity","FUND_INCEPT_DT")</f>
        <v>7/18/2019</v>
      </c>
      <c r="S108">
        <f>_xll.BDP("3077 HK Equity","AVG_DAILY_VALUE_TRADED_3M")</f>
        <v>123905.9</v>
      </c>
      <c r="T108" t="str">
        <f>_xll.BDP("3077 HK Equity","PX596","PX395=HISTORICAL_MARKET_CAP","DY262=D","PY204=N","PX391=20231231","PX392=20231231","DS004=HKD")</f>
        <v>#N/A N/A</v>
      </c>
      <c r="U108">
        <f>_xll.BDP("3077 HK Equity","PX385","PX395=FUND_FLOW","DY262=D","PY204=N","PX391=20240102","PX392=20240930","DS004=HKD")</f>
        <v>-3.9065160000000008</v>
      </c>
      <c r="V108">
        <f>_xll.BDP("3077 HK Equity","PX596","PX395=CUR_MKT_CAP","DY262=D","PY204=N","PX391=20240101","DS004=HKD")</f>
        <v>31.396799999999999</v>
      </c>
      <c r="W108" t="str">
        <f>_xll.BDP("3077 HK Equity","FUND_INCEPT_DT")</f>
        <v>7/18/2019</v>
      </c>
      <c r="X108">
        <f>_xll.BDP("3077 HK Equity","PX388","PX395=TURNOVER","DY262=D","PY204=N","PX391=20240502","PX392=20240606","DS004=HKD")</f>
        <v>194211.7</v>
      </c>
      <c r="Y108" t="str">
        <f>_xll.BDP("3077 HK Equity","PARENT_COMP_NAME")</f>
        <v>Premia Partners Co Ltd/Hong Ko</v>
      </c>
      <c r="Z108" t="str">
        <f>_xll.BDP("3077 HK Equity","NAV_CRNCY")</f>
        <v>HKD</v>
      </c>
      <c r="AA108" t="str">
        <f>_xll.BDP("3077 HK Equity","FUND_GEO_FOCUS")</f>
        <v>U.S.</v>
      </c>
      <c r="AB108" t="str">
        <f>_xll.BDP("3077 HK Equity","FUND_ASSET_CLASS_FOCUS")</f>
        <v>Fixed Income</v>
      </c>
      <c r="AC108">
        <f>_xll.BDP("3077 HK Equity","PX_LAST")</f>
        <v>3958.5</v>
      </c>
      <c r="AD108">
        <f>_xll.BDP("3077 HK Equity","PX388","PX395=TIME_WAVG_BID_ASK_SPREAD_PCT","DY262=D","PY204=N","PX391=20260601","PX392=20260626")</f>
        <v>0.62234916451609834</v>
      </c>
      <c r="AE108">
        <f>_xll.BDP("3077 HK Equity","PX388","PX395=AVERAGE_BID_ASK_SPREAD_%","DY262=D","PY204=N","PX391=20260601","PX392=20260626")</f>
        <v>0.33627872697826233</v>
      </c>
    </row>
    <row r="109" spans="1:31" x14ac:dyDescent="0.25">
      <c r="A109" t="s">
        <v>134</v>
      </c>
      <c r="B109" t="str">
        <f>_xll.BDP("3081 HK Equity","LONG_COMP_NAME")</f>
        <v>Value Gold ETF</v>
      </c>
      <c r="C109">
        <f>_xll.BDP("3081 HK Equity","PX385","PX395=FUND_FLOW","DY262=D","PY204=N","PX391=20260622","PX392=20260626","DS004=USD")</f>
        <v>0</v>
      </c>
      <c r="D109">
        <f>_xll.BDP("3081 HK Equity","PX388","PX395=TURNOVER","DY262=D","PY204=N","PX391=20260601","PX392=20260626","DS004=HKD")</f>
        <v>11565606.84210526</v>
      </c>
      <c r="E109">
        <f>_xll.BDP("3081 HK Equity","PX388","PX395=TURNOVER","DY262=D","PY204=N","PX391=20250101","PX392=20251231","DS004=HKD")</f>
        <v>11774457.359349594</v>
      </c>
      <c r="F109">
        <f>_xll.BDP("3081 HK Equity","PX596","PX395=FUND_TOTAL_ASSETS","DY262=D","PY204=N","PX391=20260626","PX392=20260626","DS004=USD")</f>
        <v>486.79817905918048</v>
      </c>
      <c r="G109">
        <f>_xll.BDP("3081 HK Equity","PX388","PX395=CUR_MKT_CAP","DY262=D","PY204=N","PX391=20260626","PX392=20260626","DS004=HKD")</f>
        <v>3798.1980000000003</v>
      </c>
      <c r="H109" t="str">
        <f>_xll.BDP("3081 HK Equity","FUND_LEVERAGE_TYPE")</f>
        <v>#N/A N/A</v>
      </c>
      <c r="I109">
        <f>_xll.BDP("3081 HK Equity","PX388","PX395=TURNOVER","DY262=D","PY204=N","PX391=20260101","PX392=20260131","DS004=HKD")</f>
        <v>51106996.285714284</v>
      </c>
      <c r="J109">
        <v>-1</v>
      </c>
      <c r="K109" t="str">
        <f>_xll.BDP("3081 HK Equity","FUND_INCEPT_DT")</f>
        <v>11/3/2010</v>
      </c>
      <c r="L109" t="str">
        <f>_xll.BDP("3081 HK Equity","PX388","PX395=TURNOVER_EXCH_RATIO","DY262=D","PY204=N","PX391=20251201","PX392=20251210")</f>
        <v>#N/A N/A</v>
      </c>
      <c r="M109">
        <f>_xll.BDP("3081 HK Equity","EQY_SH_OUT")</f>
        <v>199.79999999999998</v>
      </c>
      <c r="N109">
        <f>_xll.BDP("3081 HK Equity","EQY_TRR_PCT_YTD")</f>
        <v>-5.500794</v>
      </c>
      <c r="O109">
        <f>_xll.BDP("3081 HK Equity","CHG_PCT_YTD")</f>
        <v>-6.0724780000000003</v>
      </c>
      <c r="P109">
        <f>_xll.BDP("3081 HK Equity","CHG_PCT_1M")</f>
        <v>-10.037520000000001</v>
      </c>
      <c r="Q109" t="str">
        <f>_xll.BDP("3081 HK Equity","LISTING_DATE")</f>
        <v>11/3/2010</v>
      </c>
      <c r="R109" t="str">
        <f>_xll.BDP("3081 HK Equity","FUND_INCEPT_DT")</f>
        <v>11/3/2010</v>
      </c>
      <c r="S109">
        <f>_xll.BDP("3081 HK Equity","AVG_DAILY_VALUE_TRADED_3M")</f>
        <v>15416320</v>
      </c>
      <c r="T109" t="str">
        <f>_xll.BDP("3081 HK Equity","PX596","PX395=HISTORICAL_MARKET_CAP","DY262=D","PY204=N","PX391=20231231","PX392=20231231","DS004=HKD")</f>
        <v>#N/A N/A</v>
      </c>
      <c r="U109">
        <f>_xll.BDP("3081 HK Equity","PX385","PX395=FUND_FLOW","DY262=D","PY204=N","PX391=20240102","PX392=20240930","DS004=HKD")</f>
        <v>149.51189999999997</v>
      </c>
      <c r="V109">
        <f>_xll.BDP("3081 HK Equity","PX596","PX395=CUR_MKT_CAP","DY262=D","PY204=N","PX391=20240101","DS004=HKD")</f>
        <v>3951.2700000000004</v>
      </c>
      <c r="W109" t="str">
        <f>_xll.BDP("3081 HK Equity","FUND_INCEPT_DT")</f>
        <v>11/3/2010</v>
      </c>
      <c r="X109">
        <f>_xll.BDP("3081 HK Equity","PX388","PX395=TURNOVER","DY262=D","PY204=N","PX391=20240502","PX392=20240606","DS004=HKD")</f>
        <v>5730829.1640000008</v>
      </c>
      <c r="Y109" t="str">
        <f>_xll.BDP("3081 HK Equity","PARENT_COMP_NAME")</f>
        <v>Sensible Asset Management Hong</v>
      </c>
      <c r="Z109" t="str">
        <f>_xll.BDP("3081 HK Equity","NAV_CRNCY")</f>
        <v>HKD</v>
      </c>
      <c r="AA109" t="str">
        <f>_xll.BDP("3081 HK Equity","FUND_GEO_FOCUS")</f>
        <v>Global</v>
      </c>
      <c r="AB109" t="str">
        <f>_xll.BDP("3081 HK Equity","FUND_ASSET_CLASS_FOCUS")</f>
        <v>Commodity</v>
      </c>
      <c r="AC109">
        <f>_xll.BDP("3081 HK Equity","PX_LAST")</f>
        <v>19.18</v>
      </c>
      <c r="AD109">
        <f>_xll.BDP("3081 HK Equity","PX388","PX395=TIME_WAVG_BID_ASK_SPREAD_PCT","DY262=D","PY204=N","PX391=20260601","PX392=20260626")</f>
        <v>0.12030009385942954</v>
      </c>
      <c r="AE109">
        <f>_xll.BDP("3081 HK Equity","PX388","PX395=AVERAGE_BID_ASK_SPREAD_%","DY262=D","PY204=N","PX391=20260601","PX392=20260626")</f>
        <v>0.11745825968804538</v>
      </c>
    </row>
    <row r="110" spans="1:31" x14ac:dyDescent="0.25">
      <c r="A110" t="s">
        <v>135</v>
      </c>
      <c r="B110" t="str">
        <f>_xll.BDP("3084 HK Equity","LONG_COMP_NAME")</f>
        <v>Global X India Sector Leader Active ETF</v>
      </c>
      <c r="C110">
        <f>_xll.BDP("3084 HK Equity","PX385","PX395=FUND_FLOW","DY262=D","PY204=N","PX391=20260622","PX392=20260626","DS004=USD")</f>
        <v>0</v>
      </c>
      <c r="D110">
        <f>_xll.BDP("3084 HK Equity","PX388","PX395=TURNOVER","DY262=D","PY204=N","PX391=20260601","PX392=20260626","DS004=HKD")</f>
        <v>53983.499999999993</v>
      </c>
      <c r="E110">
        <f>_xll.BDP("3084 HK Equity","PX388","PX395=TURNOVER","DY262=D","PY204=N","PX391=20250101","PX392=20251231","DS004=HKD")</f>
        <v>129208.6</v>
      </c>
      <c r="F110" t="str">
        <f>_xll.BDP("3084 HK Equity","PX596","PX395=FUND_TOTAL_ASSETS","DY262=D","PY204=N","PX391=20260626","PX392=20260626","DS004=USD")</f>
        <v>#N/A N/A</v>
      </c>
      <c r="G110">
        <f>_xll.BDP("3084 HK Equity","PX388","PX395=CUR_MKT_CAP","DY262=D","PY204=N","PX391=20260626","PX392=20260626","DS004=HKD")</f>
        <v>72.157485199999996</v>
      </c>
      <c r="H110" t="str">
        <f>_xll.BDP("3084 HK Equity","FUND_LEVERAGE_TYPE")</f>
        <v>#N/A N/A</v>
      </c>
      <c r="I110">
        <f>_xll.BDP("3084 HK Equity","PX388","PX395=TURNOVER","DY262=D","PY204=N","PX391=20260101","PX392=20260131","DS004=HKD")</f>
        <v>11792</v>
      </c>
      <c r="J110" t="s">
        <v>31</v>
      </c>
      <c r="K110" t="str">
        <f>_xll.BDP("3084 HK Equity","FUND_INCEPT_DT")</f>
        <v>11/26/2024</v>
      </c>
      <c r="L110" t="str">
        <f>_xll.BDP("3084 HK Equity","PX388","PX395=TURNOVER_EXCH_RATIO","DY262=D","PY204=N","PX391=20251201","PX392=20251210")</f>
        <v>#N/A N/A</v>
      </c>
      <c r="M110">
        <f>_xll.BDP("3084 HK Equity","EQY_SH_OUT")</f>
        <v>1.4414199999999999</v>
      </c>
      <c r="N110">
        <f>_xll.BDP("3084 HK Equity","EQY_TRR_PCT_YTD")</f>
        <v>-4.1047760000000002</v>
      </c>
      <c r="O110">
        <f>_xll.BDP("3084 HK Equity","CHG_PCT_YTD")</f>
        <v>-3.9155440000000001</v>
      </c>
      <c r="P110">
        <f>_xll.BDP("3084 HK Equity","CHG_PCT_1M")</f>
        <v>2.1215820000000001</v>
      </c>
      <c r="Q110" t="str">
        <f>_xll.BDP("3084 HK Equity","LISTING_DATE")</f>
        <v>11/26/2024</v>
      </c>
      <c r="R110" t="str">
        <f>_xll.BDP("3084 HK Equity","FUND_INCEPT_DT")</f>
        <v>11/26/2024</v>
      </c>
      <c r="S110">
        <f>_xll.BDP("3084 HK Equity","AVG_DAILY_VALUE_TRADED_3M")</f>
        <v>4260.9669999999996</v>
      </c>
      <c r="T110" t="str">
        <f>_xll.BDP("3084 HK Equity","PX596","PX395=HISTORICAL_MARKET_CAP","DY262=D","PY204=N","PX391=20231231","PX392=20231231","DS004=HKD")</f>
        <v>#N/A N/A</v>
      </c>
      <c r="U110" t="str">
        <f>_xll.BDP("3084 HK Equity","PX385","PX395=FUND_FLOW","DY262=D","PY204=N","PX391=20240102","PX392=20240930","DS004=HKD")</f>
        <v>#N/A N/A</v>
      </c>
      <c r="V110">
        <f>_xll.BDP("3084 HK Equity","PX596","PX395=CUR_MKT_CAP","DY262=D","PY204=N","PX391=20240101","DS004=HKD")</f>
        <v>75.097982000000002</v>
      </c>
      <c r="W110" t="str">
        <f>_xll.BDP("3084 HK Equity","FUND_INCEPT_DT")</f>
        <v>11/26/2024</v>
      </c>
      <c r="X110" t="str">
        <f>_xll.BDP("3084 HK Equity","PX388","PX395=TURNOVER","DY262=D","PY204=N","PX391=20240502","PX392=20240606","DS004=HKD")</f>
        <v>#N/A N/A</v>
      </c>
      <c r="Y110" t="str">
        <f>_xll.BDP("3084 HK Equity","PARENT_COMP_NAME")</f>
        <v>Mirae Asset Global Investments</v>
      </c>
      <c r="Z110" t="str">
        <f>_xll.BDP("3084 HK Equity","NAV_CRNCY")</f>
        <v>HKD</v>
      </c>
      <c r="AA110" t="str">
        <f>_xll.BDP("3084 HK Equity","FUND_GEO_FOCUS")</f>
        <v>India</v>
      </c>
      <c r="AB110" t="str">
        <f>_xll.BDP("3084 HK Equity","FUND_ASSET_CLASS_FOCUS")</f>
        <v>Equity</v>
      </c>
      <c r="AC110">
        <f>_xll.BDP("3084 HK Equity","PX_LAST")</f>
        <v>50.06</v>
      </c>
      <c r="AD110">
        <f>_xll.BDP("3084 HK Equity","PX388","PX395=TIME_WAVG_BID_ASK_SPREAD_PCT","DY262=D","PY204=N","PX391=20260601","PX392=20260626")</f>
        <v>1.1797840191167392</v>
      </c>
      <c r="AE110">
        <f>_xll.BDP("3084 HK Equity","PX388","PX395=AVERAGE_BID_ASK_SPREAD_%","DY262=D","PY204=N","PX391=20260601","PX392=20260626")</f>
        <v>1.3116127687296175</v>
      </c>
    </row>
    <row r="111" spans="1:31" x14ac:dyDescent="0.25">
      <c r="A111" t="s">
        <v>136</v>
      </c>
      <c r="B111" t="str">
        <f>_xll.BDP("3085 HK Equity","LONG_COMP_NAME")</f>
        <v>Pando Ethereum ETF</v>
      </c>
      <c r="C111">
        <f>_xll.BDP("3085 HK Equity","PX385","PX395=FUND_FLOW","DY262=D","PY204=N","PX391=20260622","PX392=20260626","DS004=USD")</f>
        <v>0</v>
      </c>
      <c r="D111">
        <f>_xll.BDP("3085 HK Equity","PX388","PX395=TURNOVER","DY262=D","PY204=N","PX391=20260601","PX392=20260626","DS004=HKD")</f>
        <v>38949.963157894745</v>
      </c>
      <c r="E111">
        <f>_xll.BDP("3085 HK Equity","PX388","PX395=TURNOVER","DY262=D","PY204=N","PX391=20250101","PX392=20251231","DS004=HKD")</f>
        <v>48213.777777777781</v>
      </c>
      <c r="F111">
        <f>_xll.BDP("3085 HK Equity","PX596","PX395=FUND_TOTAL_ASSETS","DY262=D","PY204=N","PX391=20260626","PX392=20260626","DS004=USD")</f>
        <v>4.927585145878008</v>
      </c>
      <c r="G111">
        <f>_xll.BDP("3085 HK Equity","PX388","PX395=CUR_MKT_CAP","DY262=D","PY204=N","PX391=20260626","PX392=20260626","DS004=HKD")</f>
        <v>35.494199999999999</v>
      </c>
      <c r="H111" t="str">
        <f>_xll.BDP("3085 HK Equity","FUND_LEVERAGE_TYPE")</f>
        <v>#N/A N/A</v>
      </c>
      <c r="I111">
        <f>_xll.BDP("3085 HK Equity","PX388","PX395=TURNOVER","DY262=D","PY204=N","PX391=20260101","PX392=20260131","DS004=HKD")</f>
        <v>47638.523809523802</v>
      </c>
      <c r="J111">
        <v>-1</v>
      </c>
      <c r="K111" t="str">
        <f>_xll.BDP("3085 HK Equity","FUND_INCEPT_DT")</f>
        <v>12/2/2025</v>
      </c>
      <c r="L111" t="str">
        <f>_xll.BDP("3085 HK Equity","PX388","PX395=TURNOVER_EXCH_RATIO","DY262=D","PY204=N","PX391=20251201","PX392=20251210")</f>
        <v>#N/A N/A</v>
      </c>
      <c r="M111">
        <f>_xll.BDP("3085 HK Equity","EQY_SH_OUT")</f>
        <v>8.1</v>
      </c>
      <c r="N111">
        <f>_xll.BDP("3085 HK Equity","EQY_TRR_PCT_YTD")</f>
        <v>-44.263750000000002</v>
      </c>
      <c r="O111">
        <f>_xll.BDP("3085 HK Equity","CHG_PCT_YTD")</f>
        <v>-46.561169999999997</v>
      </c>
      <c r="P111">
        <f>_xll.BDP("3085 HK Equity","CHG_PCT_1M")</f>
        <v>-22.300889999999999</v>
      </c>
      <c r="Q111" t="str">
        <f>_xll.BDP("3085 HK Equity","LISTING_DATE")</f>
        <v>12/3/2025</v>
      </c>
      <c r="R111" t="str">
        <f>_xll.BDP("3085 HK Equity","FUND_INCEPT_DT")</f>
        <v>12/2/2025</v>
      </c>
      <c r="S111">
        <f>_xll.BDP("3085 HK Equity","AVG_DAILY_VALUE_TRADED_3M")</f>
        <v>36659.33</v>
      </c>
      <c r="T111" t="str">
        <f>_xll.BDP("3085 HK Equity","PX596","PX395=HISTORICAL_MARKET_CAP","DY262=D","PY204=N","PX391=20231231","PX392=20231231","DS004=HKD")</f>
        <v>#N/A N/A</v>
      </c>
      <c r="U111" t="str">
        <f>_xll.BDP("3085 HK Equity","PX385","PX395=FUND_FLOW","DY262=D","PY204=N","PX391=20240102","PX392=20240930","DS004=HKD")</f>
        <v>#N/A N/A</v>
      </c>
      <c r="V111">
        <f>_xll.BDP("3085 HK Equity","PX596","PX395=CUR_MKT_CAP","DY262=D","PY204=N","PX391=20240101","DS004=HKD")</f>
        <v>64.898499999999999</v>
      </c>
      <c r="W111" t="str">
        <f>_xll.BDP("3085 HK Equity","FUND_INCEPT_DT")</f>
        <v>12/2/2025</v>
      </c>
      <c r="X111" t="str">
        <f>_xll.BDP("3085 HK Equity","PX388","PX395=TURNOVER","DY262=D","PY204=N","PX391=20240502","PX392=20240606","DS004=HKD")</f>
        <v>#N/A N/A</v>
      </c>
      <c r="Y111" t="str">
        <f>_xll.BDP("3085 HK Equity","PARENT_COMP_NAME")</f>
        <v>Pando Finance Ltd/HK</v>
      </c>
      <c r="Z111" t="str">
        <f>_xll.BDP("3085 HK Equity","NAV_CRNCY")</f>
        <v>HKD</v>
      </c>
      <c r="AA111" t="str">
        <f>_xll.BDP("3085 HK Equity","FUND_GEO_FOCUS")</f>
        <v>Global</v>
      </c>
      <c r="AB111" t="str">
        <f>_xll.BDP("3085 HK Equity","FUND_ASSET_CLASS_FOCUS")</f>
        <v>Alternative</v>
      </c>
      <c r="AC111">
        <f>_xll.BDP("3085 HK Equity","PX_LAST")</f>
        <v>4.3899999999999997</v>
      </c>
      <c r="AD111">
        <f>_xll.BDP("3085 HK Equity","PX388","PX395=TIME_WAVG_BID_ASK_SPREAD_PCT","DY262=D","PY204=N","PX391=20260601","PX392=20260626")</f>
        <v>0.57878658599374944</v>
      </c>
      <c r="AE111">
        <f>_xll.BDP("3085 HK Equity","PX388","PX395=AVERAGE_BID_ASK_SPREAD_%","DY262=D","PY204=N","PX391=20260601","PX392=20260626")</f>
        <v>0.67600688142805254</v>
      </c>
    </row>
    <row r="112" spans="1:31" x14ac:dyDescent="0.25">
      <c r="A112" t="s">
        <v>137</v>
      </c>
      <c r="B112" t="str">
        <f>_xll.BDP("3096 HK Equity","LONG_COMP_NAME")</f>
        <v>CSOP US Dollar Money Market ETF</v>
      </c>
      <c r="C112">
        <f>_xll.BDP("3096 HK Equity","PX385","PX395=FUND_FLOW","DY262=D","PY204=N","PX391=20260622","PX392=20260626","DS004=USD")</f>
        <v>0</v>
      </c>
      <c r="D112">
        <f>_xll.BDP("3096 HK Equity","PX388","PX395=TURNOVER","DY262=D","PY204=N","PX391=20260601","PX392=20260626","DS004=HKD")</f>
        <v>911541.42105263146</v>
      </c>
      <c r="E112">
        <f>_xll.BDP("3096 HK Equity","PX388","PX395=TURNOVER","DY262=D","PY204=N","PX391=20250101","PX392=20251231","DS004=HKD")</f>
        <v>2768839.0895734602</v>
      </c>
      <c r="F112">
        <f>_xll.BDP("3096 HK Equity","PX596","PX395=FUND_TOTAL_ASSETS","DY262=D","PY204=N","PX391=20260626","PX392=20260626","DS004=USD")</f>
        <v>806.83353865999993</v>
      </c>
      <c r="G112">
        <f>_xll.BDP("3096 HK Equity","PX388","PX395=CUR_MKT_CAP","DY262=D","PY204=N","PX391=20260626","PX392=20260626","DS004=HKD")</f>
        <v>1143.3522</v>
      </c>
      <c r="H112" t="str">
        <f>_xll.BDP("3096 HK Equity","FUND_LEVERAGE_TYPE")</f>
        <v>#N/A N/A</v>
      </c>
      <c r="I112">
        <f>_xll.BDP("3096 HK Equity","PX388","PX395=TURNOVER","DY262=D","PY204=N","PX391=20260101","PX392=20260131","DS004=HKD")</f>
        <v>4053378.1249999986</v>
      </c>
      <c r="J112">
        <v>-1</v>
      </c>
      <c r="K112" t="str">
        <f>_xll.BDP("3096 HK Equity","FUND_INCEPT_DT")</f>
        <v>1/25/2019</v>
      </c>
      <c r="L112" t="str">
        <f>_xll.BDP("3096 HK Equity","PX388","PX395=TURNOVER_EXCH_RATIO","DY262=D","PY204=N","PX391=20251201","PX392=20251210")</f>
        <v>#N/A N/A</v>
      </c>
      <c r="M112">
        <f>_xll.BDP("3096 HK Equity","EQY_SH_OUT")</f>
        <v>1.18605</v>
      </c>
      <c r="N112">
        <f>_xll.BDP("3096 HK Equity","EQY_TRR_PCT_YTD")</f>
        <v>2.515911</v>
      </c>
      <c r="O112">
        <f>_xll.BDP("3096 HK Equity","CHG_PCT_YTD")</f>
        <v>2.739506</v>
      </c>
      <c r="P112">
        <f>_xll.BDP("3096 HK Equity","CHG_PCT_1M")</f>
        <v>0.28557949999999999</v>
      </c>
      <c r="Q112" t="str">
        <f>_xll.BDP("3096 HK Equity","LISTING_DATE")</f>
        <v>1/25/2019</v>
      </c>
      <c r="R112" t="str">
        <f>_xll.BDP("3096 HK Equity","FUND_INCEPT_DT")</f>
        <v>1/25/2019</v>
      </c>
      <c r="S112">
        <f>_xll.BDP("3096 HK Equity","AVG_DAILY_VALUE_TRADED_3M")</f>
        <v>1239375</v>
      </c>
      <c r="T112" t="str">
        <f>_xll.BDP("3096 HK Equity","PX596","PX395=HISTORICAL_MARKET_CAP","DY262=D","PY204=N","PX391=20231231","PX392=20231231","DS004=HKD")</f>
        <v>#N/A N/A</v>
      </c>
      <c r="U112">
        <f>_xll.BDP("3096 HK Equity","PX385","PX395=FUND_FLOW","DY262=D","PY204=N","PX391=20240102","PX392=20240930","DS004=HKD")</f>
        <v>212.13964207000001</v>
      </c>
      <c r="V112">
        <f>_xll.BDP("3096 HK Equity","PX596","PX395=CUR_MKT_CAP","DY262=D","PY204=N","PX391=20240101","DS004=HKD")</f>
        <v>1420.3114475</v>
      </c>
      <c r="W112" t="str">
        <f>_xll.BDP("3096 HK Equity","FUND_INCEPT_DT")</f>
        <v>1/25/2019</v>
      </c>
      <c r="X112">
        <f>_xll.BDP("3096 HK Equity","PX388","PX395=TURNOVER","DY262=D","PY204=N","PX391=20240502","PX392=20240606","DS004=HKD")</f>
        <v>841244.40208333312</v>
      </c>
      <c r="Y112" t="str">
        <f>_xll.BDP("3096 HK Equity","PARENT_COMP_NAME")</f>
        <v>CSOP Asset Management Ltd/Hong</v>
      </c>
      <c r="Z112" t="str">
        <f>_xll.BDP("3096 HK Equity","NAV_CRNCY")</f>
        <v>HKD</v>
      </c>
      <c r="AA112" t="str">
        <f>_xll.BDP("3096 HK Equity","FUND_GEO_FOCUS")</f>
        <v>Global</v>
      </c>
      <c r="AB112" t="str">
        <f>_xll.BDP("3096 HK Equity","FUND_ASSET_CLASS_FOCUS")</f>
        <v>Money Market</v>
      </c>
      <c r="AC112">
        <f>_xll.BDP("3096 HK Equity","PX_LAST")</f>
        <v>965.7</v>
      </c>
      <c r="AD112">
        <f>_xll.BDP("3096 HK Equity","PX388","PX395=TIME_WAVG_BID_ASK_SPREAD_PCT","DY262=D","PY204=N","PX391=20260601","PX392=20260626")</f>
        <v>0.1831464014191484</v>
      </c>
      <c r="AE112">
        <f>_xll.BDP("3096 HK Equity","PX388","PX395=AVERAGE_BID_ASK_SPREAD_%","DY262=D","PY204=N","PX391=20260601","PX392=20260626")</f>
        <v>0.20831440319032399</v>
      </c>
    </row>
    <row r="113" spans="1:31" x14ac:dyDescent="0.25">
      <c r="A113" t="s">
        <v>138</v>
      </c>
      <c r="B113" t="str">
        <f>_xll.BDP("3097 HK Equity","LONG_COMP_NAME")</f>
        <v>Global X S&amp;P Crude Oil Fut</v>
      </c>
      <c r="C113">
        <f>_xll.BDP("3097 HK Equity","PX385","PX395=FUND_FLOW","DY262=D","PY204=N","PX391=20260622","PX392=20260626","DS004=USD")</f>
        <v>0</v>
      </c>
      <c r="D113">
        <f>_xll.BDP("3097 HK Equity","PX388","PX395=TURNOVER","DY262=D","PY204=N","PX391=20260601","PX392=20260626","DS004=HKD")</f>
        <v>3668810.3157894737</v>
      </c>
      <c r="E113">
        <f>_xll.BDP("3097 HK Equity","PX388","PX395=TURNOVER","DY262=D","PY204=N","PX391=20250101","PX392=20251231","DS004=HKD")</f>
        <v>301168.08779342717</v>
      </c>
      <c r="F113">
        <f>_xll.BDP("3097 HK Equity","PX596","PX395=FUND_TOTAL_ASSETS","DY262=D","PY204=N","PX391=20260626","PX392=20260626","DS004=USD")</f>
        <v>12.04537273816962</v>
      </c>
      <c r="G113">
        <f>_xll.BDP("3097 HK Equity","PX388","PX395=CUR_MKT_CAP","DY262=D","PY204=N","PX391=20260626","PX392=20260626","DS004=HKD")</f>
        <v>95.425000000000011</v>
      </c>
      <c r="H113" t="str">
        <f>_xll.BDP("3097 HK Equity","FUND_LEVERAGE_TYPE")</f>
        <v>#N/A N/A</v>
      </c>
      <c r="I113">
        <f>_xll.BDP("3097 HK Equity","PX388","PX395=TURNOVER","DY262=D","PY204=N","PX391=20260101","PX392=20260131","DS004=HKD")</f>
        <v>626972.05000000005</v>
      </c>
      <c r="J113">
        <v>-1</v>
      </c>
      <c r="K113" t="str">
        <f>_xll.BDP("3097 HK Equity","FUND_INCEPT_DT")</f>
        <v>6/16/2016</v>
      </c>
      <c r="L113" t="str">
        <f>_xll.BDP("3097 HK Equity","PX388","PX395=TURNOVER_EXCH_RATIO","DY262=D","PY204=N","PX391=20251201","PX392=20251210")</f>
        <v>#N/A N/A</v>
      </c>
      <c r="M113">
        <f>_xll.BDP("3097 HK Equity","EQY_SH_OUT")</f>
        <v>13.75</v>
      </c>
      <c r="N113">
        <f>_xll.BDP("3097 HK Equity","EQY_TRR_PCT_YTD")</f>
        <v>55.730159999999998</v>
      </c>
      <c r="O113">
        <f>_xll.BDP("3097 HK Equity","CHG_PCT_YTD")</f>
        <v>49.394190000000002</v>
      </c>
      <c r="P113">
        <f>_xll.BDP("3097 HK Equity","CHG_PCT_1M")</f>
        <v>-18.86017</v>
      </c>
      <c r="Q113" t="str">
        <f>_xll.BDP("3097 HK Equity","LISTING_DATE")</f>
        <v>6/16/2016</v>
      </c>
      <c r="R113" t="str">
        <f>_xll.BDP("3097 HK Equity","FUND_INCEPT_DT")</f>
        <v>6/16/2016</v>
      </c>
      <c r="S113">
        <f>_xll.BDP("3097 HK Equity","AVG_DAILY_VALUE_TRADED_3M")</f>
        <v>9180622</v>
      </c>
      <c r="T113" t="str">
        <f>_xll.BDP("3097 HK Equity","PX596","PX395=HISTORICAL_MARKET_CAP","DY262=D","PY204=N","PX391=20231231","PX392=20231231","DS004=HKD")</f>
        <v>#N/A N/A</v>
      </c>
      <c r="U113">
        <f>_xll.BDP("3097 HK Equity","PX385","PX395=FUND_FLOW","DY262=D","PY204=N","PX391=20240102","PX392=20240930","DS004=HKD")</f>
        <v>-5.7349999999999994</v>
      </c>
      <c r="V113">
        <f>_xll.BDP("3097 HK Equity","PX596","PX395=CUR_MKT_CAP","DY262=D","PY204=N","PX391=20240101","DS004=HKD")</f>
        <v>26.576499999999999</v>
      </c>
      <c r="W113" t="str">
        <f>_xll.BDP("3097 HK Equity","FUND_INCEPT_DT")</f>
        <v>6/16/2016</v>
      </c>
      <c r="X113">
        <f>_xll.BDP("3097 HK Equity","PX388","PX395=TURNOVER","DY262=D","PY204=N","PX391=20240502","PX392=20240606","DS004=HKD")</f>
        <v>231668.05263157893</v>
      </c>
      <c r="Y113" t="str">
        <f>_xll.BDP("3097 HK Equity","PARENT_COMP_NAME")</f>
        <v>Mirae Asset Global Investments</v>
      </c>
      <c r="Z113" t="str">
        <f>_xll.BDP("3097 HK Equity","NAV_CRNCY")</f>
        <v>HKD</v>
      </c>
      <c r="AA113" t="str">
        <f>_xll.BDP("3097 HK Equity","FUND_GEO_FOCUS")</f>
        <v>Global</v>
      </c>
      <c r="AB113" t="str">
        <f>_xll.BDP("3097 HK Equity","FUND_ASSET_CLASS_FOCUS")</f>
        <v>Commodity</v>
      </c>
      <c r="AC113">
        <f>_xll.BDP("3097 HK Equity","PX_LAST")</f>
        <v>6.9050000000000002</v>
      </c>
      <c r="AD113">
        <f>_xll.BDP("3097 HK Equity","PX388","PX395=TIME_WAVG_BID_ASK_SPREAD_PCT","DY262=D","PY204=N","PX391=20260601","PX392=20260626")</f>
        <v>0.18917321377929691</v>
      </c>
      <c r="AE113">
        <f>_xll.BDP("3097 HK Equity","PX388","PX395=AVERAGE_BID_ASK_SPREAD_%","DY262=D","PY204=N","PX391=20260601","PX392=20260626")</f>
        <v>0.20724971974981604</v>
      </c>
    </row>
    <row r="114" spans="1:31" x14ac:dyDescent="0.25">
      <c r="A114" t="s">
        <v>139</v>
      </c>
      <c r="B114" t="str">
        <f>_xll.BDP("3101 HK Equity","LONG_COMP_NAME")</f>
        <v>CSOP Huatai-PB CSI A500 ETF</v>
      </c>
      <c r="C114">
        <f>_xll.BDP("3101 HK Equity","PX385","PX395=FUND_FLOW","DY262=D","PY204=N","PX391=20260622","PX392=20260626","DS004=USD")</f>
        <v>0</v>
      </c>
      <c r="D114">
        <f>_xll.BDP("3101 HK Equity","PX388","PX395=TURNOVER","DY262=D","PY204=N","PX391=20260601","PX392=20260626","DS004=HKD")</f>
        <v>490562.12500000006</v>
      </c>
      <c r="E114" t="str">
        <f>_xll.BDP("3101 HK Equity","PX388","PX395=TURNOVER","DY262=D","PY204=N","PX391=20250101","PX392=20251231","DS004=HKD")</f>
        <v>#N/A N/A</v>
      </c>
      <c r="F114">
        <f>_xll.BDP("3101 HK Equity","PX596","PX395=FUND_TOTAL_ASSETS","DY262=D","PY204=N","PX391=20260626","PX392=20260626","DS004=USD")</f>
        <v>9.3040655856571348</v>
      </c>
      <c r="G114">
        <f>_xll.BDP("3101 HK Equity","PX388","PX395=CUR_MKT_CAP","DY262=D","PY204=N","PX391=20260626","PX392=20260626","DS004=HKD")</f>
        <v>72.540999999999997</v>
      </c>
      <c r="H114" t="str">
        <f>_xll.BDP("3101 HK Equity","FUND_LEVERAGE_TYPE")</f>
        <v>#N/A N/A</v>
      </c>
      <c r="I114">
        <f>_xll.BDP("3101 HK Equity","PX388","PX395=TURNOVER","DY262=D","PY204=N","PX391=20260101","PX392=20260131","DS004=HKD")</f>
        <v>1898882</v>
      </c>
      <c r="J114">
        <v>-1</v>
      </c>
      <c r="K114" t="str">
        <f>_xll.BDP("3101 HK Equity","FUND_INCEPT_DT")</f>
        <v>1/28/2026</v>
      </c>
      <c r="L114" t="str">
        <f>_xll.BDP("3101 HK Equity","PX388","PX395=TURNOVER_EXCH_RATIO","DY262=D","PY204=N","PX391=20251201","PX392=20251210")</f>
        <v>#N/A N/A</v>
      </c>
      <c r="M114">
        <f>_xll.BDP("3101 HK Equity","EQY_SH_OUT")</f>
        <v>8.6</v>
      </c>
      <c r="N114" t="str">
        <f>_xll.BDP("3101 HK Equity","EQY_TRR_PCT_YTD")</f>
        <v>#N/A N/A</v>
      </c>
      <c r="O114" t="str">
        <f>_xll.BDP("3101 HK Equity","CHG_PCT_YTD")</f>
        <v>#N/A N/A</v>
      </c>
      <c r="P114">
        <f>_xll.BDP("3101 HK Equity","CHG_PCT_1M")</f>
        <v>1.1289370000000001</v>
      </c>
      <c r="Q114" t="str">
        <f>_xll.BDP("3101 HK Equity","LISTING_DATE")</f>
        <v>1/28/2026</v>
      </c>
      <c r="R114" t="str">
        <f>_xll.BDP("3101 HK Equity","FUND_INCEPT_DT")</f>
        <v>1/28/2026</v>
      </c>
      <c r="S114">
        <f>_xll.BDP("3101 HK Equity","AVG_DAILY_VALUE_TRADED_3M")</f>
        <v>250578.9</v>
      </c>
      <c r="T114" t="str">
        <f>_xll.BDP("3101 HK Equity","PX596","PX395=HISTORICAL_MARKET_CAP","DY262=D","PY204=N","PX391=20231231","PX392=20231231","DS004=HKD")</f>
        <v>#N/A N/A</v>
      </c>
      <c r="U114" t="str">
        <f>_xll.BDP("3101 HK Equity","PX385","PX395=FUND_FLOW","DY262=D","PY204=N","PX391=20240102","PX392=20240930","DS004=HKD")</f>
        <v>#N/A N/A</v>
      </c>
      <c r="V114" t="str">
        <f>_xll.BDP("3101 HK Equity","PX596","PX395=CUR_MKT_CAP","DY262=D","PY204=N","PX391=20240101","DS004=HKD")</f>
        <v>#N/A N/A</v>
      </c>
      <c r="W114" t="str">
        <f>_xll.BDP("3101 HK Equity","FUND_INCEPT_DT")</f>
        <v>1/28/2026</v>
      </c>
      <c r="X114" t="str">
        <f>_xll.BDP("3101 HK Equity","PX388","PX395=TURNOVER","DY262=D","PY204=N","PX391=20240502","PX392=20240606","DS004=HKD")</f>
        <v>#N/A N/A</v>
      </c>
      <c r="Y114" t="str">
        <f>_xll.BDP("3101 HK Equity","PARENT_COMP_NAME")</f>
        <v>CSOP Asset Management Ltd/Hong</v>
      </c>
      <c r="Z114" t="str">
        <f>_xll.BDP("3101 HK Equity","NAV_CRNCY")</f>
        <v>CNY</v>
      </c>
      <c r="AA114" t="str">
        <f>_xll.BDP("3101 HK Equity","FUND_GEO_FOCUS")</f>
        <v>China</v>
      </c>
      <c r="AB114" t="str">
        <f>_xll.BDP("3101 HK Equity","FUND_ASSET_CLASS_FOCUS")</f>
        <v>Equity</v>
      </c>
      <c r="AC114">
        <f>_xll.BDP("3101 HK Equity","PX_LAST")</f>
        <v>8.51</v>
      </c>
      <c r="AD114">
        <f>_xll.BDP("3101 HK Equity","PX388","PX395=TIME_WAVG_BID_ASK_SPREAD_PCT","DY262=D","PY204=N","PX391=20260601","PX392=20260626")</f>
        <v>0.38870775983109573</v>
      </c>
      <c r="AE114">
        <f>_xll.BDP("3101 HK Equity","PX388","PX395=AVERAGE_BID_ASK_SPREAD_%","DY262=D","PY204=N","PX391=20260601","PX392=20260626")</f>
        <v>0.41083894203622073</v>
      </c>
    </row>
    <row r="115" spans="1:31" x14ac:dyDescent="0.25">
      <c r="A115" t="s">
        <v>140</v>
      </c>
      <c r="B115" t="str">
        <f>_xll.BDP("3102 HK Equity","LONG_COMP_NAME")</f>
        <v>ICBC UBS KRANESHARES KWEB CSI CHINA INTERNET ETF</v>
      </c>
      <c r="C115">
        <f>_xll.BDP("3102 HK Equity","PX385","PX395=FUND_FLOW","DY262=D","PY204=N","PX391=20260622","PX392=20260626","DS004=USD")</f>
        <v>0</v>
      </c>
      <c r="D115">
        <f>_xll.BDP("3102 HK Equity","PX388","PX395=TURNOVER","DY262=D","PY204=N","PX391=20260601","PX392=20260626","DS004=HKD")</f>
        <v>191990.39999999997</v>
      </c>
      <c r="E115">
        <f>_xll.BDP("3102 HK Equity","PX388","PX395=TURNOVER","DY262=D","PY204=N","PX391=20250101","PX392=20251231","DS004=HKD")</f>
        <v>8761.4285714285725</v>
      </c>
      <c r="F115">
        <f>_xll.BDP("3102 HK Equity","PX596","PX395=FUND_TOTAL_ASSETS","DY262=D","PY204=N","PX391=20260626","PX392=20260626","DS004=USD")</f>
        <v>6.8946430599999999</v>
      </c>
      <c r="G115">
        <f>_xll.BDP("3102 HK Equity","PX388","PX395=CUR_MKT_CAP","DY262=D","PY204=N","PX391=20260626","PX392=20260626","DS004=HKD")</f>
        <v>53.709999999999994</v>
      </c>
      <c r="H115" t="str">
        <f>_xll.BDP("3102 HK Equity","FUND_LEVERAGE_TYPE")</f>
        <v>#N/A N/A</v>
      </c>
      <c r="I115">
        <f>_xll.BDP("3102 HK Equity","PX388","PX395=TURNOVER","DY262=D","PY204=N","PX391=20260101","PX392=20260131","DS004=HKD")</f>
        <v>20390</v>
      </c>
      <c r="J115">
        <v>-1</v>
      </c>
      <c r="K115" t="str">
        <f>_xll.BDP("3102 HK Equity","FUND_INCEPT_DT")</f>
        <v>12/11/2025</v>
      </c>
      <c r="L115" t="str">
        <f>_xll.BDP("3102 HK Equity","PX388","PX395=TURNOVER_EXCH_RATIO","DY262=D","PY204=N","PX391=20251201","PX392=20251210")</f>
        <v>#N/A N/A</v>
      </c>
      <c r="M115">
        <f>_xll.BDP("3102 HK Equity","EQY_SH_OUT")</f>
        <v>2.0499999999999998</v>
      </c>
      <c r="N115">
        <f>_xll.BDP("3102 HK Equity","EQY_TRR_PCT_YTD")</f>
        <v>-29.9818</v>
      </c>
      <c r="O115">
        <f>_xll.BDP("3102 HK Equity","CHG_PCT_YTD")</f>
        <v>-28.968050000000002</v>
      </c>
      <c r="P115">
        <f>_xll.BDP("3102 HK Equity","CHG_PCT_1M")</f>
        <v>-8.9321710000000003</v>
      </c>
      <c r="Q115" t="str">
        <f>_xll.BDP("3102 HK Equity","LISTING_DATE")</f>
        <v>12/11/2025</v>
      </c>
      <c r="R115" t="str">
        <f>_xll.BDP("3102 HK Equity","FUND_INCEPT_DT")</f>
        <v>12/11/2025</v>
      </c>
      <c r="S115">
        <f>_xll.BDP("3102 HK Equity","AVG_DAILY_VALUE_TRADED_3M")</f>
        <v>162299.1</v>
      </c>
      <c r="T115" t="str">
        <f>_xll.BDP("3102 HK Equity","PX596","PX395=HISTORICAL_MARKET_CAP","DY262=D","PY204=N","PX391=20231231","PX392=20231231","DS004=HKD")</f>
        <v>#N/A N/A</v>
      </c>
      <c r="U115" t="str">
        <f>_xll.BDP("3102 HK Equity","PX385","PX395=FUND_FLOW","DY262=D","PY204=N","PX391=20240102","PX392=20240930","DS004=HKD")</f>
        <v>#N/A N/A</v>
      </c>
      <c r="V115">
        <f>_xll.BDP("3102 HK Equity","PX596","PX395=CUR_MKT_CAP","DY262=D","PY204=N","PX391=20240101","DS004=HKD")</f>
        <v>76.36</v>
      </c>
      <c r="W115" t="str">
        <f>_xll.BDP("3102 HK Equity","FUND_INCEPT_DT")</f>
        <v>12/11/2025</v>
      </c>
      <c r="X115" t="str">
        <f>_xll.BDP("3102 HK Equity","PX388","PX395=TURNOVER","DY262=D","PY204=N","PX391=20240502","PX392=20240606","DS004=HKD")</f>
        <v>#N/A N/A</v>
      </c>
      <c r="Y115" t="str">
        <f>_xll.BDP("3102 HK Equity","PARENT_COMP_NAME")</f>
        <v>ICBC Credit Suisse Asset Manag</v>
      </c>
      <c r="Z115" t="str">
        <f>_xll.BDP("3102 HK Equity","NAV_CRNCY")</f>
        <v>HKD</v>
      </c>
      <c r="AA115" t="str">
        <f>_xll.BDP("3102 HK Equity","FUND_GEO_FOCUS")</f>
        <v>China</v>
      </c>
      <c r="AB115" t="str">
        <f>_xll.BDP("3102 HK Equity","FUND_ASSET_CLASS_FOCUS")</f>
        <v>Equity</v>
      </c>
      <c r="AC115">
        <f>_xll.BDP("3102 HK Equity","PX_LAST")</f>
        <v>27.12</v>
      </c>
      <c r="AD115">
        <f>_xll.BDP("3102 HK Equity","PX388","PX395=TIME_WAVG_BID_ASK_SPREAD_PCT","DY262=D","PY204=N","PX391=20260601","PX392=20260626")</f>
        <v>0.48984794676543669</v>
      </c>
      <c r="AE115">
        <f>_xll.BDP("3102 HK Equity","PX388","PX395=AVERAGE_BID_ASK_SPREAD_%","DY262=D","PY204=N","PX391=20260601","PX392=20260626")</f>
        <v>0.59046603391445251</v>
      </c>
    </row>
    <row r="116" spans="1:31" x14ac:dyDescent="0.25">
      <c r="A116" t="s">
        <v>141</v>
      </c>
      <c r="B116" t="str">
        <f>_xll.BDP("3108 HK Equity","LONG_COMP_NAME")</f>
        <v>Harvest CSI 300 ESG Leaders Index ETF</v>
      </c>
      <c r="C116">
        <f>_xll.BDP("3108 HK Equity","PX385","PX395=FUND_FLOW","DY262=D","PY204=N","PX391=20260622","PX392=20260626","DS004=USD")</f>
        <v>0</v>
      </c>
      <c r="D116">
        <f>_xll.BDP("3108 HK Equity","PX388","PX395=TURNOVER","DY262=D","PY204=N","PX391=20260601","PX392=20260626","DS004=HKD")</f>
        <v>973351.7333333334</v>
      </c>
      <c r="E116">
        <f>_xll.BDP("3108 HK Equity","PX388","PX395=TURNOVER","DY262=D","PY204=N","PX391=20250101","PX392=20251231","DS004=HKD")</f>
        <v>346681.17573529424</v>
      </c>
      <c r="F116">
        <f>_xll.BDP("3108 HK Equity","PX596","PX395=FUND_TOTAL_ASSETS","DY262=D","PY204=N","PX391=20260626","PX392=20260626","DS004=USD")</f>
        <v>8.2935412445581829</v>
      </c>
      <c r="G116">
        <f>_xll.BDP("3108 HK Equity","PX388","PX395=CUR_MKT_CAP","DY262=D","PY204=N","PX391=20260626","PX392=20260626","DS004=HKD")</f>
        <v>64.92</v>
      </c>
      <c r="H116" t="str">
        <f>_xll.BDP("3108 HK Equity","FUND_LEVERAGE_TYPE")</f>
        <v>#N/A N/A</v>
      </c>
      <c r="I116">
        <f>_xll.BDP("3108 HK Equity","PX388","PX395=TURNOVER","DY262=D","PY204=N","PX391=20260101","PX392=20260131","DS004=HKD")</f>
        <v>439723.33333333337</v>
      </c>
      <c r="J116">
        <v>-1</v>
      </c>
      <c r="K116" t="str">
        <f>_xll.BDP("3108 HK Equity","FUND_INCEPT_DT")</f>
        <v>3/10/2021</v>
      </c>
      <c r="L116" t="str">
        <f>_xll.BDP("3108 HK Equity","PX388","PX395=TURNOVER_EXCH_RATIO","DY262=D","PY204=N","PX391=20251201","PX392=20251210")</f>
        <v>#N/A N/A</v>
      </c>
      <c r="M116">
        <f>_xll.BDP("3108 HK Equity","EQY_SH_OUT")</f>
        <v>6</v>
      </c>
      <c r="N116">
        <f>_xll.BDP("3108 HK Equity","EQY_TRR_PCT_YTD")</f>
        <v>3.6458279999999998</v>
      </c>
      <c r="O116">
        <f>_xll.BDP("3108 HK Equity","CHG_PCT_YTD")</f>
        <v>5.1674660000000001</v>
      </c>
      <c r="P116">
        <f>_xll.BDP("3108 HK Equity","CHG_PCT_1M")</f>
        <v>-0.18165510000000001</v>
      </c>
      <c r="Q116" t="str">
        <f>_xll.BDP("3108 HK Equity","LISTING_DATE")</f>
        <v>3/10/2021</v>
      </c>
      <c r="R116" t="str">
        <f>_xll.BDP("3108 HK Equity","FUND_INCEPT_DT")</f>
        <v>3/10/2021</v>
      </c>
      <c r="S116">
        <f>_xll.BDP("3108 HK Equity","AVG_DAILY_VALUE_TRADED_3M")</f>
        <v>771886.5</v>
      </c>
      <c r="T116" t="str">
        <f>_xll.BDP("3108 HK Equity","PX596","PX395=HISTORICAL_MARKET_CAP","DY262=D","PY204=N","PX391=20231231","PX392=20231231","DS004=HKD")</f>
        <v>#N/A N/A</v>
      </c>
      <c r="U116">
        <f>_xll.BDP("3108 HK Equity","PX385","PX395=FUND_FLOW","DY262=D","PY204=N","PX391=20240102","PX392=20240930","DS004=HKD")</f>
        <v>-4.3856399999999978</v>
      </c>
      <c r="V116">
        <f>_xll.BDP("3108 HK Equity","PX596","PX395=CUR_MKT_CAP","DY262=D","PY204=N","PX391=20240101","DS004=HKD")</f>
        <v>62.699999999999996</v>
      </c>
      <c r="W116" t="str">
        <f>_xll.BDP("3108 HK Equity","FUND_INCEPT_DT")</f>
        <v>3/10/2021</v>
      </c>
      <c r="X116">
        <f>_xll.BDP("3108 HK Equity","PX388","PX395=TURNOVER","DY262=D","PY204=N","PX391=20240502","PX392=20240606","DS004=HKD")</f>
        <v>700012</v>
      </c>
      <c r="Y116" t="str">
        <f>_xll.BDP("3108 HK Equity","PARENT_COMP_NAME")</f>
        <v>Harvest Global Investments Ltd</v>
      </c>
      <c r="Z116" t="str">
        <f>_xll.BDP("3108 HK Equity","NAV_CRNCY")</f>
        <v>HKD</v>
      </c>
      <c r="AA116" t="str">
        <f>_xll.BDP("3108 HK Equity","FUND_GEO_FOCUS")</f>
        <v>China</v>
      </c>
      <c r="AB116" t="str">
        <f>_xll.BDP("3108 HK Equity","FUND_ASSET_CLASS_FOCUS")</f>
        <v>Equity</v>
      </c>
      <c r="AC116">
        <f>_xll.BDP("3108 HK Equity","PX_LAST")</f>
        <v>10.99</v>
      </c>
      <c r="AD116">
        <f>_xll.BDP("3108 HK Equity","PX388","PX395=TIME_WAVG_BID_ASK_SPREAD_PCT","DY262=D","PY204=N","PX391=20260601","PX392=20260626")</f>
        <v>0.35432345308928465</v>
      </c>
      <c r="AE116">
        <f>_xll.BDP("3108 HK Equity","PX388","PX395=AVERAGE_BID_ASK_SPREAD_%","DY262=D","PY204=N","PX391=20260601","PX392=20260626")</f>
        <v>0.38231056173706912</v>
      </c>
    </row>
    <row r="117" spans="1:31" x14ac:dyDescent="0.25">
      <c r="A117" t="s">
        <v>142</v>
      </c>
      <c r="B117" t="str">
        <f>_xll.BDP("3111 HK Equity","LONG_COMP_NAME")</f>
        <v>E Fund ETFs Trust - E Fund HK MSCI China A50 Connect ETF</v>
      </c>
      <c r="C117">
        <f>_xll.BDP("3111 HK Equity","PX385","PX395=FUND_FLOW","DY262=D","PY204=N","PX391=20260622","PX392=20260626","DS004=USD")</f>
        <v>0</v>
      </c>
      <c r="D117">
        <f>_xll.BDP("3111 HK Equity","PX388","PX395=TURNOVER","DY262=D","PY204=N","PX391=20260601","PX392=20260626","DS004=HKD")</f>
        <v>1311697.5684210525</v>
      </c>
      <c r="E117">
        <f>_xll.BDP("3111 HK Equity","PX388","PX395=TURNOVER","DY262=D","PY204=N","PX391=20250101","PX392=20251231","DS004=HKD")</f>
        <v>414785.96514522802</v>
      </c>
      <c r="F117">
        <f>_xll.BDP("3111 HK Equity","PX596","PX395=FUND_TOTAL_ASSETS","DY262=D","PY204=N","PX391=20260626","PX392=20260626","DS004=USD")</f>
        <v>9.2147124323449816</v>
      </c>
      <c r="G117">
        <f>_xll.BDP("3111 HK Equity","PX388","PX395=CUR_MKT_CAP","DY262=D","PY204=N","PX391=20260626","PX392=20260626","DS004=HKD")</f>
        <v>71.983999999999995</v>
      </c>
      <c r="H117" t="str">
        <f>_xll.BDP("3111 HK Equity","FUND_LEVERAGE_TYPE")</f>
        <v>#N/A N/A</v>
      </c>
      <c r="I117">
        <f>_xll.BDP("3111 HK Equity","PX388","PX395=TURNOVER","DY262=D","PY204=N","PX391=20260101","PX392=20260131","DS004=HKD")</f>
        <v>949525.876190476</v>
      </c>
      <c r="J117">
        <v>-1</v>
      </c>
      <c r="K117" t="str">
        <f>_xll.BDP("3111 HK Equity","FUND_INCEPT_DT")</f>
        <v>12/14/2021</v>
      </c>
      <c r="L117" t="str">
        <f>_xll.BDP("3111 HK Equity","PX388","PX395=TURNOVER_EXCH_RATIO","DY262=D","PY204=N","PX391=20251201","PX392=20251210")</f>
        <v>#N/A N/A</v>
      </c>
      <c r="M117">
        <f>_xll.BDP("3111 HK Equity","EQY_SH_OUT")</f>
        <v>22</v>
      </c>
      <c r="N117">
        <f>_xll.BDP("3111 HK Equity","EQY_TRR_PCT_YTD")</f>
        <v>9.2804099999999998</v>
      </c>
      <c r="O117">
        <f>_xll.BDP("3111 HK Equity","CHG_PCT_YTD")</f>
        <v>11.22245</v>
      </c>
      <c r="P117">
        <f>_xll.BDP("3111 HK Equity","CHG_PCT_1M")</f>
        <v>-1.1282669999999999</v>
      </c>
      <c r="Q117" t="str">
        <f>_xll.BDP("3111 HK Equity","LISTING_DATE")</f>
        <v>12/14/2021</v>
      </c>
      <c r="R117" t="str">
        <f>_xll.BDP("3111 HK Equity","FUND_INCEPT_DT")</f>
        <v>12/14/2021</v>
      </c>
      <c r="S117">
        <f>_xll.BDP("3111 HK Equity","AVG_DAILY_VALUE_TRADED_3M")</f>
        <v>988478.5</v>
      </c>
      <c r="T117" t="str">
        <f>_xll.BDP("3111 HK Equity","PX596","PX395=HISTORICAL_MARKET_CAP","DY262=D","PY204=N","PX391=20231231","PX392=20231231","DS004=HKD")</f>
        <v>#N/A N/A</v>
      </c>
      <c r="U117">
        <f>_xll.BDP("3111 HK Equity","PX385","PX395=FUND_FLOW","DY262=D","PY204=N","PX391=20240102","PX392=20240930","DS004=HKD")</f>
        <v>-75.585399999999993</v>
      </c>
      <c r="V117">
        <f>_xll.BDP("3111 HK Equity","PX596","PX395=CUR_MKT_CAP","DY262=D","PY204=N","PX391=20240101","DS004=HKD")</f>
        <v>62.874000000000002</v>
      </c>
      <c r="W117" t="str">
        <f>_xll.BDP("3111 HK Equity","FUND_INCEPT_DT")</f>
        <v>12/14/2021</v>
      </c>
      <c r="X117">
        <f>_xll.BDP("3111 HK Equity","PX388","PX395=TURNOVER","DY262=D","PY204=N","PX391=20240502","PX392=20240606","DS004=HKD")</f>
        <v>1130507.8159999999</v>
      </c>
      <c r="Y117" t="str">
        <f>_xll.BDP("3111 HK Equity","PARENT_COMP_NAME")</f>
        <v>E Fund Management Hong Kong Co</v>
      </c>
      <c r="Z117" t="str">
        <f>_xll.BDP("3111 HK Equity","NAV_CRNCY")</f>
        <v>HKD</v>
      </c>
      <c r="AA117" t="str">
        <f>_xll.BDP("3111 HK Equity","FUND_GEO_FOCUS")</f>
        <v>China</v>
      </c>
      <c r="AB117" t="str">
        <f>_xll.BDP("3111 HK Equity","FUND_ASSET_CLASS_FOCUS")</f>
        <v>Equity</v>
      </c>
      <c r="AC117">
        <f>_xll.BDP("3111 HK Equity","PX_LAST")</f>
        <v>3.33</v>
      </c>
      <c r="AD117">
        <f>_xll.BDP("3111 HK Equity","PX388","PX395=TIME_WAVG_BID_ASK_SPREAD_PCT","DY262=D","PY204=N","PX391=20260601","PX392=20260626")</f>
        <v>0.20036533338034332</v>
      </c>
      <c r="AE117">
        <f>_xll.BDP("3111 HK Equity","PX388","PX395=AVERAGE_BID_ASK_SPREAD_%","DY262=D","PY204=N","PX391=20260601","PX392=20260626")</f>
        <v>0.23493435698499951</v>
      </c>
    </row>
    <row r="118" spans="1:31" x14ac:dyDescent="0.25">
      <c r="A118" t="s">
        <v>143</v>
      </c>
      <c r="B118" t="str">
        <f>_xll.BDP("3112 HK Equity","LONG_COMP_NAME")</f>
        <v>Pando Blockchain ETF</v>
      </c>
      <c r="C118">
        <f>_xll.BDP("3112 HK Equity","PX385","PX395=FUND_FLOW","DY262=D","PY204=N","PX391=20260622","PX392=20260626","DS004=USD")</f>
        <v>0</v>
      </c>
      <c r="D118">
        <f>_xll.BDP("3112 HK Equity","PX388","PX395=TURNOVER","DY262=D","PY204=N","PX391=20260601","PX392=20260626","DS004=HKD")</f>
        <v>581055.79473684204</v>
      </c>
      <c r="E118">
        <f>_xll.BDP("3112 HK Equity","PX388","PX395=TURNOVER","DY262=D","PY204=N","PX391=20250101","PX392=20251231","DS004=HKD")</f>
        <v>354317.71829268301</v>
      </c>
      <c r="F118">
        <f>_xll.BDP("3112 HK Equity","PX596","PX395=FUND_TOTAL_ASSETS","DY262=D","PY204=N","PX391=20260626","PX392=20260626","DS004=USD")</f>
        <v>21.528710101354545</v>
      </c>
      <c r="G118">
        <f>_xll.BDP("3112 HK Equity","PX388","PX395=CUR_MKT_CAP","DY262=D","PY204=N","PX391=20260626","PX392=20260626","DS004=HKD")</f>
        <v>165.12</v>
      </c>
      <c r="H118" t="str">
        <f>_xll.BDP("3112 HK Equity","FUND_LEVERAGE_TYPE")</f>
        <v>#N/A N/A</v>
      </c>
      <c r="I118">
        <f>_xll.BDP("3112 HK Equity","PX388","PX395=TURNOVER","DY262=D","PY204=N","PX391=20260101","PX392=20260131","DS004=HKD")</f>
        <v>257626.83333333328</v>
      </c>
      <c r="J118">
        <v>-1</v>
      </c>
      <c r="K118" t="str">
        <f>_xll.BDP("3112 HK Equity","FUND_INCEPT_DT")</f>
        <v>12/8/2022</v>
      </c>
      <c r="L118" t="str">
        <f>_xll.BDP("3112 HK Equity","PX388","PX395=TURNOVER_EXCH_RATIO","DY262=D","PY204=N","PX391=20251201","PX392=20251210")</f>
        <v>#N/A N/A</v>
      </c>
      <c r="M118">
        <f>_xll.BDP("3112 HK Equity","EQY_SH_OUT")</f>
        <v>6</v>
      </c>
      <c r="N118">
        <f>_xll.BDP("3112 HK Equity","EQY_TRR_PCT_YTD")</f>
        <v>24.174769999999999</v>
      </c>
      <c r="O118">
        <f>_xll.BDP("3112 HK Equity","CHG_PCT_YTD")</f>
        <v>23.45786</v>
      </c>
      <c r="P118">
        <f>_xll.BDP("3112 HK Equity","CHG_PCT_1M")</f>
        <v>-7.3663629999999998</v>
      </c>
      <c r="Q118" t="str">
        <f>_xll.BDP("3112 HK Equity","LISTING_DATE")</f>
        <v>12/8/2022</v>
      </c>
      <c r="R118" t="str">
        <f>_xll.BDP("3112 HK Equity","FUND_INCEPT_DT")</f>
        <v>12/8/2022</v>
      </c>
      <c r="S118">
        <f>_xll.BDP("3112 HK Equity","AVG_DAILY_VALUE_TRADED_3M")</f>
        <v>421872.1</v>
      </c>
      <c r="T118" t="str">
        <f>_xll.BDP("3112 HK Equity","PX596","PX395=HISTORICAL_MARKET_CAP","DY262=D","PY204=N","PX391=20231231","PX392=20231231","DS004=HKD")</f>
        <v>#N/A N/A</v>
      </c>
      <c r="U118">
        <f>_xll.BDP("3112 HK Equity","PX385","PX395=FUND_FLOW","DY262=D","PY204=N","PX391=20240102","PX392=20240930","DS004=HKD")</f>
        <v>8.8903050961353021</v>
      </c>
      <c r="V118">
        <f>_xll.BDP("3112 HK Equity","PX596","PX395=CUR_MKT_CAP","DY262=D","PY204=N","PX391=20240101","DS004=HKD")</f>
        <v>133.51599999999999</v>
      </c>
      <c r="W118" t="str">
        <f>_xll.BDP("3112 HK Equity","FUND_INCEPT_DT")</f>
        <v>12/8/2022</v>
      </c>
      <c r="X118">
        <f>_xll.BDP("3112 HK Equity","PX388","PX395=TURNOVER","DY262=D","PY204=N","PX391=20240502","PX392=20240606","DS004=HKD")</f>
        <v>40922.9</v>
      </c>
      <c r="Y118" t="str">
        <f>_xll.BDP("3112 HK Equity","PARENT_COMP_NAME")</f>
        <v>Pando Finance Ltd/HK</v>
      </c>
      <c r="Z118" t="str">
        <f>_xll.BDP("3112 HK Equity","NAV_CRNCY")</f>
        <v>HKD</v>
      </c>
      <c r="AA118" t="str">
        <f>_xll.BDP("3112 HK Equity","FUND_GEO_FOCUS")</f>
        <v>Global</v>
      </c>
      <c r="AB118" t="str">
        <f>_xll.BDP("3112 HK Equity","FUND_ASSET_CLASS_FOCUS")</f>
        <v>Equity</v>
      </c>
      <c r="AC118">
        <f>_xll.BDP("3112 HK Equity","PX_LAST")</f>
        <v>28.42</v>
      </c>
      <c r="AD118">
        <f>_xll.BDP("3112 HK Equity","PX388","PX395=TIME_WAVG_BID_ASK_SPREAD_PCT","DY262=D","PY204=N","PX391=20260601","PX392=20260626")</f>
        <v>0.31232739382669372</v>
      </c>
      <c r="AE118">
        <f>_xll.BDP("3112 HK Equity","PX388","PX395=AVERAGE_BID_ASK_SPREAD_%","DY262=D","PY204=N","PX391=20260601","PX392=20260626")</f>
        <v>0.41132862295725181</v>
      </c>
    </row>
    <row r="119" spans="1:31" x14ac:dyDescent="0.25">
      <c r="A119" t="s">
        <v>144</v>
      </c>
      <c r="B119" t="str">
        <f>_xll.BDP("3116 HK Equity","LONG_COMP_NAME")</f>
        <v>Global X Asia Pacific High Dividend Yield ETF</v>
      </c>
      <c r="C119">
        <f>_xll.BDP("3116 HK Equity","PX385","PX395=FUND_FLOW","DY262=D","PY204=N","PX391=20260622","PX392=20260626","DS004=USD")</f>
        <v>0</v>
      </c>
      <c r="D119">
        <f>_xll.BDP("3116 HK Equity","PX388","PX395=TURNOVER","DY262=D","PY204=N","PX391=20260601","PX392=20260626","DS004=HKD")</f>
        <v>268023.96842105256</v>
      </c>
      <c r="E119">
        <f>_xll.BDP("3116 HK Equity","PX388","PX395=TURNOVER","DY262=D","PY204=N","PX391=20250101","PX392=20251231","DS004=HKD")</f>
        <v>171654.28968609867</v>
      </c>
      <c r="F119">
        <f>_xll.BDP("3116 HK Equity","PX596","PX395=FUND_TOTAL_ASSETS","DY262=D","PY204=N","PX391=20260626","PX392=20260626","DS004=USD")</f>
        <v>5.62</v>
      </c>
      <c r="G119">
        <f>_xll.BDP("3116 HK Equity","PX388","PX395=CUR_MKT_CAP","DY262=D","PY204=N","PX391=20260626","PX392=20260626","DS004=HKD")</f>
        <v>44.676000000000002</v>
      </c>
      <c r="H119" t="str">
        <f>_xll.BDP("3116 HK Equity","FUND_LEVERAGE_TYPE")</f>
        <v>#N/A N/A</v>
      </c>
      <c r="I119">
        <f>_xll.BDP("3116 HK Equity","PX388","PX395=TURNOVER","DY262=D","PY204=N","PX391=20260101","PX392=20260131","DS004=HKD")</f>
        <v>295958.60099999997</v>
      </c>
      <c r="J119">
        <v>-1</v>
      </c>
      <c r="K119" t="str">
        <f>_xll.BDP("3116 HK Equity","FUND_INCEPT_DT")</f>
        <v>7/27/2022</v>
      </c>
      <c r="L119" t="str">
        <f>_xll.BDP("3116 HK Equity","PX388","PX395=TURNOVER_EXCH_RATIO","DY262=D","PY204=N","PX391=20251201","PX392=20251210")</f>
        <v>#N/A N/A</v>
      </c>
      <c r="M119">
        <f>_xll.BDP("3116 HK Equity","EQY_SH_OUT")</f>
        <v>0.44999999999999996</v>
      </c>
      <c r="N119">
        <f>_xll.BDP("3116 HK Equity","EQY_TRR_PCT_YTD")</f>
        <v>11.00357</v>
      </c>
      <c r="O119">
        <f>_xll.BDP("3116 HK Equity","CHG_PCT_YTD")</f>
        <v>10.12209</v>
      </c>
      <c r="P119">
        <f>_xll.BDP("3116 HK Equity","CHG_PCT_1M")</f>
        <v>-4.9616870000000004</v>
      </c>
      <c r="Q119" t="str">
        <f>_xll.BDP("3116 HK Equity","LISTING_DATE")</f>
        <v>7/27/2022</v>
      </c>
      <c r="R119" t="str">
        <f>_xll.BDP("3116 HK Equity","FUND_INCEPT_DT")</f>
        <v>7/27/2022</v>
      </c>
      <c r="S119">
        <f>_xll.BDP("3116 HK Equity","AVG_DAILY_VALUE_TRADED_3M")</f>
        <v>209121.5</v>
      </c>
      <c r="T119" t="str">
        <f>_xll.BDP("3116 HK Equity","PX596","PX395=HISTORICAL_MARKET_CAP","DY262=D","PY204=N","PX391=20231231","PX392=20231231","DS004=HKD")</f>
        <v>#N/A N/A</v>
      </c>
      <c r="U119">
        <f>_xll.BDP("3116 HK Equity","PX385","PX395=FUND_FLOW","DY262=D","PY204=N","PX391=20240102","PX392=20240930","DS004=HKD")</f>
        <v>-23.325878390999996</v>
      </c>
      <c r="V119">
        <f>_xll.BDP("3116 HK Equity","PX596","PX395=CUR_MKT_CAP","DY262=D","PY204=N","PX391=20240101","DS004=HKD")</f>
        <v>36.04</v>
      </c>
      <c r="W119" t="str">
        <f>_xll.BDP("3116 HK Equity","FUND_INCEPT_DT")</f>
        <v>7/27/2022</v>
      </c>
      <c r="X119">
        <f>_xll.BDP("3116 HK Equity","PX388","PX395=TURNOVER","DY262=D","PY204=N","PX391=20240502","PX392=20240606","DS004=HKD")</f>
        <v>83183.14285714287</v>
      </c>
      <c r="Y119" t="str">
        <f>_xll.BDP("3116 HK Equity","PARENT_COMP_NAME")</f>
        <v>Mirae Asset Global Investments</v>
      </c>
      <c r="Z119" t="str">
        <f>_xll.BDP("3116 HK Equity","NAV_CRNCY")</f>
        <v>USD</v>
      </c>
      <c r="AA119" t="str">
        <f>_xll.BDP("3116 HK Equity","FUND_GEO_FOCUS")</f>
        <v>Asian Pacific Region</v>
      </c>
      <c r="AB119" t="str">
        <f>_xll.BDP("3116 HK Equity","FUND_ASSET_CLASS_FOCUS")</f>
        <v>Equity</v>
      </c>
      <c r="AC119">
        <f>_xll.BDP("3116 HK Equity","PX_LAST")</f>
        <v>99.22</v>
      </c>
      <c r="AD119">
        <f>_xll.BDP("3116 HK Equity","PX388","PX395=TIME_WAVG_BID_ASK_SPREAD_PCT","DY262=D","PY204=N","PX391=20260601","PX392=20260626")</f>
        <v>0.70184224152548702</v>
      </c>
      <c r="AE119">
        <f>_xll.BDP("3116 HK Equity","PX388","PX395=AVERAGE_BID_ASK_SPREAD_%","DY262=D","PY204=N","PX391=20260601","PX392=20260626")</f>
        <v>1.0092551811296544</v>
      </c>
    </row>
    <row r="120" spans="1:31" x14ac:dyDescent="0.25">
      <c r="A120" t="s">
        <v>145</v>
      </c>
      <c r="B120" t="str">
        <f>_xll.BDP("3118 HK Equity","LONG_COMP_NAME")</f>
        <v>Harvest MSCI China A Index ETF</v>
      </c>
      <c r="C120">
        <f>_xll.BDP("3118 HK Equity","PX385","PX395=FUND_FLOW","DY262=D","PY204=N","PX391=20260622","PX392=20260626","DS004=USD")</f>
        <v>0</v>
      </c>
      <c r="D120">
        <f>_xll.BDP("3118 HK Equity","PX388","PX395=TURNOVER","DY262=D","PY204=N","PX391=20260601","PX392=20260626","DS004=HKD")</f>
        <v>50708.25</v>
      </c>
      <c r="E120">
        <f>_xll.BDP("3118 HK Equity","PX388","PX395=TURNOVER","DY262=D","PY204=N","PX391=20250101","PX392=20251231","DS004=HKD")</f>
        <v>231424.3220512821</v>
      </c>
      <c r="F120">
        <f>_xll.BDP("3118 HK Equity","PX596","PX395=FUND_TOTAL_ASSETS","DY262=D","PY204=N","PX391=20260626","PX392=20260626","DS004=USD")</f>
        <v>6.8962579120053826</v>
      </c>
      <c r="G120">
        <f>_xll.BDP("3118 HK Equity","PX388","PX395=CUR_MKT_CAP","DY262=D","PY204=N","PX391=20260626","PX392=20260626","DS004=HKD")</f>
        <v>46.559999999999995</v>
      </c>
      <c r="H120" t="str">
        <f>_xll.BDP("3118 HK Equity","FUND_LEVERAGE_TYPE")</f>
        <v>#N/A N/A</v>
      </c>
      <c r="I120">
        <f>_xll.BDP("3118 HK Equity","PX388","PX395=TURNOVER","DY262=D","PY204=N","PX391=20260101","PX392=20260131","DS004=HKD")</f>
        <v>150880.79999999999</v>
      </c>
      <c r="J120">
        <v>-1</v>
      </c>
      <c r="K120" t="str">
        <f>_xll.BDP("3118 HK Equity","FUND_INCEPT_DT")</f>
        <v>10/12/2012</v>
      </c>
      <c r="L120" t="str">
        <f>_xll.BDP("3118 HK Equity","PX388","PX395=TURNOVER_EXCH_RATIO","DY262=D","PY204=N","PX391=20251201","PX392=20251210")</f>
        <v>#N/A N/A</v>
      </c>
      <c r="M120">
        <f>_xll.BDP("3118 HK Equity","EQY_SH_OUT")</f>
        <v>2.4</v>
      </c>
      <c r="N120">
        <f>_xll.BDP("3118 HK Equity","EQY_TRR_PCT_YTD")</f>
        <v>8.5603110000000004</v>
      </c>
      <c r="O120">
        <f>_xll.BDP("3118 HK Equity","CHG_PCT_YTD")</f>
        <v>9.1876730000000002</v>
      </c>
      <c r="P120">
        <f>_xll.BDP("3118 HK Equity","CHG_PCT_1M")</f>
        <v>-0.6625934</v>
      </c>
      <c r="Q120" t="str">
        <f>_xll.BDP("3118 HK Equity","LISTING_DATE")</f>
        <v>10/12/2012</v>
      </c>
      <c r="R120" t="str">
        <f>_xll.BDP("3118 HK Equity","FUND_INCEPT_DT")</f>
        <v>10/12/2012</v>
      </c>
      <c r="S120">
        <f>_xll.BDP("3118 HK Equity","AVG_DAILY_VALUE_TRADED_3M")</f>
        <v>24029.31</v>
      </c>
      <c r="T120" t="str">
        <f>_xll.BDP("3118 HK Equity","PX596","PX395=HISTORICAL_MARKET_CAP","DY262=D","PY204=N","PX391=20231231","PX392=20231231","DS004=HKD")</f>
        <v>#N/A N/A</v>
      </c>
      <c r="U120">
        <f>_xll.BDP("3118 HK Equity","PX385","PX395=FUND_FLOW","DY262=D","PY204=N","PX391=20240102","PX392=20240930","DS004=HKD")</f>
        <v>0</v>
      </c>
      <c r="V120">
        <f>_xll.BDP("3118 HK Equity","PX596","PX395=CUR_MKT_CAP","DY262=D","PY204=N","PX391=20240101","DS004=HKD")</f>
        <v>42.84</v>
      </c>
      <c r="W120" t="str">
        <f>_xll.BDP("3118 HK Equity","FUND_INCEPT_DT")</f>
        <v>10/12/2012</v>
      </c>
      <c r="X120">
        <f>_xll.BDP("3118 HK Equity","PX388","PX395=TURNOVER","DY262=D","PY204=N","PX391=20240502","PX392=20240606","DS004=HKD")</f>
        <v>567647</v>
      </c>
      <c r="Y120" t="str">
        <f>_xll.BDP("3118 HK Equity","PARENT_COMP_NAME")</f>
        <v>Harvest Global Investments Ltd</v>
      </c>
      <c r="Z120" t="str">
        <f>_xll.BDP("3118 HK Equity","NAV_CRNCY")</f>
        <v>HKD</v>
      </c>
      <c r="AA120" t="str">
        <f>_xll.BDP("3118 HK Equity","FUND_GEO_FOCUS")</f>
        <v>China</v>
      </c>
      <c r="AB120" t="str">
        <f>_xll.BDP("3118 HK Equity","FUND_ASSET_CLASS_FOCUS")</f>
        <v>Equity</v>
      </c>
      <c r="AC120">
        <f>_xll.BDP("3118 HK Equity","PX_LAST")</f>
        <v>19.489999999999998</v>
      </c>
      <c r="AD120">
        <f>_xll.BDP("3118 HK Equity","PX388","PX395=TIME_WAVG_BID_ASK_SPREAD_PCT","DY262=D","PY204=N","PX391=20260601","PX392=20260626")</f>
        <v>1.2590108443363905</v>
      </c>
      <c r="AE120">
        <f>_xll.BDP("3118 HK Equity","PX388","PX395=AVERAGE_BID_ASK_SPREAD_%","DY262=D","PY204=N","PX391=20260601","PX392=20260626")</f>
        <v>2.0376773199714022</v>
      </c>
    </row>
    <row r="121" spans="1:31" x14ac:dyDescent="0.25">
      <c r="A121" t="s">
        <v>146</v>
      </c>
      <c r="B121" t="str">
        <f>_xll.BDP("3122 HK Equity","LONG_COMP_NAME")</f>
        <v>CSOP RMB Money Market ETF</v>
      </c>
      <c r="C121">
        <f>_xll.BDP("3122 HK Equity","PX385","PX395=FUND_FLOW","DY262=D","PY204=N","PX391=20260622","PX392=20260626","DS004=USD")</f>
        <v>0</v>
      </c>
      <c r="D121">
        <f>_xll.BDP("3122 HK Equity","PX388","PX395=TURNOVER","DY262=D","PY204=N","PX391=20260601","PX392=20260626","DS004=HKD")</f>
        <v>82664.25</v>
      </c>
      <c r="E121">
        <f>_xll.BDP("3122 HK Equity","PX388","PX395=TURNOVER","DY262=D","PY204=N","PX391=20250101","PX392=20251231","DS004=HKD")</f>
        <v>17368.8</v>
      </c>
      <c r="F121">
        <f>_xll.BDP("3122 HK Equity","PX596","PX395=FUND_TOTAL_ASSETS","DY262=D","PY204=N","PX391=20260626","PX392=20260626","DS004=USD")</f>
        <v>37.313624527885629</v>
      </c>
      <c r="G121">
        <f>_xll.BDP("3122 HK Equity","PX388","PX395=CUR_MKT_CAP","DY262=D","PY204=N","PX391=20260626","PX392=20260626","DS004=HKD")</f>
        <v>49.508250000000004</v>
      </c>
      <c r="H121" t="str">
        <f>_xll.BDP("3122 HK Equity","FUND_LEVERAGE_TYPE")</f>
        <v>#N/A N/A</v>
      </c>
      <c r="I121">
        <f>_xll.BDP("3122 HK Equity","PX388","PX395=TURNOVER","DY262=D","PY204=N","PX391=20260101","PX392=20260131","DS004=HKD")</f>
        <v>54488.5</v>
      </c>
      <c r="J121">
        <v>-1</v>
      </c>
      <c r="K121" t="str">
        <f>_xll.BDP("3122 HK Equity","FUND_INCEPT_DT")</f>
        <v>1/20/2015</v>
      </c>
      <c r="L121" t="str">
        <f>_xll.BDP("3122 HK Equity","PX388","PX395=TURNOVER_EXCH_RATIO","DY262=D","PY204=N","PX391=20251201","PX392=20251210")</f>
        <v>#N/A N/A</v>
      </c>
      <c r="M121">
        <f>_xll.BDP("3122 HK Equity","EQY_SH_OUT")</f>
        <v>0.255</v>
      </c>
      <c r="N121">
        <f>_xll.BDP("3122 HK Equity","EQY_TRR_PCT_YTD")</f>
        <v>3.8335370000000002</v>
      </c>
      <c r="O121">
        <f>_xll.BDP("3122 HK Equity","CHG_PCT_YTD")</f>
        <v>3.8235290000000002</v>
      </c>
      <c r="P121">
        <f>_xll.BDP("3122 HK Equity","CHG_PCT_1M")</f>
        <v>-0.12859770000000001</v>
      </c>
      <c r="Q121" t="str">
        <f>_xll.BDP("3122 HK Equity","LISTING_DATE")</f>
        <v>1/20/2015</v>
      </c>
      <c r="R121" t="str">
        <f>_xll.BDP("3122 HK Equity","FUND_INCEPT_DT")</f>
        <v>1/20/2015</v>
      </c>
      <c r="S121">
        <f>_xll.BDP("3122 HK Equity","AVG_DAILY_VALUE_TRADED_3M")</f>
        <v>42855.61</v>
      </c>
      <c r="T121" t="str">
        <f>_xll.BDP("3122 HK Equity","PX596","PX395=HISTORICAL_MARKET_CAP","DY262=D","PY204=N","PX391=20231231","PX392=20231231","DS004=HKD")</f>
        <v>#N/A N/A</v>
      </c>
      <c r="U121">
        <f>_xll.BDP("3122 HK Equity","PX385","PX395=FUND_FLOW","DY262=D","PY204=N","PX391=20240102","PX392=20240930","DS004=HKD")</f>
        <v>3.6733899999999764E-2</v>
      </c>
      <c r="V121">
        <f>_xll.BDP("3122 HK Equity","PX596","PX395=CUR_MKT_CAP","DY262=D","PY204=N","PX391=20240101","DS004=HKD")</f>
        <v>38.335000000000001</v>
      </c>
      <c r="W121" t="str">
        <f>_xll.BDP("3122 HK Equity","FUND_INCEPT_DT")</f>
        <v>1/20/2015</v>
      </c>
      <c r="X121">
        <f>_xll.BDP("3122 HK Equity","PX388","PX395=TURNOVER","DY262=D","PY204=N","PX391=20240502","PX392=20240606","DS004=HKD")</f>
        <v>5322</v>
      </c>
      <c r="Y121" t="str">
        <f>_xll.BDP("3122 HK Equity","PARENT_COMP_NAME")</f>
        <v>CSOP Asset Management Ltd/Hong</v>
      </c>
      <c r="Z121" t="str">
        <f>_xll.BDP("3122 HK Equity","NAV_CRNCY")</f>
        <v>HKD</v>
      </c>
      <c r="AA121" t="str">
        <f>_xll.BDP("3122 HK Equity","FUND_GEO_FOCUS")</f>
        <v>Greater China</v>
      </c>
      <c r="AB121" t="str">
        <f>_xll.BDP("3122 HK Equity","FUND_ASSET_CLASS_FOCUS")</f>
        <v>Money Market</v>
      </c>
      <c r="AC121">
        <f>_xll.BDP("3122 HK Equity","PX_LAST")</f>
        <v>194.15</v>
      </c>
      <c r="AD121">
        <f>_xll.BDP("3122 HK Equity","PX388","PX395=TIME_WAVG_BID_ASK_SPREAD_PCT","DY262=D","PY204=N","PX391=20260601","PX392=20260626")</f>
        <v>0.6150030930681113</v>
      </c>
      <c r="AE121">
        <f>_xll.BDP("3122 HK Equity","PX388","PX395=AVERAGE_BID_ASK_SPREAD_%","DY262=D","PY204=N","PX391=20260601","PX392=20260626")</f>
        <v>1.0818392393174425</v>
      </c>
    </row>
    <row r="122" spans="1:31" x14ac:dyDescent="0.25">
      <c r="A122" t="s">
        <v>147</v>
      </c>
      <c r="B122" t="str">
        <f>_xll.BDP("3128 HK Equity","LONG_COMP_NAME")</f>
        <v>Hang Seng China A Share ETF Series - Hang Seng China A Industry Top Index ETF</v>
      </c>
      <c r="C122">
        <f>_xll.BDP("3128 HK Equity","PX385","PX395=FUND_FLOW","DY262=D","PY204=N","PX391=20260622","PX392=20260626","DS004=USD")</f>
        <v>0</v>
      </c>
      <c r="D122">
        <f>_xll.BDP("3128 HK Equity","PX388","PX395=TURNOVER","DY262=D","PY204=N","PX391=20260601","PX392=20260626","DS004=HKD")</f>
        <v>30756.82</v>
      </c>
      <c r="E122">
        <f>_xll.BDP("3128 HK Equity","PX388","PX395=TURNOVER","DY262=D","PY204=N","PX391=20250101","PX392=20251231","DS004=HKD")</f>
        <v>317082.25262411317</v>
      </c>
      <c r="F122">
        <f>_xll.BDP("3128 HK Equity","PX596","PX395=FUND_TOTAL_ASSETS","DY262=D","PY204=N","PX391=20260626","PX392=20260626","DS004=USD")</f>
        <v>21.531260042357921</v>
      </c>
      <c r="G122">
        <f>_xll.BDP("3128 HK Equity","PX388","PX395=CUR_MKT_CAP","DY262=D","PY204=N","PX391=20260626","PX392=20260626","DS004=HKD")</f>
        <v>168.99644916</v>
      </c>
      <c r="H122" t="str">
        <f>_xll.BDP("3128 HK Equity","FUND_LEVERAGE_TYPE")</f>
        <v>#N/A N/A</v>
      </c>
      <c r="I122">
        <f>_xll.BDP("3128 HK Equity","PX388","PX395=TURNOVER","DY262=D","PY204=N","PX391=20260101","PX392=20260131","DS004=HKD")</f>
        <v>210937.62666666665</v>
      </c>
      <c r="J122">
        <v>-1</v>
      </c>
      <c r="K122" t="str">
        <f>_xll.BDP("3128 HK Equity","FUND_INCEPT_DT")</f>
        <v>11/26/2013</v>
      </c>
      <c r="L122" t="str">
        <f>_xll.BDP("3128 HK Equity","PX388","PX395=TURNOVER_EXCH_RATIO","DY262=D","PY204=N","PX391=20251201","PX392=20251210")</f>
        <v>#N/A N/A</v>
      </c>
      <c r="M122">
        <f>_xll.BDP("3128 HK Equity","EQY_SH_OUT")</f>
        <v>2.7532799999999997</v>
      </c>
      <c r="N122">
        <f>_xll.BDP("3128 HK Equity","EQY_TRR_PCT_YTD")</f>
        <v>-6.9075550000000003</v>
      </c>
      <c r="O122">
        <f>_xll.BDP("3128 HK Equity","CHG_PCT_YTD")</f>
        <v>-6.9038240000000002</v>
      </c>
      <c r="P122">
        <f>_xll.BDP("3128 HK Equity","CHG_PCT_1M")</f>
        <v>-6.5940750000000001</v>
      </c>
      <c r="Q122" t="str">
        <f>_xll.BDP("3128 HK Equity","LISTING_DATE")</f>
        <v>11/26/2013</v>
      </c>
      <c r="R122" t="str">
        <f>_xll.BDP("3128 HK Equity","FUND_INCEPT_DT")</f>
        <v>11/26/2013</v>
      </c>
      <c r="S122">
        <f>_xll.BDP("3128 HK Equity","AVG_DAILY_VALUE_TRADED_3M")</f>
        <v>39004.019999999997</v>
      </c>
      <c r="T122" t="str">
        <f>_xll.BDP("3128 HK Equity","PX596","PX395=HISTORICAL_MARKET_CAP","DY262=D","PY204=N","PX391=20231231","PX392=20231231","DS004=HKD")</f>
        <v>#N/A N/A</v>
      </c>
      <c r="U122">
        <f>_xll.BDP("3128 HK Equity","PX385","PX395=FUND_FLOW","DY262=D","PY204=N","PX391=20240102","PX392=20240930","DS004=HKD")</f>
        <v>-39.624525542100024</v>
      </c>
      <c r="V122">
        <f>_xll.BDP("3128 HK Equity","PX596","PX395=CUR_MKT_CAP","DY262=D","PY204=N","PX391=20240101","DS004=HKD")</f>
        <v>189.74201930000001</v>
      </c>
      <c r="W122" t="str">
        <f>_xll.BDP("3128 HK Equity","FUND_INCEPT_DT")</f>
        <v>11/26/2013</v>
      </c>
      <c r="X122">
        <f>_xll.BDP("3128 HK Equity","PX388","PX395=TURNOVER","DY262=D","PY204=N","PX391=20240502","PX392=20240606","DS004=HKD")</f>
        <v>37335.607500000006</v>
      </c>
      <c r="Y122" t="str">
        <f>_xll.BDP("3128 HK Equity","PARENT_COMP_NAME")</f>
        <v>Hang Seng Investment Managemen</v>
      </c>
      <c r="Z122" t="str">
        <f>_xll.BDP("3128 HK Equity","NAV_CRNCY")</f>
        <v>HKD</v>
      </c>
      <c r="AA122" t="str">
        <f>_xll.BDP("3128 HK Equity","FUND_GEO_FOCUS")</f>
        <v>China</v>
      </c>
      <c r="AB122" t="str">
        <f>_xll.BDP("3128 HK Equity","FUND_ASSET_CLASS_FOCUS")</f>
        <v>Equity</v>
      </c>
      <c r="AC122">
        <f>_xll.BDP("3128 HK Equity","PX_LAST")</f>
        <v>61.76</v>
      </c>
      <c r="AD122">
        <f>_xll.BDP("3128 HK Equity","PX388","PX395=TIME_WAVG_BID_ASK_SPREAD_PCT","DY262=D","PY204=N","PX391=20260601","PX392=20260626")</f>
        <v>1.1702960116621652</v>
      </c>
      <c r="AE122">
        <f>_xll.BDP("3128 HK Equity","PX388","PX395=AVERAGE_BID_ASK_SPREAD_%","DY262=D","PY204=N","PX391=20260601","PX392=20260626")</f>
        <v>1.2742091009157377</v>
      </c>
    </row>
    <row r="123" spans="1:31" x14ac:dyDescent="0.25">
      <c r="A123" t="s">
        <v>148</v>
      </c>
      <c r="B123" t="str">
        <f>_xll.BDP("3129 HK Equity","LONG_COMP_NAME")</f>
        <v>BOCHK Greater Bay Area Climate Transition ETF</v>
      </c>
      <c r="C123">
        <f>_xll.BDP("3129 HK Equity","PX385","PX395=FUND_FLOW","DY262=D","PY204=N","PX391=20260622","PX392=20260626","DS004=USD")</f>
        <v>0</v>
      </c>
      <c r="D123">
        <f>_xll.BDP("3129 HK Equity","PX388","PX395=TURNOVER","DY262=D","PY204=N","PX391=20260601","PX392=20260626","DS004=HKD")</f>
        <v>114522.4</v>
      </c>
      <c r="E123">
        <f>_xll.BDP("3129 HK Equity","PX388","PX395=TURNOVER","DY262=D","PY204=N","PX391=20250101","PX392=20251231","DS004=HKD")</f>
        <v>240904.1346153846</v>
      </c>
      <c r="F123">
        <f>_xll.BDP("3129 HK Equity","PX596","PX395=FUND_TOTAL_ASSETS","DY262=D","PY204=N","PX391=20260626","PX392=20260626","DS004=USD")</f>
        <v>0.67526555386949905</v>
      </c>
      <c r="G123">
        <f>_xll.BDP("3129 HK Equity","PX388","PX395=CUR_MKT_CAP","DY262=D","PY204=N","PX391=20260626","PX392=20260626","DS004=HKD")</f>
        <v>5.29</v>
      </c>
      <c r="H123" t="str">
        <f>_xll.BDP("3129 HK Equity","FUND_LEVERAGE_TYPE")</f>
        <v>#N/A N/A</v>
      </c>
      <c r="I123">
        <f>_xll.BDP("3129 HK Equity","PX388","PX395=TURNOVER","DY262=D","PY204=N","PX391=20260101","PX392=20260131","DS004=HKD")</f>
        <v>133679</v>
      </c>
      <c r="J123">
        <v>-1</v>
      </c>
      <c r="K123" t="str">
        <f>_xll.BDP("3129 HK Equity","FUND_INCEPT_DT")</f>
        <v>3/31/2023</v>
      </c>
      <c r="L123" t="str">
        <f>_xll.BDP("3129 HK Equity","PX388","PX395=TURNOVER_EXCH_RATIO","DY262=D","PY204=N","PX391=20251201","PX392=20251210")</f>
        <v>#N/A N/A</v>
      </c>
      <c r="M123">
        <f>_xll.BDP("3129 HK Equity","EQY_SH_OUT")</f>
        <v>0.5</v>
      </c>
      <c r="N123">
        <f>_xll.BDP("3129 HK Equity","EQY_TRR_PCT_YTD")</f>
        <v>-6.2659149999999997</v>
      </c>
      <c r="O123">
        <f>_xll.BDP("3129 HK Equity","CHG_PCT_YTD")</f>
        <v>-7.6790349999999998</v>
      </c>
      <c r="P123">
        <f>_xll.BDP("3129 HK Equity","CHG_PCT_1M")</f>
        <v>-6.8755420000000003</v>
      </c>
      <c r="Q123" t="str">
        <f>_xll.BDP("3129 HK Equity","LISTING_DATE")</f>
        <v>3/31/2023</v>
      </c>
      <c r="R123" t="str">
        <f>_xll.BDP("3129 HK Equity","FUND_INCEPT_DT")</f>
        <v>3/31/2023</v>
      </c>
      <c r="S123">
        <f>_xll.BDP("3129 HK Equity","AVG_DAILY_VALUE_TRADED_3M")</f>
        <v>9387.0820000000003</v>
      </c>
      <c r="T123" t="str">
        <f>_xll.BDP("3129 HK Equity","PX596","PX395=HISTORICAL_MARKET_CAP","DY262=D","PY204=N","PX391=20231231","PX392=20231231","DS004=HKD")</f>
        <v>#N/A N/A</v>
      </c>
      <c r="U123">
        <f>_xll.BDP("3129 HK Equity","PX385","PX395=FUND_FLOW","DY262=D","PY204=N","PX391=20240102","PX392=20240930","DS004=HKD")</f>
        <v>0</v>
      </c>
      <c r="V123">
        <f>_xll.BDP("3129 HK Equity","PX596","PX395=CUR_MKT_CAP","DY262=D","PY204=N","PX391=20240101","DS004=HKD")</f>
        <v>11.59</v>
      </c>
      <c r="W123" t="str">
        <f>_xll.BDP("3129 HK Equity","FUND_INCEPT_DT")</f>
        <v>3/31/2023</v>
      </c>
      <c r="X123">
        <f>_xll.BDP("3129 HK Equity","PX388","PX395=TURNOVER","DY262=D","PY204=N","PX391=20240502","PX392=20240606","DS004=HKD")</f>
        <v>73725</v>
      </c>
      <c r="Y123" t="str">
        <f>_xll.BDP("3129 HK Equity","PARENT_COMP_NAME")</f>
        <v>BOCI-Prudential Asset Manageme</v>
      </c>
      <c r="Z123" t="str">
        <f>_xll.BDP("3129 HK Equity","NAV_CRNCY")</f>
        <v>HKD</v>
      </c>
      <c r="AA123" t="str">
        <f>_xll.BDP("3129 HK Equity","FUND_GEO_FOCUS")</f>
        <v>Greater China</v>
      </c>
      <c r="AB123" t="str">
        <f>_xll.BDP("3129 HK Equity","FUND_ASSET_CLASS_FOCUS")</f>
        <v>Equity</v>
      </c>
      <c r="AC123">
        <f>_xll.BDP("3129 HK Equity","PX_LAST")</f>
        <v>10.7</v>
      </c>
      <c r="AD123">
        <f>_xll.BDP("3129 HK Equity","PX388","PX395=TIME_WAVG_BID_ASK_SPREAD_PCT","DY262=D","PY204=N","PX391=20260601","PX392=20260626")</f>
        <v>0.55553623199515978</v>
      </c>
      <c r="AE123">
        <f>_xll.BDP("3129 HK Equity","PX388","PX395=AVERAGE_BID_ASK_SPREAD_%","DY262=D","PY204=N","PX391=20260601","PX392=20260626")</f>
        <v>0.63287858189754675</v>
      </c>
    </row>
    <row r="124" spans="1:31" x14ac:dyDescent="0.25">
      <c r="A124" t="s">
        <v>149</v>
      </c>
      <c r="B124" t="str">
        <f>_xll.BDP("3133 HK Equity","LONG_COMP_NAME")</f>
        <v>CSOP Huatai-PB CSI 300 ETF</v>
      </c>
      <c r="C124">
        <f>_xll.BDP("3133 HK Equity","PX385","PX395=FUND_FLOW","DY262=D","PY204=N","PX391=20260622","PX392=20260626","DS004=USD")</f>
        <v>0</v>
      </c>
      <c r="D124">
        <f>_xll.BDP("3133 HK Equity","PX388","PX395=TURNOVER","DY262=D","PY204=N","PX391=20260601","PX392=20260626","DS004=HKD")</f>
        <v>1814378.2105263157</v>
      </c>
      <c r="E124">
        <f>_xll.BDP("3133 HK Equity","PX388","PX395=TURNOVER","DY262=D","PY204=N","PX391=20250101","PX392=20251231","DS004=HKD")</f>
        <v>938258.65585585579</v>
      </c>
      <c r="F124">
        <f>_xll.BDP("3133 HK Equity","PX596","PX395=FUND_TOTAL_ASSETS","DY262=D","PY204=N","PX391=20260626","PX392=20260626","DS004=USD")</f>
        <v>76.515559540828335</v>
      </c>
      <c r="G124">
        <f>_xll.BDP("3133 HK Equity","PX388","PX395=CUR_MKT_CAP","DY262=D","PY204=N","PX391=20260626","PX392=20260626","DS004=HKD")</f>
        <v>597.78000000000009</v>
      </c>
      <c r="H124" t="str">
        <f>_xll.BDP("3133 HK Equity","FUND_LEVERAGE_TYPE")</f>
        <v>#N/A N/A</v>
      </c>
      <c r="I124">
        <f>_xll.BDP("3133 HK Equity","PX388","PX395=TURNOVER","DY262=D","PY204=N","PX391=20260101","PX392=20260131","DS004=HKD")</f>
        <v>1060119.5904761904</v>
      </c>
      <c r="J124">
        <v>-1</v>
      </c>
      <c r="K124" t="str">
        <f>_xll.BDP("3133 HK Equity","FUND_INCEPT_DT")</f>
        <v>7/16/2024</v>
      </c>
      <c r="L124" t="str">
        <f>_xll.BDP("3133 HK Equity","PX388","PX395=TURNOVER_EXCH_RATIO","DY262=D","PY204=N","PX391=20251201","PX392=20251210")</f>
        <v>#N/A N/A</v>
      </c>
      <c r="M124">
        <f>_xll.BDP("3133 HK Equity","EQY_SH_OUT")</f>
        <v>49.199999999999996</v>
      </c>
      <c r="N124">
        <f>_xll.BDP("3133 HK Equity","EQY_TRR_PCT_YTD")</f>
        <v>5.7632099999999999</v>
      </c>
      <c r="O124">
        <f>_xll.BDP("3133 HK Equity","CHG_PCT_YTD")</f>
        <v>11.071109999999999</v>
      </c>
      <c r="P124">
        <f>_xll.BDP("3133 HK Equity","CHG_PCT_1M")</f>
        <v>0.73469390000000001</v>
      </c>
      <c r="Q124" t="str">
        <f>_xll.BDP("3133 HK Equity","LISTING_DATE")</f>
        <v>7/16/2024</v>
      </c>
      <c r="R124" t="str">
        <f>_xll.BDP("3133 HK Equity","FUND_INCEPT_DT")</f>
        <v>7/16/2024</v>
      </c>
      <c r="S124">
        <f>_xll.BDP("3133 HK Equity","AVG_DAILY_VALUE_TRADED_3M")</f>
        <v>1537970</v>
      </c>
      <c r="T124" t="str">
        <f>_xll.BDP("3133 HK Equity","PX596","PX395=HISTORICAL_MARKET_CAP","DY262=D","PY204=N","PX391=20231231","PX392=20231231","DS004=HKD")</f>
        <v>#N/A N/A</v>
      </c>
      <c r="U124">
        <f>_xll.BDP("3133 HK Equity","PX385","PX395=FUND_FLOW","DY262=D","PY204=N","PX391=20240102","PX392=20240930","DS004=HKD")</f>
        <v>70.659770450521336</v>
      </c>
      <c r="V124">
        <f>_xll.BDP("3133 HK Equity","PX596","PX395=CUR_MKT_CAP","DY262=D","PY204=N","PX391=20240101","DS004=HKD")</f>
        <v>539.94600000000003</v>
      </c>
      <c r="W124" t="str">
        <f>_xll.BDP("3133 HK Equity","FUND_INCEPT_DT")</f>
        <v>7/16/2024</v>
      </c>
      <c r="X124" t="str">
        <f>_xll.BDP("3133 HK Equity","PX388","PX395=TURNOVER","DY262=D","PY204=N","PX391=20240502","PX392=20240606","DS004=HKD")</f>
        <v>#N/A N/A</v>
      </c>
      <c r="Y124" t="str">
        <f>_xll.BDP("3133 HK Equity","PARENT_COMP_NAME")</f>
        <v>CSOP Asset Management Ltd/Hong</v>
      </c>
      <c r="Z124" t="str">
        <f>_xll.BDP("3133 HK Equity","NAV_CRNCY")</f>
        <v>CNY</v>
      </c>
      <c r="AA124" t="str">
        <f>_xll.BDP("3133 HK Equity","FUND_GEO_FOCUS")</f>
        <v>China</v>
      </c>
      <c r="AB124" t="str">
        <f>_xll.BDP("3133 HK Equity","FUND_ASSET_CLASS_FOCUS")</f>
        <v>Equity</v>
      </c>
      <c r="AC124">
        <f>_xll.BDP("3133 HK Equity","PX_LAST")</f>
        <v>12.34</v>
      </c>
      <c r="AD124">
        <f>_xll.BDP("3133 HK Equity","PX388","PX395=TIME_WAVG_BID_ASK_SPREAD_PCT","DY262=D","PY204=N","PX391=20260601","PX392=20260626")</f>
        <v>0.1970758526189563</v>
      </c>
      <c r="AE124">
        <f>_xll.BDP("3133 HK Equity","PX388","PX395=AVERAGE_BID_ASK_SPREAD_%","DY262=D","PY204=N","PX391=20260601","PX392=20260626")</f>
        <v>0.21021221705934456</v>
      </c>
    </row>
    <row r="125" spans="1:31" x14ac:dyDescent="0.25">
      <c r="A125" t="s">
        <v>150</v>
      </c>
      <c r="B125" t="str">
        <f>_xll.BDP("3135 HK Equity","LONG_COMP_NAME")</f>
        <v>Samsung Bitcoin Futures Active ETF</v>
      </c>
      <c r="C125">
        <f>_xll.BDP("3135 HK Equity","PX385","PX395=FUND_FLOW","DY262=D","PY204=N","PX391=20260622","PX392=20260626","DS004=USD")</f>
        <v>0</v>
      </c>
      <c r="D125">
        <f>_xll.BDP("3135 HK Equity","PX388","PX395=TURNOVER","DY262=D","PY204=N","PX391=20260601","PX392=20260626","DS004=HKD")</f>
        <v>407191.02777777775</v>
      </c>
      <c r="E125">
        <f>_xll.BDP("3135 HK Equity","PX388","PX395=TURNOVER","DY262=D","PY204=N","PX391=20250101","PX392=20251231","DS004=HKD")</f>
        <v>564934.58852459048</v>
      </c>
      <c r="F125">
        <f>_xll.BDP("3135 HK Equity","PX596","PX395=FUND_TOTAL_ASSETS","DY262=D","PY204=N","PX391=20260626","PX392=20260626","DS004=USD")</f>
        <v>8.6589722699999996</v>
      </c>
      <c r="G125">
        <f>_xll.BDP("3135 HK Equity","PX388","PX395=CUR_MKT_CAP","DY262=D","PY204=N","PX391=20260626","PX392=20260626","DS004=HKD")</f>
        <v>68.634999999999991</v>
      </c>
      <c r="H125" t="str">
        <f>_xll.BDP("3135 HK Equity","FUND_LEVERAGE_TYPE")</f>
        <v>#N/A N/A</v>
      </c>
      <c r="I125">
        <f>_xll.BDP("3135 HK Equity","PX388","PX395=TURNOVER","DY262=D","PY204=N","PX391=20260101","PX392=20260131","DS004=HKD")</f>
        <v>138743.70000000001</v>
      </c>
      <c r="J125">
        <v>-1</v>
      </c>
      <c r="K125" t="str">
        <f>_xll.BDP("3135 HK Equity","FUND_INCEPT_DT")</f>
        <v>1/13/2023</v>
      </c>
      <c r="L125" t="str">
        <f>_xll.BDP("3135 HK Equity","PX388","PX395=TURNOVER_EXCH_RATIO","DY262=D","PY204=N","PX391=20251201","PX392=20251210")</f>
        <v>#N/A N/A</v>
      </c>
      <c r="M125">
        <f>_xll.BDP("3135 HK Equity","EQY_SH_OUT")</f>
        <v>3.5</v>
      </c>
      <c r="N125" t="str">
        <f>_xll.BDP("3135 HK Equity","EQY_TRR_PCT_YTD")</f>
        <v>#N/A N/A</v>
      </c>
      <c r="O125">
        <f>_xll.BDP("3135 HK Equity","CHG_PCT_YTD")</f>
        <v>-33.310490000000001</v>
      </c>
      <c r="P125">
        <f>_xll.BDP("3135 HK Equity","CHG_PCT_1M")</f>
        <v>-18.372479999999999</v>
      </c>
      <c r="Q125" t="str">
        <f>_xll.BDP("3135 HK Equity","LISTING_DATE")</f>
        <v>1/13/2023</v>
      </c>
      <c r="R125" t="str">
        <f>_xll.BDP("3135 HK Equity","FUND_INCEPT_DT")</f>
        <v>1/13/2023</v>
      </c>
      <c r="S125">
        <f>_xll.BDP("3135 HK Equity","AVG_DAILY_VALUE_TRADED_3M")</f>
        <v>188798</v>
      </c>
      <c r="T125" t="str">
        <f>_xll.BDP("3135 HK Equity","PX596","PX395=HISTORICAL_MARKET_CAP","DY262=D","PY204=N","PX391=20231231","PX392=20231231","DS004=HKD")</f>
        <v>#N/A N/A</v>
      </c>
      <c r="U125">
        <f>_xll.BDP("3135 HK Equity","PX385","PX395=FUND_FLOW","DY262=D","PY204=N","PX391=20240102","PX392=20240930","DS004=HKD")</f>
        <v>49.44633003749999</v>
      </c>
      <c r="V125">
        <f>_xll.BDP("3135 HK Equity","PX596","PX395=CUR_MKT_CAP","DY262=D","PY204=N","PX391=20240101","DS004=HKD")</f>
        <v>87.539999999999992</v>
      </c>
      <c r="W125" t="str">
        <f>_xll.BDP("3135 HK Equity","FUND_INCEPT_DT")</f>
        <v>1/13/2023</v>
      </c>
      <c r="X125">
        <f>_xll.BDP("3135 HK Equity","PX388","PX395=TURNOVER","DY262=D","PY204=N","PX391=20240502","PX392=20240606","DS004=HKD")</f>
        <v>2130587.8400000003</v>
      </c>
      <c r="Y125" t="str">
        <f>_xll.BDP("3135 HK Equity","PARENT_COMP_NAME")</f>
        <v>Samsung Asset Management Hong</v>
      </c>
      <c r="Z125" t="str">
        <f>_xll.BDP("3135 HK Equity","NAV_CRNCY")</f>
        <v>USD</v>
      </c>
      <c r="AA125" t="str">
        <f>_xll.BDP("3135 HK Equity","FUND_GEO_FOCUS")</f>
        <v>U.S.</v>
      </c>
      <c r="AB125" t="str">
        <f>_xll.BDP("3135 HK Equity","FUND_ASSET_CLASS_FOCUS")</f>
        <v>Alternative</v>
      </c>
      <c r="AC125">
        <f>_xll.BDP("3135 HK Equity","PX_LAST")</f>
        <v>19.46</v>
      </c>
      <c r="AD125">
        <f>_xll.BDP("3135 HK Equity","PX388","PX395=TIME_WAVG_BID_ASK_SPREAD_PCT","DY262=D","PY204=N","PX391=20260601","PX392=20260626")</f>
        <v>0.26892086609234772</v>
      </c>
      <c r="AE125">
        <f>_xll.BDP("3135 HK Equity","PX388","PX395=AVERAGE_BID_ASK_SPREAD_%","DY262=D","PY204=N","PX391=20260601","PX392=20260626")</f>
        <v>0.25567014184941494</v>
      </c>
    </row>
    <row r="126" spans="1:31" x14ac:dyDescent="0.25">
      <c r="A126" t="s">
        <v>151</v>
      </c>
      <c r="B126" t="str">
        <f>_xll.BDP("3136 HK Equity","LONG_COMP_NAME")</f>
        <v>HSI ESG Enhanced Select Index ETF</v>
      </c>
      <c r="C126">
        <f>_xll.BDP("3136 HK Equity","PX385","PX395=FUND_FLOW","DY262=D","PY204=N","PX391=20260622","PX392=20260626","DS004=USD")</f>
        <v>0</v>
      </c>
      <c r="D126">
        <f>_xll.BDP("3136 HK Equity","PX388","PX395=TURNOVER","DY262=D","PY204=N","PX391=20260601","PX392=20260626","DS004=HKD")</f>
        <v>135402.41428571427</v>
      </c>
      <c r="E126">
        <f>_xll.BDP("3136 HK Equity","PX388","PX395=TURNOVER","DY262=D","PY204=N","PX391=20250101","PX392=20251231","DS004=HKD")</f>
        <v>385396.07961206889</v>
      </c>
      <c r="F126">
        <f>_xll.BDP("3136 HK Equity","PX596","PX395=FUND_TOTAL_ASSETS","DY262=D","PY204=N","PX391=20260626","PX392=20260626","DS004=USD")</f>
        <v>2.2630423751291104</v>
      </c>
      <c r="G126">
        <f>_xll.BDP("3136 HK Equity","PX388","PX395=CUR_MKT_CAP","DY262=D","PY204=N","PX391=20260626","PX392=20260626","DS004=HKD")</f>
        <v>17.715</v>
      </c>
      <c r="H126" t="str">
        <f>_xll.BDP("3136 HK Equity","FUND_LEVERAGE_TYPE")</f>
        <v>#N/A N/A</v>
      </c>
      <c r="I126">
        <f>_xll.BDP("3136 HK Equity","PX388","PX395=TURNOVER","DY262=D","PY204=N","PX391=20260101","PX392=20260131","DS004=HKD")</f>
        <v>95576.76470588235</v>
      </c>
      <c r="J126">
        <v>-1</v>
      </c>
      <c r="K126" t="str">
        <f>_xll.BDP("3136 HK Equity","FUND_INCEPT_DT")</f>
        <v>2/22/2022</v>
      </c>
      <c r="L126" t="str">
        <f>_xll.BDP("3136 HK Equity","PX388","PX395=TURNOVER_EXCH_RATIO","DY262=D","PY204=N","PX391=20251201","PX392=20251210")</f>
        <v>#N/A N/A</v>
      </c>
      <c r="M126">
        <f>_xll.BDP("3136 HK Equity","EQY_SH_OUT")</f>
        <v>1.5</v>
      </c>
      <c r="N126">
        <f>_xll.BDP("3136 HK Equity","EQY_TRR_PCT_YTD")</f>
        <v>-10.185230000000001</v>
      </c>
      <c r="O126">
        <f>_xll.BDP("3136 HK Equity","CHG_PCT_YTD")</f>
        <v>-8.3016000000000005</v>
      </c>
      <c r="P126">
        <f>_xll.BDP("3136 HK Equity","CHG_PCT_1M")</f>
        <v>-8.5106369999999991</v>
      </c>
      <c r="Q126" t="str">
        <f>_xll.BDP("3136 HK Equity","LISTING_DATE")</f>
        <v>2/24/2022</v>
      </c>
      <c r="R126" t="str">
        <f>_xll.BDP("3136 HK Equity","FUND_INCEPT_DT")</f>
        <v>2/22/2022</v>
      </c>
      <c r="S126">
        <f>_xll.BDP("3136 HK Equity","AVG_DAILY_VALUE_TRADED_3M")</f>
        <v>195679.4</v>
      </c>
      <c r="T126" t="str">
        <f>_xll.BDP("3136 HK Equity","PX596","PX395=HISTORICAL_MARKET_CAP","DY262=D","PY204=N","PX391=20231231","PX392=20231231","DS004=HKD")</f>
        <v>#N/A N/A</v>
      </c>
      <c r="U126">
        <f>_xll.BDP("3136 HK Equity","PX385","PX395=FUND_FLOW","DY262=D","PY204=N","PX391=20240102","PX392=20240930","DS004=HKD")</f>
        <v>-46.28772</v>
      </c>
      <c r="V126">
        <f>_xll.BDP("3136 HK Equity","PX596","PX395=CUR_MKT_CAP","DY262=D","PY204=N","PX391=20240101","DS004=HKD")</f>
        <v>19.695</v>
      </c>
      <c r="W126" t="str">
        <f>_xll.BDP("3136 HK Equity","FUND_INCEPT_DT")</f>
        <v>2/22/2022</v>
      </c>
      <c r="X126">
        <f>_xll.BDP("3136 HK Equity","PX388","PX395=TURNOVER","DY262=D","PY204=N","PX391=20240502","PX392=20240606","DS004=HKD")</f>
        <v>361902.83999999997</v>
      </c>
      <c r="Y126" t="str">
        <f>_xll.BDP("3136 HK Equity","PARENT_COMP_NAME")</f>
        <v>Hang Seng Investment Managemen</v>
      </c>
      <c r="Z126" t="str">
        <f>_xll.BDP("3136 HK Equity","NAV_CRNCY")</f>
        <v>HKD</v>
      </c>
      <c r="AA126" t="str">
        <f>_xll.BDP("3136 HK Equity","FUND_GEO_FOCUS")</f>
        <v>Hong Kong</v>
      </c>
      <c r="AB126" t="str">
        <f>_xll.BDP("3136 HK Equity","FUND_ASSET_CLASS_FOCUS")</f>
        <v>Equity</v>
      </c>
      <c r="AC126">
        <f>_xll.BDP("3136 HK Equity","PX_LAST")</f>
        <v>12.04</v>
      </c>
      <c r="AD126">
        <f>_xll.BDP("3136 HK Equity","PX388","PX395=TIME_WAVG_BID_ASK_SPREAD_PCT","DY262=D","PY204=N","PX391=20260601","PX392=20260626")</f>
        <v>0.23384634089133116</v>
      </c>
      <c r="AE126">
        <f>_xll.BDP("3136 HK Equity","PX388","PX395=AVERAGE_BID_ASK_SPREAD_%","DY262=D","PY204=N","PX391=20260601","PX392=20260626")</f>
        <v>0.23968344652212831</v>
      </c>
    </row>
    <row r="127" spans="1:31" x14ac:dyDescent="0.25">
      <c r="A127" t="s">
        <v>152</v>
      </c>
      <c r="B127" t="str">
        <f>_xll.BDP("3137 HK Equity","LONG_COMP_NAME")</f>
        <v>Global X USD Money Market ETF</v>
      </c>
      <c r="C127">
        <f>_xll.BDP("3137 HK Equity","PX385","PX395=FUND_FLOW","DY262=D","PY204=N","PX391=20260622","PX392=20260626","DS004=USD")</f>
        <v>0</v>
      </c>
      <c r="D127">
        <f>_xll.BDP("3137 HK Equity","PX388","PX395=TURNOVER","DY262=D","PY204=N","PX391=20260601","PX392=20260626","DS004=HKD")</f>
        <v>416365.61052631575</v>
      </c>
      <c r="E127">
        <f>_xll.BDP("3137 HK Equity","PX388","PX395=TURNOVER","DY262=D","PY204=N","PX391=20250101","PX392=20251231","DS004=HKD")</f>
        <v>318862.56407407427</v>
      </c>
      <c r="F127">
        <f>_xll.BDP("3137 HK Equity","PX596","PX395=FUND_TOTAL_ASSETS","DY262=D","PY204=N","PX391=20260626","PX392=20260626","DS004=USD")</f>
        <v>35.466169020000002</v>
      </c>
      <c r="G127">
        <f>_xll.BDP("3137 HK Equity","PX388","PX395=CUR_MKT_CAP","DY262=D","PY204=N","PX391=20260626","PX392=20260626","DS004=HKD")</f>
        <v>278.64069999999998</v>
      </c>
      <c r="H127" t="str">
        <f>_xll.BDP("3137 HK Equity","FUND_LEVERAGE_TYPE")</f>
        <v>#N/A N/A</v>
      </c>
      <c r="I127">
        <f>_xll.BDP("3137 HK Equity","PX388","PX395=TURNOVER","DY262=D","PY204=N","PX391=20260101","PX392=20260131","DS004=HKD")</f>
        <v>227313.77894736841</v>
      </c>
      <c r="J127">
        <v>-1</v>
      </c>
      <c r="K127" t="str">
        <f>_xll.BDP("3137 HK Equity","FUND_INCEPT_DT")</f>
        <v>6/29/2023</v>
      </c>
      <c r="L127" t="str">
        <f>_xll.BDP("3137 HK Equity","PX388","PX395=TURNOVER_EXCH_RATIO","DY262=D","PY204=N","PX391=20251201","PX392=20251210")</f>
        <v>#N/A N/A</v>
      </c>
      <c r="M127">
        <f>_xll.BDP("3137 HK Equity","EQY_SH_OUT")</f>
        <v>0.247</v>
      </c>
      <c r="N127">
        <f>_xll.BDP("3137 HK Equity","EQY_TRR_PCT_YTD")</f>
        <v>1.8044899999999999</v>
      </c>
      <c r="O127">
        <f>_xll.BDP("3137 HK Equity","CHG_PCT_YTD")</f>
        <v>2.5045540000000002</v>
      </c>
      <c r="P127">
        <f>_xll.BDP("3137 HK Equity","CHG_PCT_1M")</f>
        <v>0.13345199999999999</v>
      </c>
      <c r="Q127" t="str">
        <f>_xll.BDP("3137 HK Equity","LISTING_DATE")</f>
        <v>6/29/2023</v>
      </c>
      <c r="R127" t="str">
        <f>_xll.BDP("3137 HK Equity","FUND_INCEPT_DT")</f>
        <v>6/29/2023</v>
      </c>
      <c r="S127">
        <f>_xll.BDP("3137 HK Equity","AVG_DAILY_VALUE_TRADED_3M")</f>
        <v>633158.40000000002</v>
      </c>
      <c r="T127" t="str">
        <f>_xll.BDP("3137 HK Equity","PX596","PX395=HISTORICAL_MARKET_CAP","DY262=D","PY204=N","PX391=20231231","PX392=20231231","DS004=HKD")</f>
        <v>#N/A N/A</v>
      </c>
      <c r="U127">
        <f>_xll.BDP("3137 HK Equity","PX385","PX395=FUND_FLOW","DY262=D","PY204=N","PX391=20240102","PX392=20240930","DS004=HKD")</f>
        <v>247.39773383210996</v>
      </c>
      <c r="V127">
        <f>_xll.BDP("3137 HK Equity","PX596","PX395=CUR_MKT_CAP","DY262=D","PY204=N","PX391=20240101","DS004=HKD")</f>
        <v>454.572</v>
      </c>
      <c r="W127" t="str">
        <f>_xll.BDP("3137 HK Equity","FUND_INCEPT_DT")</f>
        <v>6/29/2023</v>
      </c>
      <c r="X127">
        <f>_xll.BDP("3137 HK Equity","PX388","PX395=TURNOVER","DY262=D","PY204=N","PX391=20240502","PX392=20240606","DS004=HKD")</f>
        <v>2136501.4166666665</v>
      </c>
      <c r="Y127" t="str">
        <f>_xll.BDP("3137 HK Equity","PARENT_COMP_NAME")</f>
        <v>Mirae Asset Global Investments</v>
      </c>
      <c r="Z127" t="str">
        <f>_xll.BDP("3137 HK Equity","NAV_CRNCY")</f>
        <v>USD</v>
      </c>
      <c r="AA127" t="str">
        <f>_xll.BDP("3137 HK Equity","FUND_GEO_FOCUS")</f>
        <v>Global</v>
      </c>
      <c r="AB127" t="str">
        <f>_xll.BDP("3137 HK Equity","FUND_ASSET_CLASS_FOCUS")</f>
        <v>Money Market</v>
      </c>
      <c r="AC127">
        <f>_xll.BDP("3137 HK Equity","PX_LAST")</f>
        <v>1125.5</v>
      </c>
      <c r="AD127">
        <f>_xll.BDP("3137 HK Equity","PX388","PX395=TIME_WAVG_BID_ASK_SPREAD_PCT","DY262=D","PY204=N","PX391=20260601","PX392=20260626")</f>
        <v>0.17635621602709645</v>
      </c>
      <c r="AE127">
        <f>_xll.BDP("3137 HK Equity","PX388","PX395=AVERAGE_BID_ASK_SPREAD_%","DY262=D","PY204=N","PX391=20260601","PX392=20260626")</f>
        <v>0.23008606124129058</v>
      </c>
    </row>
    <row r="128" spans="1:31" x14ac:dyDescent="0.25">
      <c r="A128" t="s">
        <v>153</v>
      </c>
      <c r="B128" t="str">
        <f>_xll.BDP("3139 HK Equity","LONG_COMP_NAME")</f>
        <v>Global X EV and Humanoid Robot Active ETF</v>
      </c>
      <c r="C128">
        <f>_xll.BDP("3139 HK Equity","PX385","PX395=FUND_FLOW","DY262=D","PY204=N","PX391=20260622","PX392=20260626","DS004=USD")</f>
        <v>0</v>
      </c>
      <c r="D128">
        <f>_xll.BDP("3139 HK Equity","PX388","PX395=TURNOVER","DY262=D","PY204=N","PX391=20260601","PX392=20260626","DS004=HKD")</f>
        <v>51243.833333333336</v>
      </c>
      <c r="E128">
        <f>_xll.BDP("3139 HK Equity","PX388","PX395=TURNOVER","DY262=D","PY204=N","PX391=20250101","PX392=20251231","DS004=HKD")</f>
        <v>446297.59831775684</v>
      </c>
      <c r="F128">
        <f>_xll.BDP("3139 HK Equity","PX596","PX395=FUND_TOTAL_ASSETS","DY262=D","PY204=N","PX391=20260626","PX392=20260626","DS004=USD")</f>
        <v>1.1124556203057854</v>
      </c>
      <c r="G128">
        <f>_xll.BDP("3139 HK Equity","PX388","PX395=CUR_MKT_CAP","DY262=D","PY204=N","PX391=20260626","PX392=20260626","DS004=HKD")</f>
        <v>8.8260000000000005</v>
      </c>
      <c r="H128" t="str">
        <f>_xll.BDP("3139 HK Equity","FUND_LEVERAGE_TYPE")</f>
        <v>#N/A N/A</v>
      </c>
      <c r="I128">
        <f>_xll.BDP("3139 HK Equity","PX388","PX395=TURNOVER","DY262=D","PY204=N","PX391=20260101","PX392=20260131","DS004=HKD")</f>
        <v>85760.416666666657</v>
      </c>
      <c r="J128">
        <v>-1</v>
      </c>
      <c r="K128" t="str">
        <f>_xll.BDP("3139 HK Equity","FUND_INCEPT_DT")</f>
        <v>3/21/2022</v>
      </c>
      <c r="L128" t="str">
        <f>_xll.BDP("3139 HK Equity","PX388","PX395=TURNOVER_EXCH_RATIO","DY262=D","PY204=N","PX391=20251201","PX392=20251210")</f>
        <v>#N/A N/A</v>
      </c>
      <c r="M128">
        <f>_xll.BDP("3139 HK Equity","EQY_SH_OUT")</f>
        <v>9.9999999999999992E-2</v>
      </c>
      <c r="N128">
        <f>_xll.BDP("3139 HK Equity","EQY_TRR_PCT_YTD")</f>
        <v>8.4674600000000009</v>
      </c>
      <c r="O128">
        <f>_xll.BDP("3139 HK Equity","CHG_PCT_YTD")</f>
        <v>5.9317979999999997</v>
      </c>
      <c r="P128">
        <f>_xll.BDP("3139 HK Equity","CHG_PCT_1M")</f>
        <v>-11.301019999999999</v>
      </c>
      <c r="Q128" t="str">
        <f>_xll.BDP("3139 HK Equity","LISTING_DATE")</f>
        <v>3/21/2022</v>
      </c>
      <c r="R128" t="str">
        <f>_xll.BDP("3139 HK Equity","FUND_INCEPT_DT")</f>
        <v>3/21/2022</v>
      </c>
      <c r="S128">
        <f>_xll.BDP("3139 HK Equity","AVG_DAILY_VALUE_TRADED_3M")</f>
        <v>47166.62</v>
      </c>
      <c r="T128" t="str">
        <f>_xll.BDP("3139 HK Equity","PX596","PX395=HISTORICAL_MARKET_CAP","DY262=D","PY204=N","PX391=20231231","PX392=20231231","DS004=HKD")</f>
        <v>#N/A N/A</v>
      </c>
      <c r="U128">
        <f>_xll.BDP("3139 HK Equity","PX385","PX395=FUND_FLOW","DY262=D","PY204=N","PX391=20240102","PX392=20240930","DS004=HKD")</f>
        <v>-22.371165000000001</v>
      </c>
      <c r="V128">
        <f>_xll.BDP("3139 HK Equity","PX596","PX395=CUR_MKT_CAP","DY262=D","PY204=N","PX391=20240101","DS004=HKD")</f>
        <v>8.3280000000000012</v>
      </c>
      <c r="W128" t="str">
        <f>_xll.BDP("3139 HK Equity","FUND_INCEPT_DT")</f>
        <v>3/21/2022</v>
      </c>
      <c r="X128">
        <f>_xll.BDP("3139 HK Equity","PX388","PX395=TURNOVER","DY262=D","PY204=N","PX391=20240502","PX392=20240606","DS004=HKD")</f>
        <v>20007.812727272725</v>
      </c>
      <c r="Y128" t="str">
        <f>_xll.BDP("3139 HK Equity","PARENT_COMP_NAME")</f>
        <v>Mirae Asset Global Investments</v>
      </c>
      <c r="Z128" t="str">
        <f>_xll.BDP("3139 HK Equity","NAV_CRNCY")</f>
        <v>HKD</v>
      </c>
      <c r="AA128" t="str">
        <f>_xll.BDP("3139 HK Equity","FUND_GEO_FOCUS")</f>
        <v>Greater China</v>
      </c>
      <c r="AB128" t="str">
        <f>_xll.BDP("3139 HK Equity","FUND_ASSET_CLASS_FOCUS")</f>
        <v>Equity</v>
      </c>
      <c r="AC128">
        <f>_xll.BDP("3139 HK Equity","PX_LAST")</f>
        <v>88.22</v>
      </c>
      <c r="AD128">
        <f>_xll.BDP("3139 HK Equity","PX388","PX395=TIME_WAVG_BID_ASK_SPREAD_PCT","DY262=D","PY204=N","PX391=20260601","PX392=20260626")</f>
        <v>0.48236181912312276</v>
      </c>
      <c r="AE128">
        <f>_xll.BDP("3139 HK Equity","PX388","PX395=AVERAGE_BID_ASK_SPREAD_%","DY262=D","PY204=N","PX391=20260601","PX392=20260626")</f>
        <v>0.53425628007652803</v>
      </c>
    </row>
    <row r="129" spans="1:31" x14ac:dyDescent="0.25">
      <c r="A129" t="s">
        <v>154</v>
      </c>
      <c r="B129" t="str">
        <f>_xll.BDP("3140 HK Equity","LONG_COMP_NAME")</f>
        <v>ChinaAMC HK-US AI ETF</v>
      </c>
      <c r="C129">
        <f>_xll.BDP("3140 HK Equity","PX385","PX395=FUND_FLOW","DY262=D","PY204=N","PX391=20260622","PX392=20260626","DS004=USD")</f>
        <v>0</v>
      </c>
      <c r="D129">
        <f>_xll.BDP("3140 HK Equity","PX388","PX395=TURNOVER","DY262=D","PY204=N","PX391=20260601","PX392=20260626","DS004=HKD")</f>
        <v>242491.0263157895</v>
      </c>
      <c r="E129" t="str">
        <f>_xll.BDP("3140 HK Equity","PX388","PX395=TURNOVER","DY262=D","PY204=N","PX391=20250101","PX392=20251231","DS004=HKD")</f>
        <v>#N/A N/A</v>
      </c>
      <c r="F129">
        <f>_xll.BDP("3140 HK Equity","PX596","PX395=FUND_TOTAL_ASSETS","DY262=D","PY204=N","PX391=20260626","PX392=20260626","DS004=USD")</f>
        <v>78.755970870047548</v>
      </c>
      <c r="G129">
        <f>_xll.BDP("3140 HK Equity","PX388","PX395=CUR_MKT_CAP","DY262=D","PY204=N","PX391=20260626","PX392=20260626","DS004=HKD")</f>
        <v>606.76775600000008</v>
      </c>
      <c r="H129" t="str">
        <f>_xll.BDP("3140 HK Equity","FUND_LEVERAGE_TYPE")</f>
        <v>#N/A N/A</v>
      </c>
      <c r="I129" t="str">
        <f>_xll.BDP("3140 HK Equity","PX388","PX395=TURNOVER","DY262=D","PY204=N","PX391=20260101","PX392=20260131","DS004=HKD")</f>
        <v>#N/A N/A</v>
      </c>
      <c r="J129" t="s">
        <v>31</v>
      </c>
      <c r="K129" t="str">
        <f>_xll.BDP("3140 HK Equity","FUND_INCEPT_DT")</f>
        <v>3/17/2026</v>
      </c>
      <c r="L129" t="str">
        <f>_xll.BDP("3140 HK Equity","PX388","PX395=TURNOVER_EXCH_RATIO","DY262=D","PY204=N","PX391=20251201","PX392=20251210")</f>
        <v>#N/A N/A</v>
      </c>
      <c r="M129">
        <f>_xll.BDP("3140 HK Equity","EQY_SH_OUT")</f>
        <v>84.744100000000003</v>
      </c>
      <c r="N129" t="str">
        <f>_xll.BDP("3140 HK Equity","EQY_TRR_PCT_YTD")</f>
        <v>#N/A N/A</v>
      </c>
      <c r="O129" t="str">
        <f>_xll.BDP("3140 HK Equity","CHG_PCT_YTD")</f>
        <v>#N/A N/A</v>
      </c>
      <c r="P129">
        <f>_xll.BDP("3140 HK Equity","CHG_PCT_1M")</f>
        <v>-10.03717</v>
      </c>
      <c r="Q129" t="str">
        <f>_xll.BDP("3140 HK Equity","LISTING_DATE")</f>
        <v>3/18/2026</v>
      </c>
      <c r="R129" t="str">
        <f>_xll.BDP("3140 HK Equity","FUND_INCEPT_DT")</f>
        <v>3/17/2026</v>
      </c>
      <c r="S129">
        <f>_xll.BDP("3140 HK Equity","AVG_DAILY_VALUE_TRADED_3M")</f>
        <v>506893</v>
      </c>
      <c r="T129" t="str">
        <f>_xll.BDP("3140 HK Equity","PX596","PX395=HISTORICAL_MARKET_CAP","DY262=D","PY204=N","PX391=20231231","PX392=20231231","DS004=HKD")</f>
        <v>#N/A N/A</v>
      </c>
      <c r="U129" t="str">
        <f>_xll.BDP("3140 HK Equity","PX385","PX395=FUND_FLOW","DY262=D","PY204=N","PX391=20240102","PX392=20240930","DS004=HKD")</f>
        <v>#N/A N/A</v>
      </c>
      <c r="V129" t="str">
        <f>_xll.BDP("3140 HK Equity","PX596","PX395=CUR_MKT_CAP","DY262=D","PY204=N","PX391=20240101","DS004=HKD")</f>
        <v>#N/A N/A</v>
      </c>
      <c r="W129" t="str">
        <f>_xll.BDP("3140 HK Equity","FUND_INCEPT_DT")</f>
        <v>3/17/2026</v>
      </c>
      <c r="X129" t="str">
        <f>_xll.BDP("3140 HK Equity","PX388","PX395=TURNOVER","DY262=D","PY204=N","PX391=20240502","PX392=20240606","DS004=HKD")</f>
        <v>#N/A N/A</v>
      </c>
      <c r="Y129" t="str">
        <f>_xll.BDP("3140 HK Equity","PARENT_COMP_NAME")</f>
        <v>China Asset Management Hong Ko</v>
      </c>
      <c r="Z129" t="str">
        <f>_xll.BDP("3140 HK Equity","NAV_CRNCY")</f>
        <v>HKD</v>
      </c>
      <c r="AA129" t="str">
        <f>_xll.BDP("3140 HK Equity","FUND_GEO_FOCUS")</f>
        <v>Multi</v>
      </c>
      <c r="AB129" t="str">
        <f>_xll.BDP("3140 HK Equity","FUND_ASSET_CLASS_FOCUS")</f>
        <v>Equity</v>
      </c>
      <c r="AC129">
        <f>_xll.BDP("3140 HK Equity","PX_LAST")</f>
        <v>7.26</v>
      </c>
      <c r="AD129">
        <f>_xll.BDP("3140 HK Equity","PX388","PX395=TIME_WAVG_BID_ASK_SPREAD_PCT","DY262=D","PY204=N","PX391=20260601","PX392=20260626")</f>
        <v>0.46013882573481563</v>
      </c>
      <c r="AE129">
        <f>_xll.BDP("3140 HK Equity","PX388","PX395=AVERAGE_BID_ASK_SPREAD_%","DY262=D","PY204=N","PX391=20260601","PX392=20260626")</f>
        <v>0.54793662640546248</v>
      </c>
    </row>
    <row r="130" spans="1:31" x14ac:dyDescent="0.25">
      <c r="A130" t="s">
        <v>155</v>
      </c>
      <c r="B130" t="str">
        <f>_xll.BDP("3141 HK Equity","LONG_COMP_NAME")</f>
        <v>ChinaAMC Asia USD Investment Grade Bond ETF</v>
      </c>
      <c r="C130">
        <f>_xll.BDP("3141 HK Equity","PX385","PX395=FUND_FLOW","DY262=D","PY204=N","PX391=20260622","PX392=20260626","DS004=USD")</f>
        <v>0</v>
      </c>
      <c r="D130">
        <f>_xll.BDP("3141 HK Equity","PX388","PX395=TURNOVER","DY262=D","PY204=N","PX391=20260601","PX392=20260626","DS004=HKD")</f>
        <v>293900.9499999999</v>
      </c>
      <c r="E130">
        <f>_xll.BDP("3141 HK Equity","PX388","PX395=TURNOVER","DY262=D","PY204=N","PX391=20250101","PX392=20251231","DS004=HKD")</f>
        <v>186824.89690909086</v>
      </c>
      <c r="F130">
        <f>_xll.BDP("3141 HK Equity","PX596","PX395=FUND_TOTAL_ASSETS","DY262=D","PY204=N","PX391=20260626","PX392=20260626","DS004=USD")</f>
        <v>12.999069458435876</v>
      </c>
      <c r="G130">
        <f>_xll.BDP("3141 HK Equity","PX388","PX395=CUR_MKT_CAP","DY262=D","PY204=N","PX391=20260626","PX392=20260626","DS004=HKD")</f>
        <v>101.791</v>
      </c>
      <c r="H130" t="str">
        <f>_xll.BDP("3141 HK Equity","FUND_LEVERAGE_TYPE")</f>
        <v>#N/A N/A</v>
      </c>
      <c r="I130">
        <f>_xll.BDP("3141 HK Equity","PX388","PX395=TURNOVER","DY262=D","PY204=N","PX391=20260101","PX392=20260131","DS004=HKD")</f>
        <v>201115.16095238095</v>
      </c>
      <c r="J130">
        <v>-1</v>
      </c>
      <c r="K130" t="str">
        <f>_xll.BDP("3141 HK Equity","FUND_INCEPT_DT")</f>
        <v>11/13/2014</v>
      </c>
      <c r="L130" t="str">
        <f>_xll.BDP("3141 HK Equity","PX388","PX395=TURNOVER_EXCH_RATIO","DY262=D","PY204=N","PX391=20251201","PX392=20251210")</f>
        <v>#N/A N/A</v>
      </c>
      <c r="M130">
        <f>_xll.BDP("3141 HK Equity","EQY_SH_OUT")</f>
        <v>6.85</v>
      </c>
      <c r="N130">
        <f>_xll.BDP("3141 HK Equity","EQY_TRR_PCT_YTD")</f>
        <v>1.4473100000000001</v>
      </c>
      <c r="O130">
        <f>_xll.BDP("3141 HK Equity","CHG_PCT_YTD")</f>
        <v>-0.40053100000000003</v>
      </c>
      <c r="P130">
        <f>_xll.BDP("3141 HK Equity","CHG_PCT_1M")</f>
        <v>0.67476590000000003</v>
      </c>
      <c r="Q130" t="str">
        <f>_xll.BDP("3141 HK Equity","LISTING_DATE")</f>
        <v>11/13/2014</v>
      </c>
      <c r="R130" t="str">
        <f>_xll.BDP("3141 HK Equity","FUND_INCEPT_DT")</f>
        <v>11/13/2014</v>
      </c>
      <c r="S130">
        <f>_xll.BDP("3141 HK Equity","AVG_DAILY_VALUE_TRADED_3M")</f>
        <v>612676.80000000005</v>
      </c>
      <c r="T130" t="str">
        <f>_xll.BDP("3141 HK Equity","PX596","PX395=HISTORICAL_MARKET_CAP","DY262=D","PY204=N","PX391=20231231","PX392=20231231","DS004=HKD")</f>
        <v>#N/A N/A</v>
      </c>
      <c r="U130">
        <f>_xll.BDP("3141 HK Equity","PX385","PX395=FUND_FLOW","DY262=D","PY204=N","PX391=20240102","PX392=20240930","DS004=HKD")</f>
        <v>-71.494000000000014</v>
      </c>
      <c r="V130">
        <f>_xll.BDP("3141 HK Equity","PX596","PX395=CUR_MKT_CAP","DY262=D","PY204=N","PX391=20240101","DS004=HKD")</f>
        <v>98.119</v>
      </c>
      <c r="W130" t="str">
        <f>_xll.BDP("3141 HK Equity","FUND_INCEPT_DT")</f>
        <v>11/13/2014</v>
      </c>
      <c r="X130">
        <f>_xll.BDP("3141 HK Equity","PX388","PX395=TURNOVER","DY262=D","PY204=N","PX391=20240502","PX392=20240606","DS004=HKD")</f>
        <v>66770.452173913043</v>
      </c>
      <c r="Y130" t="str">
        <f>_xll.BDP("3141 HK Equity","PARENT_COMP_NAME")</f>
        <v>China Asset Management Hong Ko</v>
      </c>
      <c r="Z130" t="str">
        <f>_xll.BDP("3141 HK Equity","NAV_CRNCY")</f>
        <v>HKD</v>
      </c>
      <c r="AA130" t="str">
        <f>_xll.BDP("3141 HK Equity","FUND_GEO_FOCUS")</f>
        <v>Asian Pacific Region ex Japan</v>
      </c>
      <c r="AB130" t="str">
        <f>_xll.BDP("3141 HK Equity","FUND_ASSET_CLASS_FOCUS")</f>
        <v>Fixed Income</v>
      </c>
      <c r="AC130">
        <f>_xll.BDP("3141 HK Equity","PX_LAST")</f>
        <v>14.92</v>
      </c>
      <c r="AD130">
        <f>_xll.BDP("3141 HK Equity","PX388","PX395=TIME_WAVG_BID_ASK_SPREAD_PCT","DY262=D","PY204=N","PX391=20260601","PX392=20260626")</f>
        <v>0.3124924335150282</v>
      </c>
      <c r="AE130">
        <f>_xll.BDP("3141 HK Equity","PX388","PX395=AVERAGE_BID_ASK_SPREAD_%","DY262=D","PY204=N","PX391=20260601","PX392=20260626")</f>
        <v>0.70552294717455344</v>
      </c>
    </row>
    <row r="131" spans="1:31" x14ac:dyDescent="0.25">
      <c r="A131" t="s">
        <v>156</v>
      </c>
      <c r="B131" t="str">
        <f>_xll.BDP("3146 HK Equity","LONG_COMP_NAME")</f>
        <v>ChinaAMC 20+ Year US Treasury Bond ETF</v>
      </c>
      <c r="C131">
        <f>_xll.BDP("3146 HK Equity","PX385","PX395=FUND_FLOW","DY262=D","PY204=N","PX391=20260622","PX392=20260626","DS004=USD")</f>
        <v>0</v>
      </c>
      <c r="D131">
        <f>_xll.BDP("3146 HK Equity","PX388","PX395=TURNOVER","DY262=D","PY204=N","PX391=20260601","PX392=20260626","DS004=HKD")</f>
        <v>181004.78636363635</v>
      </c>
      <c r="E131">
        <f>_xll.BDP("3146 HK Equity","PX388","PX395=TURNOVER","DY262=D","PY204=N","PX391=20250101","PX392=20251231","DS004=HKD")</f>
        <v>320356.77339449542</v>
      </c>
      <c r="F131">
        <f>_xll.BDP("3146 HK Equity","PX596","PX395=FUND_TOTAL_ASSETS","DY262=D","PY204=N","PX391=20260626","PX392=20260626","DS004=USD")</f>
        <v>14.96</v>
      </c>
      <c r="G131">
        <f>_xll.BDP("3146 HK Equity","PX388","PX395=CUR_MKT_CAP","DY262=D","PY204=N","PX391=20260626","PX392=20260626","DS004=HKD")</f>
        <v>14.757000000000001</v>
      </c>
      <c r="H131" t="str">
        <f>_xll.BDP("3146 HK Equity","FUND_LEVERAGE_TYPE")</f>
        <v>#N/A N/A</v>
      </c>
      <c r="I131">
        <f>_xll.BDP("3146 HK Equity","PX388","PX395=TURNOVER","DY262=D","PY204=N","PX391=20260101","PX392=20260131","DS004=HKD")</f>
        <v>377817.59444444446</v>
      </c>
      <c r="J131">
        <v>-1</v>
      </c>
      <c r="K131" t="str">
        <f>_xll.BDP("3146 HK Equity","FUND_INCEPT_DT")</f>
        <v>6/17/2024</v>
      </c>
      <c r="L131" t="str">
        <f>_xll.BDP("3146 HK Equity","PX388","PX395=TURNOVER_EXCH_RATIO","DY262=D","PY204=N","PX391=20251201","PX392=20251210")</f>
        <v>#N/A N/A</v>
      </c>
      <c r="M131">
        <f>_xll.BDP("3146 HK Equity","EQY_SH_OUT")</f>
        <v>0.02</v>
      </c>
      <c r="N131">
        <f>_xll.BDP("3146 HK Equity","EQY_TRR_PCT_YTD")</f>
        <v>2.7680720000000001</v>
      </c>
      <c r="O131">
        <f>_xll.BDP("3146 HK Equity","CHG_PCT_YTD")</f>
        <v>-0.1218175</v>
      </c>
      <c r="P131">
        <f>_xll.BDP("3146 HK Equity","CHG_PCT_1M")</f>
        <v>2.3510629999999999</v>
      </c>
      <c r="Q131" t="str">
        <f>_xll.BDP("3146 HK Equity","LISTING_DATE")</f>
        <v>6/17/2024</v>
      </c>
      <c r="R131" t="str">
        <f>_xll.BDP("3146 HK Equity","FUND_INCEPT_DT")</f>
        <v>6/17/2024</v>
      </c>
      <c r="S131">
        <f>_xll.BDP("3146 HK Equity","AVG_DAILY_VALUE_TRADED_3M")</f>
        <v>113065.1</v>
      </c>
      <c r="T131" t="str">
        <f>_xll.BDP("3146 HK Equity","PX596","PX395=HISTORICAL_MARKET_CAP","DY262=D","PY204=N","PX391=20231231","PX392=20231231","DS004=HKD")</f>
        <v>#N/A N/A</v>
      </c>
      <c r="U131">
        <f>_xll.BDP("3146 HK Equity","PX385","PX395=FUND_FLOW","DY262=D","PY204=N","PX391=20240102","PX392=20240930","DS004=HKD")</f>
        <v>24.536682000000006</v>
      </c>
      <c r="V131">
        <f>_xll.BDP("3146 HK Equity","PX596","PX395=CUR_MKT_CAP","DY262=D","PY204=N","PX391=20240101","DS004=HKD")</f>
        <v>14.776</v>
      </c>
      <c r="W131" t="str">
        <f>_xll.BDP("3146 HK Equity","FUND_INCEPT_DT")</f>
        <v>6/17/2024</v>
      </c>
      <c r="X131" t="str">
        <f>_xll.BDP("3146 HK Equity","PX388","PX395=TURNOVER","DY262=D","PY204=N","PX391=20240502","PX392=20240606","DS004=HKD")</f>
        <v>#N/A N/A</v>
      </c>
      <c r="Y131" t="str">
        <f>_xll.BDP("3146 HK Equity","PARENT_COMP_NAME")</f>
        <v>China Asset Management Hong Ko</v>
      </c>
      <c r="Z131" t="str">
        <f>_xll.BDP("3146 HK Equity","NAV_CRNCY")</f>
        <v>HKD</v>
      </c>
      <c r="AA131" t="str">
        <f>_xll.BDP("3146 HK Equity","FUND_GEO_FOCUS")</f>
        <v>U.S.</v>
      </c>
      <c r="AB131" t="str">
        <f>_xll.BDP("3146 HK Equity","FUND_ASSET_CLASS_FOCUS")</f>
        <v>Fixed Income</v>
      </c>
      <c r="AC131">
        <f>_xll.BDP("3146 HK Equity","PX_LAST")</f>
        <v>737.9</v>
      </c>
      <c r="AD131">
        <f>_xll.BDP("3146 HK Equity","PX388","PX395=TIME_WAVG_BID_ASK_SPREAD_PCT","DY262=D","PY204=N","PX391=20260601","PX392=20260626")</f>
        <v>0.39844455009210794</v>
      </c>
      <c r="AE131">
        <f>_xll.BDP("3146 HK Equity","PX388","PX395=AVERAGE_BID_ASK_SPREAD_%","DY262=D","PY204=N","PX391=20260601","PX392=20260626")</f>
        <v>0.85793485645859602</v>
      </c>
    </row>
    <row r="132" spans="1:31" x14ac:dyDescent="0.25">
      <c r="A132" t="s">
        <v>157</v>
      </c>
      <c r="B132" t="str">
        <f>_xll.BDP("3150 HK Equity","LONG_COMP_NAME")</f>
        <v>Global X Japan Global Leaders ETF Hong Kong</v>
      </c>
      <c r="C132">
        <f>_xll.BDP("3150 HK Equity","PX385","PX395=FUND_FLOW","DY262=D","PY204=N","PX391=20260622","PX392=20260626","DS004=USD")</f>
        <v>0</v>
      </c>
      <c r="D132">
        <f>_xll.BDP("3150 HK Equity","PX388","PX395=TURNOVER","DY262=D","PY204=N","PX391=20260601","PX392=20260626","DS004=HKD")</f>
        <v>240234.61111111112</v>
      </c>
      <c r="E132">
        <f>_xll.BDP("3150 HK Equity","PX388","PX395=TURNOVER","DY262=D","PY204=N","PX391=20250101","PX392=20251231","DS004=HKD")</f>
        <v>245056.91962441307</v>
      </c>
      <c r="F132">
        <f>_xll.BDP("3150 HK Equity","PX596","PX395=FUND_TOTAL_ASSETS","DY262=D","PY204=N","PX391=20260626","PX392=20260626","DS004=USD")</f>
        <v>2.8597271368638495</v>
      </c>
      <c r="G132">
        <f>_xll.BDP("3150 HK Equity","PX388","PX395=CUR_MKT_CAP","DY262=D","PY204=N","PX391=20260626","PX392=20260626","DS004=HKD")</f>
        <v>22.566500000000001</v>
      </c>
      <c r="H132" t="str">
        <f>_xll.BDP("3150 HK Equity","FUND_LEVERAGE_TYPE")</f>
        <v>#N/A N/A</v>
      </c>
      <c r="I132">
        <f>_xll.BDP("3150 HK Equity","PX388","PX395=TURNOVER","DY262=D","PY204=N","PX391=20260101","PX392=20260131","DS004=HKD")</f>
        <v>182615.30000000002</v>
      </c>
      <c r="J132">
        <v>-1</v>
      </c>
      <c r="K132" t="str">
        <f>_xll.BDP("3150 HK Equity","FUND_INCEPT_DT")</f>
        <v>11/24/2023</v>
      </c>
      <c r="L132" t="str">
        <f>_xll.BDP("3150 HK Equity","PX388","PX395=TURNOVER_EXCH_RATIO","DY262=D","PY204=N","PX391=20251201","PX392=20251210")</f>
        <v>#N/A N/A</v>
      </c>
      <c r="M132">
        <f>_xll.BDP("3150 HK Equity","EQY_SH_OUT")</f>
        <v>0.27499999999999997</v>
      </c>
      <c r="N132">
        <f>_xll.BDP("3150 HK Equity","EQY_TRR_PCT_YTD")</f>
        <v>6.0550680000000003</v>
      </c>
      <c r="O132">
        <f>_xll.BDP("3150 HK Equity","CHG_PCT_YTD")</f>
        <v>5.5641030000000002</v>
      </c>
      <c r="P132">
        <f>_xll.BDP("3150 HK Equity","CHG_PCT_1M")</f>
        <v>-6.3253709999999996</v>
      </c>
      <c r="Q132" t="str">
        <f>_xll.BDP("3150 HK Equity","LISTING_DATE")</f>
        <v>11/24/2023</v>
      </c>
      <c r="R132" t="str">
        <f>_xll.BDP("3150 HK Equity","FUND_INCEPT_DT")</f>
        <v>11/24/2023</v>
      </c>
      <c r="S132">
        <f>_xll.BDP("3150 HK Equity","AVG_DAILY_VALUE_TRADED_3M")</f>
        <v>364985.3</v>
      </c>
      <c r="T132" t="str">
        <f>_xll.BDP("3150 HK Equity","PX596","PX395=HISTORICAL_MARKET_CAP","DY262=D","PY204=N","PX391=20231231","PX392=20231231","DS004=HKD")</f>
        <v>#N/A N/A</v>
      </c>
      <c r="U132">
        <f>_xll.BDP("3150 HK Equity","PX385","PX395=FUND_FLOW","DY262=D","PY204=N","PX391=20240102","PX392=20240930","DS004=HKD")</f>
        <v>6.1246599999999951</v>
      </c>
      <c r="V132">
        <f>_xll.BDP("3150 HK Equity","PX596","PX395=CUR_MKT_CAP","DY262=D","PY204=N","PX391=20240101","DS004=HKD")</f>
        <v>11.7</v>
      </c>
      <c r="W132" t="str">
        <f>_xll.BDP("3150 HK Equity","FUND_INCEPT_DT")</f>
        <v>11/24/2023</v>
      </c>
      <c r="X132">
        <f>_xll.BDP("3150 HK Equity","PX388","PX395=TURNOVER","DY262=D","PY204=N","PX391=20240502","PX392=20240606","DS004=HKD")</f>
        <v>330723.52166666661</v>
      </c>
      <c r="Y132" t="str">
        <f>_xll.BDP("3150 HK Equity","PARENT_COMP_NAME")</f>
        <v>Mirae Asset Global Investments</v>
      </c>
      <c r="Z132" t="str">
        <f>_xll.BDP("3150 HK Equity","NAV_CRNCY")</f>
        <v>HKD</v>
      </c>
      <c r="AA132" t="str">
        <f>_xll.BDP("3150 HK Equity","FUND_GEO_FOCUS")</f>
        <v>Japan</v>
      </c>
      <c r="AB132" t="str">
        <f>_xll.BDP("3150 HK Equity","FUND_ASSET_CLASS_FOCUS")</f>
        <v>Equity</v>
      </c>
      <c r="AC132">
        <f>_xll.BDP("3150 HK Equity","PX_LAST")</f>
        <v>82.34</v>
      </c>
      <c r="AD132">
        <f>_xll.BDP("3150 HK Equity","PX388","PX395=TIME_WAVG_BID_ASK_SPREAD_PCT","DY262=D","PY204=N","PX391=20260601","PX392=20260626")</f>
        <v>0.43038864001137839</v>
      </c>
      <c r="AE132">
        <f>_xll.BDP("3150 HK Equity","PX388","PX395=AVERAGE_BID_ASK_SPREAD_%","DY262=D","PY204=N","PX391=20260601","PX392=20260626")</f>
        <v>0.48882698640607802</v>
      </c>
    </row>
    <row r="133" spans="1:31" x14ac:dyDescent="0.25">
      <c r="A133" t="s">
        <v>158</v>
      </c>
      <c r="B133" t="str">
        <f>_xll.BDP("3153 HK Equity","LONG_COMP_NAME")</f>
        <v>CSOP Nikkei 225 Index ETF</v>
      </c>
      <c r="C133">
        <f>_xll.BDP("3153 HK Equity","PX385","PX395=FUND_FLOW","DY262=D","PY204=N","PX391=20260622","PX392=20260626","DS004=USD")</f>
        <v>0</v>
      </c>
      <c r="D133">
        <f>_xll.BDP("3153 HK Equity","PX388","PX395=TURNOVER","DY262=D","PY204=N","PX391=20260601","PX392=20260626","DS004=HKD")</f>
        <v>2519451.1315789479</v>
      </c>
      <c r="E133">
        <f>_xll.BDP("3153 HK Equity","PX388","PX395=TURNOVER","DY262=D","PY204=N","PX391=20250101","PX392=20251231","DS004=HKD")</f>
        <v>575211.65121951245</v>
      </c>
      <c r="F133">
        <f>_xll.BDP("3153 HK Equity","PX596","PX395=FUND_TOTAL_ASSETS","DY262=D","PY204=N","PX391=20260626","PX392=20260626","DS004=USD")</f>
        <v>153.369477402819</v>
      </c>
      <c r="G133">
        <f>_xll.BDP("3153 HK Equity","PX388","PX395=CUR_MKT_CAP","DY262=D","PY204=N","PX391=20260626","PX392=20260626","DS004=HKD")</f>
        <v>1199.7549999999999</v>
      </c>
      <c r="H133" t="str">
        <f>_xll.BDP("3153 HK Equity","FUND_LEVERAGE_TYPE")</f>
        <v>#N/A N/A</v>
      </c>
      <c r="I133">
        <f>_xll.BDP("3153 HK Equity","PX388","PX395=TURNOVER","DY262=D","PY204=N","PX391=20260101","PX392=20260131","DS004=HKD")</f>
        <v>849136.47619047621</v>
      </c>
      <c r="J133">
        <v>-1</v>
      </c>
      <c r="K133" t="str">
        <f>_xll.BDP("3153 HK Equity","FUND_INCEPT_DT")</f>
        <v>1/31/2024</v>
      </c>
      <c r="L133" t="str">
        <f>_xll.BDP("3153 HK Equity","PX388","PX395=TURNOVER_EXCH_RATIO","DY262=D","PY204=N","PX391=20251201","PX392=20251210")</f>
        <v>#N/A N/A</v>
      </c>
      <c r="M133">
        <f>_xll.BDP("3153 HK Equity","EQY_SH_OUT")</f>
        <v>8.65</v>
      </c>
      <c r="N133">
        <f>_xll.BDP("3153 HK Equity","EQY_TRR_PCT_YTD")</f>
        <v>37.77111</v>
      </c>
      <c r="O133">
        <f>_xll.BDP("3153 HK Equity","CHG_PCT_YTD")</f>
        <v>35.073169999999998</v>
      </c>
      <c r="P133">
        <f>_xll.BDP("3153 HK Equity","CHG_PCT_1M")</f>
        <v>3.669035</v>
      </c>
      <c r="Q133" t="str">
        <f>_xll.BDP("3153 HK Equity","LISTING_DATE")</f>
        <v>1/31/2024</v>
      </c>
      <c r="R133" t="str">
        <f>_xll.BDP("3153 HK Equity","FUND_INCEPT_DT")</f>
        <v>1/31/2024</v>
      </c>
      <c r="S133">
        <f>_xll.BDP("3153 HK Equity","AVG_DAILY_VALUE_TRADED_3M")</f>
        <v>1729632</v>
      </c>
      <c r="T133" t="str">
        <f>_xll.BDP("3153 HK Equity","PX596","PX395=HISTORICAL_MARKET_CAP","DY262=D","PY204=N","PX391=20231231","PX392=20231231","DS004=HKD")</f>
        <v>#N/A N/A</v>
      </c>
      <c r="U133">
        <f>_xll.BDP("3153 HK Equity","PX385","PX395=FUND_FLOW","DY262=D","PY204=N","PX391=20240102","PX392=20240930","DS004=HKD")</f>
        <v>-2.9789190308777034</v>
      </c>
      <c r="V133">
        <f>_xll.BDP("3153 HK Equity","PX596","PX395=CUR_MKT_CAP","DY262=D","PY204=N","PX391=20240101","DS004=HKD")</f>
        <v>87.125</v>
      </c>
      <c r="W133" t="str">
        <f>_xll.BDP("3153 HK Equity","FUND_INCEPT_DT")</f>
        <v>1/31/2024</v>
      </c>
      <c r="X133">
        <f>_xll.BDP("3153 HK Equity","PX388","PX395=TURNOVER","DY262=D","PY204=N","PX391=20240502","PX392=20240606","DS004=HKD")</f>
        <v>2129089.6720000003</v>
      </c>
      <c r="Y133" t="str">
        <f>_xll.BDP("3153 HK Equity","PARENT_COMP_NAME")</f>
        <v>CSOP Asset Management Ltd/Hong</v>
      </c>
      <c r="Z133" t="str">
        <f>_xll.BDP("3153 HK Equity","NAV_CRNCY")</f>
        <v>JPY</v>
      </c>
      <c r="AA133" t="str">
        <f>_xll.BDP("3153 HK Equity","FUND_GEO_FOCUS")</f>
        <v>Japan</v>
      </c>
      <c r="AB133" t="str">
        <f>_xll.BDP("3153 HK Equity","FUND_ASSET_CLASS_FOCUS")</f>
        <v>Equity</v>
      </c>
      <c r="AC133">
        <f>_xll.BDP("3153 HK Equity","PX_LAST")</f>
        <v>138.44999999999999</v>
      </c>
      <c r="AD133">
        <f>_xll.BDP("3153 HK Equity","PX388","PX395=TIME_WAVG_BID_ASK_SPREAD_PCT","DY262=D","PY204=N","PX391=20260601","PX392=20260626")</f>
        <v>0.16401965896710552</v>
      </c>
      <c r="AE133">
        <f>_xll.BDP("3153 HK Equity","PX388","PX395=AVERAGE_BID_ASK_SPREAD_%","DY262=D","PY204=N","PX391=20260601","PX392=20260626")</f>
        <v>0.18904810744776387</v>
      </c>
    </row>
    <row r="134" spans="1:31" x14ac:dyDescent="0.25">
      <c r="A134" t="s">
        <v>159</v>
      </c>
      <c r="B134" t="str">
        <f>_xll.BDP("3156 HK Equity","LONG_COMP_NAME")</f>
        <v>Bosera 20+ Year US Treasury Bond ETF</v>
      </c>
      <c r="C134">
        <f>_xll.BDP("3156 HK Equity","PX385","PX395=FUND_FLOW","DY262=D","PY204=N","PX391=20260622","PX392=20260626","DS004=USD")</f>
        <v>0</v>
      </c>
      <c r="D134">
        <f>_xll.BDP("3156 HK Equity","PX388","PX395=TURNOVER","DY262=D","PY204=N","PX391=20260601","PX392=20260626","DS004=HKD")</f>
        <v>52961.15</v>
      </c>
      <c r="E134">
        <f>_xll.BDP("3156 HK Equity","PX388","PX395=TURNOVER","DY262=D","PY204=N","PX391=20250101","PX392=20251231","DS004=HKD")</f>
        <v>247484.34920634923</v>
      </c>
      <c r="F134" t="str">
        <f>_xll.BDP("3156 HK Equity","PX596","PX395=FUND_TOTAL_ASSETS","DY262=D","PY204=N","PX391=20260626","PX392=20260626","DS004=USD")</f>
        <v>#N/A N/A</v>
      </c>
      <c r="G134">
        <f>_xll.BDP("3156 HK Equity","PX388","PX395=CUR_MKT_CAP","DY262=D","PY204=N","PX391=20260626","PX392=20260626","DS004=HKD")</f>
        <v>7.84</v>
      </c>
      <c r="H134" t="str">
        <f>_xll.BDP("3156 HK Equity","FUND_LEVERAGE_TYPE")</f>
        <v>#N/A N/A</v>
      </c>
      <c r="I134">
        <f>_xll.BDP("3156 HK Equity","PX388","PX395=TURNOVER","DY262=D","PY204=N","PX391=20260101","PX392=20260131","DS004=HKD")</f>
        <v>184468.4</v>
      </c>
      <c r="J134" t="s">
        <v>31</v>
      </c>
      <c r="K134" t="str">
        <f>_xll.BDP("3156 HK Equity","FUND_INCEPT_DT")</f>
        <v>2/28/2024</v>
      </c>
      <c r="L134" t="str">
        <f>_xll.BDP("3156 HK Equity","PX388","PX395=TURNOVER_EXCH_RATIO","DY262=D","PY204=N","PX391=20251201","PX392=20251210")</f>
        <v>#N/A N/A</v>
      </c>
      <c r="M134">
        <f>_xll.BDP("3156 HK Equity","EQY_SH_OUT")</f>
        <v>0.01</v>
      </c>
      <c r="N134">
        <f>_xll.BDP("3156 HK Equity","EQY_TRR_PCT_YTD")</f>
        <v>0.48593419999999998</v>
      </c>
      <c r="O134">
        <f>_xll.BDP("3156 HK Equity","CHG_PCT_YTD")</f>
        <v>-0.70921679999999998</v>
      </c>
      <c r="P134">
        <f>_xll.BDP("3156 HK Equity","CHG_PCT_1M")</f>
        <v>1.29199</v>
      </c>
      <c r="Q134" t="str">
        <f>_xll.BDP("3156 HK Equity","LISTING_DATE")</f>
        <v>2/29/2024</v>
      </c>
      <c r="R134" t="str">
        <f>_xll.BDP("3156 HK Equity","FUND_INCEPT_DT")</f>
        <v>2/28/2024</v>
      </c>
      <c r="S134">
        <f>_xll.BDP("3156 HK Equity","AVG_DAILY_VALUE_TRADED_3M")</f>
        <v>17622.830000000002</v>
      </c>
      <c r="T134" t="str">
        <f>_xll.BDP("3156 HK Equity","PX596","PX395=HISTORICAL_MARKET_CAP","DY262=D","PY204=N","PX391=20231231","PX392=20231231","DS004=HKD")</f>
        <v>#N/A N/A</v>
      </c>
      <c r="U134">
        <f>_xll.BDP("3156 HK Equity","PX385","PX395=FUND_FLOW","DY262=D","PY204=N","PX391=20240102","PX392=20240930","DS004=HKD")</f>
        <v>0</v>
      </c>
      <c r="V134">
        <f>_xll.BDP("3156 HK Equity","PX596","PX395=CUR_MKT_CAP","DY262=D","PY204=N","PX391=20240101","DS004=HKD")</f>
        <v>7.8960000000000008</v>
      </c>
      <c r="W134" t="str">
        <f>_xll.BDP("3156 HK Equity","FUND_INCEPT_DT")</f>
        <v>2/28/2024</v>
      </c>
      <c r="X134">
        <f>_xll.BDP("3156 HK Equity","PX388","PX395=TURNOVER","DY262=D","PY204=N","PX391=20240502","PX392=20240606","DS004=HKD")</f>
        <v>635535.5</v>
      </c>
      <c r="Y134" t="str">
        <f>_xll.BDP("3156 HK Equity","PARENT_COMP_NAME")</f>
        <v>Bosera Asset Management Intern</v>
      </c>
      <c r="Z134" t="str">
        <f>_xll.BDP("3156 HK Equity","NAV_CRNCY")</f>
        <v>HKD</v>
      </c>
      <c r="AA134" t="str">
        <f>_xll.BDP("3156 HK Equity","FUND_GEO_FOCUS")</f>
        <v>U.S.</v>
      </c>
      <c r="AB134" t="str">
        <f>_xll.BDP("3156 HK Equity","FUND_ASSET_CLASS_FOCUS")</f>
        <v>Fixed Income</v>
      </c>
      <c r="AC134">
        <f>_xll.BDP("3156 HK Equity","PX_LAST")</f>
        <v>784</v>
      </c>
      <c r="AD134">
        <f>_xll.BDP("3156 HK Equity","PX388","PX395=TIME_WAVG_BID_ASK_SPREAD_PCT","DY262=D","PY204=N","PX391=20260601","PX392=20260626")</f>
        <v>0.36833000427985185</v>
      </c>
      <c r="AE134" t="str">
        <f>_xll.BDP("3156 HK Equity","PX388","PX395=AVERAGE_BID_ASK_SPREAD_%","DY262=D","PY204=N","PX391=20260601","PX392=20260626")</f>
        <v>#N/A N/A</v>
      </c>
    </row>
    <row r="135" spans="1:31" x14ac:dyDescent="0.25">
      <c r="A135" t="s">
        <v>160</v>
      </c>
      <c r="B135" t="str">
        <f>_xll.BDP("3158 HK Equity","LONG_COMP_NAME")</f>
        <v>Global X K-pop and Culture ETF</v>
      </c>
      <c r="C135">
        <f>_xll.BDP("3158 HK Equity","PX385","PX395=FUND_FLOW","DY262=D","PY204=N","PX391=20260622","PX392=20260626","DS004=USD")</f>
        <v>0</v>
      </c>
      <c r="D135">
        <f>_xll.BDP("3158 HK Equity","PX388","PX395=TURNOVER","DY262=D","PY204=N","PX391=20260601","PX392=20260626","DS004=HKD")</f>
        <v>57477.866666666669</v>
      </c>
      <c r="E135">
        <f>_xll.BDP("3158 HK Equity","PX388","PX395=TURNOVER","DY262=D","PY204=N","PX391=20250101","PX392=20251231","DS004=HKD")</f>
        <v>136640.78014184389</v>
      </c>
      <c r="F135">
        <f>_xll.BDP("3158 HK Equity","PX596","PX395=FUND_TOTAL_ASSETS","DY262=D","PY204=N","PX391=20260626","PX392=20260626","DS004=USD")</f>
        <v>0.91992090128919535</v>
      </c>
      <c r="G135">
        <f>_xll.BDP("3158 HK Equity","PX388","PX395=CUR_MKT_CAP","DY262=D","PY204=N","PX391=20260626","PX392=20260626","DS004=HKD")</f>
        <v>7.3709999999999996</v>
      </c>
      <c r="H135" t="str">
        <f>_xll.BDP("3158 HK Equity","FUND_LEVERAGE_TYPE")</f>
        <v>#N/A N/A</v>
      </c>
      <c r="I135">
        <f>_xll.BDP("3158 HK Equity","PX388","PX395=TURNOVER","DY262=D","PY204=N","PX391=20260101","PX392=20260131","DS004=HKD")</f>
        <v>131660.45000000001</v>
      </c>
      <c r="J135">
        <v>-1</v>
      </c>
      <c r="K135" t="str">
        <f>_xll.BDP("3158 HK Equity","FUND_INCEPT_DT")</f>
        <v>3/19/2024</v>
      </c>
      <c r="L135" t="str">
        <f>_xll.BDP("3158 HK Equity","PX388","PX395=TURNOVER_EXCH_RATIO","DY262=D","PY204=N","PX391=20251201","PX392=20251210")</f>
        <v>#N/A N/A</v>
      </c>
      <c r="M135">
        <f>_xll.BDP("3158 HK Equity","EQY_SH_OUT")</f>
        <v>0.15</v>
      </c>
      <c r="N135">
        <f>_xll.BDP("3158 HK Equity","EQY_TRR_PCT_YTD")</f>
        <v>-29.057040000000001</v>
      </c>
      <c r="O135">
        <f>_xll.BDP("3158 HK Equity","CHG_PCT_YTD")</f>
        <v>-26.38298</v>
      </c>
      <c r="P135">
        <f>_xll.BDP("3158 HK Equity","CHG_PCT_1M")</f>
        <v>-10.640499999999999</v>
      </c>
      <c r="Q135" t="str">
        <f>_xll.BDP("3158 HK Equity","LISTING_DATE")</f>
        <v>3/19/2024</v>
      </c>
      <c r="R135" t="str">
        <f>_xll.BDP("3158 HK Equity","FUND_INCEPT_DT")</f>
        <v>3/19/2024</v>
      </c>
      <c r="S135">
        <f>_xll.BDP("3158 HK Equity","AVG_DAILY_VALUE_TRADED_3M")</f>
        <v>21539.29</v>
      </c>
      <c r="T135" t="str">
        <f>_xll.BDP("3158 HK Equity","PX596","PX395=HISTORICAL_MARKET_CAP","DY262=D","PY204=N","PX391=20231231","PX392=20231231","DS004=HKD")</f>
        <v>#N/A N/A</v>
      </c>
      <c r="U135">
        <f>_xll.BDP("3158 HK Equity","PX385","PX395=FUND_FLOW","DY262=D","PY204=N","PX391=20240102","PX392=20240930","DS004=HKD")</f>
        <v>1.4977574999999996</v>
      </c>
      <c r="V135">
        <f>_xll.BDP("3158 HK Equity","PX596","PX395=CUR_MKT_CAP","DY262=D","PY204=N","PX391=20240101","DS004=HKD")</f>
        <v>17.625</v>
      </c>
      <c r="W135" t="str">
        <f>_xll.BDP("3158 HK Equity","FUND_INCEPT_DT")</f>
        <v>3/19/2024</v>
      </c>
      <c r="X135">
        <f>_xll.BDP("3158 HK Equity","PX388","PX395=TURNOVER","DY262=D","PY204=N","PX391=20240502","PX392=20240606","DS004=HKD")</f>
        <v>272810.70588235295</v>
      </c>
      <c r="Y135" t="str">
        <f>_xll.BDP("3158 HK Equity","PARENT_COMP_NAME")</f>
        <v>Mirae Asset Global Investments</v>
      </c>
      <c r="Z135" t="str">
        <f>_xll.BDP("3158 HK Equity","NAV_CRNCY")</f>
        <v>HKD</v>
      </c>
      <c r="AA135" t="str">
        <f>_xll.BDP("3158 HK Equity","FUND_GEO_FOCUS")</f>
        <v>Global</v>
      </c>
      <c r="AB135" t="str">
        <f>_xll.BDP("3158 HK Equity","FUND_ASSET_CLASS_FOCUS")</f>
        <v>Equity</v>
      </c>
      <c r="AC135">
        <f>_xll.BDP("3158 HK Equity","PX_LAST")</f>
        <v>51.9</v>
      </c>
      <c r="AD135">
        <f>_xll.BDP("3158 HK Equity","PX388","PX395=TIME_WAVG_BID_ASK_SPREAD_PCT","DY262=D","PY204=N","PX391=20260601","PX392=20260626")</f>
        <v>1.5311048146627007</v>
      </c>
      <c r="AE135">
        <f>_xll.BDP("3158 HK Equity","PX388","PX395=AVERAGE_BID_ASK_SPREAD_%","DY262=D","PY204=N","PX391=20260601","PX392=20260626")</f>
        <v>1.5720969609664286</v>
      </c>
    </row>
    <row r="136" spans="1:31" x14ac:dyDescent="0.25">
      <c r="A136" t="s">
        <v>161</v>
      </c>
      <c r="B136" t="str">
        <f>_xll.BDP("3160 HK Equity","LONG_COMP_NAME")</f>
        <v>ChinaAMC MSCI Japan Hedged to USD ETF</v>
      </c>
      <c r="C136">
        <f>_xll.BDP("3160 HK Equity","PX385","PX395=FUND_FLOW","DY262=D","PY204=N","PX391=20260622","PX392=20260626","DS004=USD")</f>
        <v>0</v>
      </c>
      <c r="D136">
        <f>_xll.BDP("3160 HK Equity","PX388","PX395=TURNOVER","DY262=D","PY204=N","PX391=20260601","PX392=20260626","DS004=HKD")</f>
        <v>2221779.2421052633</v>
      </c>
      <c r="E136">
        <f>_xll.BDP("3160 HK Equity","PX388","PX395=TURNOVER","DY262=D","PY204=N","PX391=20250101","PX392=20251231","DS004=HKD")</f>
        <v>3793968.2157201651</v>
      </c>
      <c r="F136">
        <f>_xll.BDP("3160 HK Equity","PX596","PX395=FUND_TOTAL_ASSETS","DY262=D","PY204=N","PX391=20260626","PX392=20260626","DS004=USD")</f>
        <v>105.56260200711543</v>
      </c>
      <c r="G136">
        <f>_xll.BDP("3160 HK Equity","PX388","PX395=CUR_MKT_CAP","DY262=D","PY204=N","PX391=20260626","PX392=20260626","DS004=HKD")</f>
        <v>834.37200000000007</v>
      </c>
      <c r="H136" t="str">
        <f>_xll.BDP("3160 HK Equity","FUND_LEVERAGE_TYPE")</f>
        <v>#N/A N/A</v>
      </c>
      <c r="I136">
        <f>_xll.BDP("3160 HK Equity","PX388","PX395=TURNOVER","DY262=D","PY204=N","PX391=20260101","PX392=20260131","DS004=HKD")</f>
        <v>1639348.661904762</v>
      </c>
      <c r="J136">
        <v>-1</v>
      </c>
      <c r="K136" t="str">
        <f>_xll.BDP("3160 HK Equity","FUND_INCEPT_DT")</f>
        <v>2/12/2016</v>
      </c>
      <c r="L136" t="str">
        <f>_xll.BDP("3160 HK Equity","PX388","PX395=TURNOVER_EXCH_RATIO","DY262=D","PY204=N","PX391=20251201","PX392=20251210")</f>
        <v>#N/A N/A</v>
      </c>
      <c r="M136">
        <f>_xll.BDP("3160 HK Equity","EQY_SH_OUT")</f>
        <v>25.799999999999997</v>
      </c>
      <c r="N136">
        <f>_xll.BDP("3160 HK Equity","EQY_TRR_PCT_YTD")</f>
        <v>23.836220000000001</v>
      </c>
      <c r="O136">
        <f>_xll.BDP("3160 HK Equity","CHG_PCT_YTD")</f>
        <v>21.278189999999999</v>
      </c>
      <c r="P136">
        <f>_xll.BDP("3160 HK Equity","CHG_PCT_1M")</f>
        <v>1.5103819999999999</v>
      </c>
      <c r="Q136" t="str">
        <f>_xll.BDP("3160 HK Equity","LISTING_DATE")</f>
        <v>2/18/2016</v>
      </c>
      <c r="R136" t="str">
        <f>_xll.BDP("3160 HK Equity","FUND_INCEPT_DT")</f>
        <v>2/12/2016</v>
      </c>
      <c r="S136">
        <f>_xll.BDP("3160 HK Equity","AVG_DAILY_VALUE_TRADED_3M")</f>
        <v>1421136</v>
      </c>
      <c r="T136" t="str">
        <f>_xll.BDP("3160 HK Equity","PX596","PX395=HISTORICAL_MARKET_CAP","DY262=D","PY204=N","PX391=20231231","PX392=20231231","DS004=HKD")</f>
        <v>#N/A N/A</v>
      </c>
      <c r="U136">
        <f>_xll.BDP("3160 HK Equity","PX385","PX395=FUND_FLOW","DY262=D","PY204=N","PX391=20240102","PX392=20240930","DS004=HKD")</f>
        <v>-1197.7813699999995</v>
      </c>
      <c r="V136">
        <f>_xll.BDP("3160 HK Equity","PX596","PX395=CUR_MKT_CAP","DY262=D","PY204=N","PX391=20240101","DS004=HKD")</f>
        <v>558.6</v>
      </c>
      <c r="W136" t="str">
        <f>_xll.BDP("3160 HK Equity","FUND_INCEPT_DT")</f>
        <v>2/12/2016</v>
      </c>
      <c r="X136">
        <f>_xll.BDP("3160 HK Equity","PX388","PX395=TURNOVER","DY262=D","PY204=N","PX391=20240502","PX392=20240606","DS004=HKD")</f>
        <v>5830472.8000000017</v>
      </c>
      <c r="Y136" t="str">
        <f>_xll.BDP("3160 HK Equity","PARENT_COMP_NAME")</f>
        <v>China Asset Management Hong Ko</v>
      </c>
      <c r="Z136" t="str">
        <f>_xll.BDP("3160 HK Equity","NAV_CRNCY")</f>
        <v>HKD</v>
      </c>
      <c r="AA136" t="str">
        <f>_xll.BDP("3160 HK Equity","FUND_GEO_FOCUS")</f>
        <v>Japan</v>
      </c>
      <c r="AB136" t="str">
        <f>_xll.BDP("3160 HK Equity","FUND_ASSET_CLASS_FOCUS")</f>
        <v>Equity</v>
      </c>
      <c r="AC136">
        <f>_xll.BDP("3160 HK Equity","PX_LAST")</f>
        <v>32.26</v>
      </c>
      <c r="AD136">
        <f>_xll.BDP("3160 HK Equity","PX388","PX395=TIME_WAVG_BID_ASK_SPREAD_PCT","DY262=D","PY204=N","PX391=20260601","PX392=20260626")</f>
        <v>0.21905377338963647</v>
      </c>
      <c r="AE136">
        <f>_xll.BDP("3160 HK Equity","PX388","PX395=AVERAGE_BID_ASK_SPREAD_%","DY262=D","PY204=N","PX391=20260601","PX392=20260626")</f>
        <v>0.2541897257858029</v>
      </c>
    </row>
    <row r="137" spans="1:31" x14ac:dyDescent="0.25">
      <c r="A137" t="s">
        <v>162</v>
      </c>
      <c r="B137" t="str">
        <f>_xll.BDP("3161 HK Equity","LONG_COMP_NAME")</f>
        <v>ChinaAMC RMB Money Market ETF</v>
      </c>
      <c r="C137">
        <f>_xll.BDP("3161 HK Equity","PX385","PX395=FUND_FLOW","DY262=D","PY204=N","PX391=20260622","PX392=20260626","DS004=USD")</f>
        <v>0</v>
      </c>
      <c r="D137">
        <f>_xll.BDP("3161 HK Equity","PX388","PX395=TURNOVER","DY262=D","PY204=N","PX391=20260601","PX392=20260626","DS004=HKD")</f>
        <v>1744492.9285714282</v>
      </c>
      <c r="E137">
        <f>_xll.BDP("3161 HK Equity","PX388","PX395=TURNOVER","DY262=D","PY204=N","PX391=20250101","PX392=20251231","DS004=HKD")</f>
        <v>345446.49915254238</v>
      </c>
      <c r="F137">
        <f>_xll.BDP("3161 HK Equity","PX596","PX395=FUND_TOTAL_ASSETS","DY262=D","PY204=N","PX391=20260626","PX392=20260626","DS004=USD")</f>
        <v>767.03582774444044</v>
      </c>
      <c r="G137">
        <f>_xll.BDP("3161 HK Equity","PX388","PX395=CUR_MKT_CAP","DY262=D","PY204=N","PX391=20260626","PX392=20260626","DS004=HKD")</f>
        <v>307.27499999999998</v>
      </c>
      <c r="H137" t="str">
        <f>_xll.BDP("3161 HK Equity","FUND_LEVERAGE_TYPE")</f>
        <v>#N/A N/A</v>
      </c>
      <c r="I137">
        <f>_xll.BDP("3161 HK Equity","PX388","PX395=TURNOVER","DY262=D","PY204=N","PX391=20260101","PX392=20260131","DS004=HKD")</f>
        <v>103029.83749999999</v>
      </c>
      <c r="J137">
        <v>-0.99</v>
      </c>
      <c r="K137" t="str">
        <f>_xll.BDP("3161 HK Equity","FUND_INCEPT_DT")</f>
        <v>7/12/2023</v>
      </c>
      <c r="L137" t="str">
        <f>_xll.BDP("3161 HK Equity","PX388","PX395=TURNOVER_EXCH_RATIO","DY262=D","PY204=N","PX391=20251201","PX392=20251210")</f>
        <v>#N/A N/A</v>
      </c>
      <c r="M137">
        <f>_xll.BDP("3161 HK Equity","EQY_SH_OUT")</f>
        <v>0.25</v>
      </c>
      <c r="N137">
        <f>_xll.BDP("3161 HK Equity","EQY_TRR_PCT_YTD")</f>
        <v>4.0645179999999996</v>
      </c>
      <c r="O137">
        <f>_xll.BDP("3161 HK Equity","CHG_PCT_YTD")</f>
        <v>4.6443279999999998</v>
      </c>
      <c r="P137">
        <f>_xll.BDP("3161 HK Equity","CHG_PCT_1M")</f>
        <v>0.1507435</v>
      </c>
      <c r="Q137" t="str">
        <f>_xll.BDP("3161 HK Equity","LISTING_DATE")</f>
        <v>7/12/2023</v>
      </c>
      <c r="R137" t="str">
        <f>_xll.BDP("3161 HK Equity","FUND_INCEPT_DT")</f>
        <v>7/12/2023</v>
      </c>
      <c r="S137">
        <f>_xll.BDP("3161 HK Equity","AVG_DAILY_VALUE_TRADED_3M")</f>
        <v>321683.40000000002</v>
      </c>
      <c r="T137" t="str">
        <f>_xll.BDP("3161 HK Equity","PX596","PX395=HISTORICAL_MARKET_CAP","DY262=D","PY204=N","PX391=20231231","PX392=20231231","DS004=HKD")</f>
        <v>#N/A N/A</v>
      </c>
      <c r="U137">
        <f>_xll.BDP("3161 HK Equity","PX385","PX395=FUND_FLOW","DY262=D","PY204=N","PX391=20240102","PX392=20240930","DS004=HKD")</f>
        <v>-125.06864200000003</v>
      </c>
      <c r="V137">
        <f>_xll.BDP("3161 HK Equity","PX596","PX395=CUR_MKT_CAP","DY262=D","PY204=N","PX391=20240101","DS004=HKD")</f>
        <v>258.40100000000001</v>
      </c>
      <c r="W137" t="str">
        <f>_xll.BDP("3161 HK Equity","FUND_INCEPT_DT")</f>
        <v>7/12/2023</v>
      </c>
      <c r="X137">
        <f>_xll.BDP("3161 HK Equity","PX388","PX395=TURNOVER","DY262=D","PY204=N","PX391=20240502","PX392=20240606","DS004=HKD")</f>
        <v>74247.875</v>
      </c>
      <c r="Y137" t="str">
        <f>_xll.BDP("3161 HK Equity","PARENT_COMP_NAME")</f>
        <v>China Asset Management Hong Ko</v>
      </c>
      <c r="Z137" t="str">
        <f>_xll.BDP("3161 HK Equity","NAV_CRNCY")</f>
        <v>HKD</v>
      </c>
      <c r="AA137" t="str">
        <f>_xll.BDP("3161 HK Equity","FUND_GEO_FOCUS")</f>
        <v>Greater China</v>
      </c>
      <c r="AB137" t="str">
        <f>_xll.BDP("3161 HK Equity","FUND_ASSET_CLASS_FOCUS")</f>
        <v>Money Market</v>
      </c>
      <c r="AC137">
        <f>_xll.BDP("3161 HK Equity","PX_LAST")</f>
        <v>1229.0999999999999</v>
      </c>
      <c r="AD137">
        <f>_xll.BDP("3161 HK Equity","PX388","PX395=TIME_WAVG_BID_ASK_SPREAD_PCT","DY262=D","PY204=N","PX391=20260601","PX392=20260626")</f>
        <v>0.25298424957810234</v>
      </c>
      <c r="AE137">
        <f>_xll.BDP("3161 HK Equity","PX388","PX395=AVERAGE_BID_ASK_SPREAD_%","DY262=D","PY204=N","PX391=20260601","PX392=20260626")</f>
        <v>0.40062931474014107</v>
      </c>
    </row>
    <row r="138" spans="1:31" x14ac:dyDescent="0.25">
      <c r="A138" t="s">
        <v>163</v>
      </c>
      <c r="B138" t="str">
        <f>_xll.BDP("3165 HK Equity","LONG_COMP_NAME")</f>
        <v>ChinaAMC MSCI Europe Quality Hedged to USD ETF</v>
      </c>
      <c r="C138">
        <f>_xll.BDP("3165 HK Equity","PX385","PX395=FUND_FLOW","DY262=D","PY204=N","PX391=20260622","PX392=20260626","DS004=USD")</f>
        <v>0</v>
      </c>
      <c r="D138">
        <f>_xll.BDP("3165 HK Equity","PX388","PX395=TURNOVER","DY262=D","PY204=N","PX391=20260601","PX392=20260626","DS004=HKD")</f>
        <v>294502.45333333337</v>
      </c>
      <c r="E138">
        <f>_xll.BDP("3165 HK Equity","PX388","PX395=TURNOVER","DY262=D","PY204=N","PX391=20250101","PX392=20251231","DS004=HKD")</f>
        <v>382459.60367567569</v>
      </c>
      <c r="F138">
        <f>_xll.BDP("3165 HK Equity","PX596","PX395=FUND_TOTAL_ASSETS","DY262=D","PY204=N","PX391=20260626","PX392=20260626","DS004=USD")</f>
        <v>15.836895053620839</v>
      </c>
      <c r="G138">
        <f>_xll.BDP("3165 HK Equity","PX388","PX395=CUR_MKT_CAP","DY262=D","PY204=N","PX391=20260626","PX392=20260626","DS004=HKD")</f>
        <v>123.79499999999999</v>
      </c>
      <c r="H138" t="str">
        <f>_xll.BDP("3165 HK Equity","FUND_LEVERAGE_TYPE")</f>
        <v>#N/A N/A</v>
      </c>
      <c r="I138">
        <f>_xll.BDP("3165 HK Equity","PX388","PX395=TURNOVER","DY262=D","PY204=N","PX391=20260101","PX392=20260131","DS004=HKD")</f>
        <v>290793.77777777775</v>
      </c>
      <c r="J138">
        <v>-1</v>
      </c>
      <c r="K138" t="str">
        <f>_xll.BDP("3165 HK Equity","FUND_INCEPT_DT")</f>
        <v>2/12/2016</v>
      </c>
      <c r="L138" t="str">
        <f>_xll.BDP("3165 HK Equity","PX388","PX395=TURNOVER_EXCH_RATIO","DY262=D","PY204=N","PX391=20251201","PX392=20251210")</f>
        <v>#N/A N/A</v>
      </c>
      <c r="M138">
        <f>_xll.BDP("3165 HK Equity","EQY_SH_OUT")</f>
        <v>6.3</v>
      </c>
      <c r="N138">
        <f>_xll.BDP("3165 HK Equity","EQY_TRR_PCT_YTD")</f>
        <v>7.8092100000000002</v>
      </c>
      <c r="O138">
        <f>_xll.BDP("3165 HK Equity","CHG_PCT_YTD")</f>
        <v>7.8932989999999998</v>
      </c>
      <c r="P138">
        <f>_xll.BDP("3165 HK Equity","CHG_PCT_1M")</f>
        <v>3.2291629999999998</v>
      </c>
      <c r="Q138" t="str">
        <f>_xll.BDP("3165 HK Equity","LISTING_DATE")</f>
        <v>2/18/2016</v>
      </c>
      <c r="R138" t="str">
        <f>_xll.BDP("3165 HK Equity","FUND_INCEPT_DT")</f>
        <v>2/12/2016</v>
      </c>
      <c r="S138">
        <f>_xll.BDP("3165 HK Equity","AVG_DAILY_VALUE_TRADED_3M")</f>
        <v>355418.3</v>
      </c>
      <c r="T138" t="str">
        <f>_xll.BDP("3165 HK Equity","PX596","PX395=HISTORICAL_MARKET_CAP","DY262=D","PY204=N","PX391=20231231","PX392=20231231","DS004=HKD")</f>
        <v>#N/A N/A</v>
      </c>
      <c r="U138">
        <f>_xll.BDP("3165 HK Equity","PX385","PX395=FUND_FLOW","DY262=D","PY204=N","PX391=20240102","PX392=20240930","DS004=HKD")</f>
        <v>-142.57753000000002</v>
      </c>
      <c r="V138">
        <f>_xll.BDP("3165 HK Equity","PX596","PX395=CUR_MKT_CAP","DY262=D","PY204=N","PX391=20240101","DS004=HKD")</f>
        <v>115.73100000000001</v>
      </c>
      <c r="W138" t="str">
        <f>_xll.BDP("3165 HK Equity","FUND_INCEPT_DT")</f>
        <v>2/12/2016</v>
      </c>
      <c r="X138">
        <f>_xll.BDP("3165 HK Equity","PX388","PX395=TURNOVER","DY262=D","PY204=N","PX391=20240502","PX392=20240606","DS004=HKD")</f>
        <v>135895.66666666669</v>
      </c>
      <c r="Y138" t="str">
        <f>_xll.BDP("3165 HK Equity","PARENT_COMP_NAME")</f>
        <v>China Asset Management Hong Ko</v>
      </c>
      <c r="Z138" t="str">
        <f>_xll.BDP("3165 HK Equity","NAV_CRNCY")</f>
        <v>HKD</v>
      </c>
      <c r="AA138" t="str">
        <f>_xll.BDP("3165 HK Equity","FUND_GEO_FOCUS")</f>
        <v>European Region</v>
      </c>
      <c r="AB138" t="str">
        <f>_xll.BDP("3165 HK Equity","FUND_ASSET_CLASS_FOCUS")</f>
        <v>Equity</v>
      </c>
      <c r="AC138">
        <f>_xll.BDP("3165 HK Equity","PX_LAST")</f>
        <v>19.82</v>
      </c>
      <c r="AD138">
        <f>_xll.BDP("3165 HK Equity","PX388","PX395=TIME_WAVG_BID_ASK_SPREAD_PCT","DY262=D","PY204=N","PX391=20260601","PX392=20260626")</f>
        <v>0.55795029277900365</v>
      </c>
      <c r="AE138">
        <f>_xll.BDP("3165 HK Equity","PX388","PX395=AVERAGE_BID_ASK_SPREAD_%","DY262=D","PY204=N","PX391=20260601","PX392=20260626")</f>
        <v>0.89626464230746417</v>
      </c>
    </row>
    <row r="139" spans="1:31" x14ac:dyDescent="0.25">
      <c r="A139" t="s">
        <v>164</v>
      </c>
      <c r="B139" t="str">
        <f>_xll.BDP("3167 HK Equity","LONG_COMP_NAME")</f>
        <v>ICBC CSOP S&amp;P New China Sectors ETF</v>
      </c>
      <c r="C139">
        <f>_xll.BDP("3167 HK Equity","PX385","PX395=FUND_FLOW","DY262=D","PY204=N","PX391=20260622","PX392=20260626","DS004=USD")</f>
        <v>0</v>
      </c>
      <c r="D139">
        <f>_xll.BDP("3167 HK Equity","PX388","PX395=TURNOVER","DY262=D","PY204=N","PX391=20260601","PX392=20260626","DS004=HKD")</f>
        <v>327898.84615384619</v>
      </c>
      <c r="E139">
        <f>_xll.BDP("3167 HK Equity","PX388","PX395=TURNOVER","DY262=D","PY204=N","PX391=20250101","PX392=20251231","DS004=HKD")</f>
        <v>257348.71950617275</v>
      </c>
      <c r="F139">
        <f>_xll.BDP("3167 HK Equity","PX596","PX395=FUND_TOTAL_ASSETS","DY262=D","PY204=N","PX391=20260626","PX392=20260626","DS004=USD")</f>
        <v>54.461295964091242</v>
      </c>
      <c r="G139">
        <f>_xll.BDP("3167 HK Equity","PX388","PX395=CUR_MKT_CAP","DY262=D","PY204=N","PX391=20260626","PX392=20260626","DS004=HKD")</f>
        <v>426.6</v>
      </c>
      <c r="H139" t="str">
        <f>_xll.BDP("3167 HK Equity","FUND_LEVERAGE_TYPE")</f>
        <v>#N/A N/A</v>
      </c>
      <c r="I139">
        <f>_xll.BDP("3167 HK Equity","PX388","PX395=TURNOVER","DY262=D","PY204=N","PX391=20260101","PX392=20260131","DS004=HKD")</f>
        <v>77213.293333333335</v>
      </c>
      <c r="J139">
        <v>-1</v>
      </c>
      <c r="K139" t="str">
        <f>_xll.BDP("3167 HK Equity","FUND_INCEPT_DT")</f>
        <v>12/8/2016</v>
      </c>
      <c r="L139" t="str">
        <f>_xll.BDP("3167 HK Equity","PX388","PX395=TURNOVER_EXCH_RATIO","DY262=D","PY204=N","PX391=20251201","PX392=20251210")</f>
        <v>#N/A N/A</v>
      </c>
      <c r="M139">
        <f>_xll.BDP("3167 HK Equity","EQY_SH_OUT")</f>
        <v>7.8999999999999995</v>
      </c>
      <c r="N139">
        <f>_xll.BDP("3167 HK Equity","EQY_TRR_PCT_YTD")</f>
        <v>-19.070250000000001</v>
      </c>
      <c r="O139">
        <f>_xll.BDP("3167 HK Equity","CHG_PCT_YTD")</f>
        <v>-18.940280000000001</v>
      </c>
      <c r="P139">
        <f>_xll.BDP("3167 HK Equity","CHG_PCT_1M")</f>
        <v>-9.3913600000000006</v>
      </c>
      <c r="Q139" t="str">
        <f>_xll.BDP("3167 HK Equity","LISTING_DATE")</f>
        <v>12/8/2016</v>
      </c>
      <c r="R139" t="str">
        <f>_xll.BDP("3167 HK Equity","FUND_INCEPT_DT")</f>
        <v>12/8/2016</v>
      </c>
      <c r="S139">
        <f>_xll.BDP("3167 HK Equity","AVG_DAILY_VALUE_TRADED_3M")</f>
        <v>155865.29999999999</v>
      </c>
      <c r="T139" t="str">
        <f>_xll.BDP("3167 HK Equity","PX596","PX395=HISTORICAL_MARKET_CAP","DY262=D","PY204=N","PX391=20231231","PX392=20231231","DS004=HKD")</f>
        <v>#N/A N/A</v>
      </c>
      <c r="U139">
        <f>_xll.BDP("3167 HK Equity","PX385","PX395=FUND_FLOW","DY262=D","PY204=N","PX391=20240102","PX392=20240930","DS004=HKD")</f>
        <v>-88.452949999999973</v>
      </c>
      <c r="V139">
        <f>_xll.BDP("3167 HK Equity","PX596","PX395=CUR_MKT_CAP","DY262=D","PY204=N","PX391=20240101","DS004=HKD")</f>
        <v>614.87999999999988</v>
      </c>
      <c r="W139" t="str">
        <f>_xll.BDP("3167 HK Equity","FUND_INCEPT_DT")</f>
        <v>12/8/2016</v>
      </c>
      <c r="X139">
        <f>_xll.BDP("3167 HK Equity","PX388","PX395=TURNOVER","DY262=D","PY204=N","PX391=20240502","PX392=20240606","DS004=HKD")</f>
        <v>78346.621538461535</v>
      </c>
      <c r="Y139" t="str">
        <f>_xll.BDP("3167 HK Equity","PARENT_COMP_NAME")</f>
        <v>CSOP Asset Management Ltd/Hong</v>
      </c>
      <c r="Z139" t="str">
        <f>_xll.BDP("3167 HK Equity","NAV_CRNCY")</f>
        <v>HKD</v>
      </c>
      <c r="AA139" t="str">
        <f>_xll.BDP("3167 HK Equity","FUND_GEO_FOCUS")</f>
        <v>Greater China</v>
      </c>
      <c r="AB139" t="str">
        <f>_xll.BDP("3167 HK Equity","FUND_ASSET_CLASS_FOCUS")</f>
        <v>Equity</v>
      </c>
      <c r="AC139">
        <f>_xll.BDP("3167 HK Equity","PX_LAST")</f>
        <v>55.38</v>
      </c>
      <c r="AD139">
        <f>_xll.BDP("3167 HK Equity","PX388","PX395=TIME_WAVG_BID_ASK_SPREAD_PCT","DY262=D","PY204=N","PX391=20260601","PX392=20260626")</f>
        <v>0.43210637190794171</v>
      </c>
      <c r="AE139">
        <f>_xll.BDP("3167 HK Equity","PX388","PX395=AVERAGE_BID_ASK_SPREAD_%","DY262=D","PY204=N","PX391=20260601","PX392=20260626")</f>
        <v>0.49935847967205133</v>
      </c>
    </row>
    <row r="140" spans="1:31" x14ac:dyDescent="0.25">
      <c r="A140" t="s">
        <v>165</v>
      </c>
      <c r="B140" t="str">
        <f>_xll.BDP("3169 HK Equity","LONG_COMP_NAME")</f>
        <v>Harvest G2 Tech 50 ETF</v>
      </c>
      <c r="C140">
        <f>_xll.BDP("3169 HK Equity","PX385","PX395=FUND_FLOW","DY262=D","PY204=N","PX391=20260622","PX392=20260626","DS004=USD")</f>
        <v>0</v>
      </c>
      <c r="D140">
        <f>_xll.BDP("3169 HK Equity","PX388","PX395=TURNOVER","DY262=D","PY204=N","PX391=20260601","PX392=20260626","DS004=HKD")</f>
        <v>674150.92105263169</v>
      </c>
      <c r="E140" t="str">
        <f>_xll.BDP("3169 HK Equity","PX388","PX395=TURNOVER","DY262=D","PY204=N","PX391=20250101","PX392=20251231","DS004=HKD")</f>
        <v>#N/A N/A</v>
      </c>
      <c r="F140">
        <f>_xll.BDP("3169 HK Equity","PX596","PX395=FUND_TOTAL_ASSETS","DY262=D","PY204=N","PX391=20260626","PX392=20260626","DS004=USD")</f>
        <v>59.646419480751319</v>
      </c>
      <c r="G140">
        <f>_xll.BDP("3169 HK Equity","PX388","PX395=CUR_MKT_CAP","DY262=D","PY204=N","PX391=20260626","PX392=20260626","DS004=HKD")</f>
        <v>463.29499999999996</v>
      </c>
      <c r="H140" t="str">
        <f>_xll.BDP("3169 HK Equity","FUND_LEVERAGE_TYPE")</f>
        <v>#N/A N/A</v>
      </c>
      <c r="I140" t="str">
        <f>_xll.BDP("3169 HK Equity","PX388","PX395=TURNOVER","DY262=D","PY204=N","PX391=20260101","PX392=20260131","DS004=HKD")</f>
        <v>#N/A N/A</v>
      </c>
      <c r="J140" t="s">
        <v>31</v>
      </c>
      <c r="K140" t="str">
        <f>_xll.BDP("3169 HK Equity","FUND_INCEPT_DT")</f>
        <v>3/5/2026</v>
      </c>
      <c r="L140" t="str">
        <f>_xll.BDP("3169 HK Equity","PX388","PX395=TURNOVER_EXCH_RATIO","DY262=D","PY204=N","PX391=20251201","PX392=20251210")</f>
        <v>#N/A N/A</v>
      </c>
      <c r="M140">
        <f>_xll.BDP("3169 HK Equity","EQY_SH_OUT")</f>
        <v>61</v>
      </c>
      <c r="N140" t="str">
        <f>_xll.BDP("3169 HK Equity","EQY_TRR_PCT_YTD")</f>
        <v>#N/A N/A</v>
      </c>
      <c r="O140" t="str">
        <f>_xll.BDP("3169 HK Equity","CHG_PCT_YTD")</f>
        <v>#N/A N/A</v>
      </c>
      <c r="P140">
        <f>_xll.BDP("3169 HK Equity","CHG_PCT_1M")</f>
        <v>-9.0537430000000008</v>
      </c>
      <c r="Q140" t="str">
        <f>_xll.BDP("3169 HK Equity","LISTING_DATE")</f>
        <v>3/6/2026</v>
      </c>
      <c r="R140" t="str">
        <f>_xll.BDP("3169 HK Equity","FUND_INCEPT_DT")</f>
        <v>3/5/2026</v>
      </c>
      <c r="S140">
        <f>_xll.BDP("3169 HK Equity","AVG_DAILY_VALUE_TRADED_3M")</f>
        <v>1039106</v>
      </c>
      <c r="T140" t="str">
        <f>_xll.BDP("3169 HK Equity","PX596","PX395=HISTORICAL_MARKET_CAP","DY262=D","PY204=N","PX391=20231231","PX392=20231231","DS004=HKD")</f>
        <v>#N/A N/A</v>
      </c>
      <c r="U140" t="str">
        <f>_xll.BDP("3169 HK Equity","PX385","PX395=FUND_FLOW","DY262=D","PY204=N","PX391=20240102","PX392=20240930","DS004=HKD")</f>
        <v>#N/A N/A</v>
      </c>
      <c r="V140" t="str">
        <f>_xll.BDP("3169 HK Equity","PX596","PX395=CUR_MKT_CAP","DY262=D","PY204=N","PX391=20240101","DS004=HKD")</f>
        <v>#N/A N/A</v>
      </c>
      <c r="W140" t="str">
        <f>_xll.BDP("3169 HK Equity","FUND_INCEPT_DT")</f>
        <v>3/5/2026</v>
      </c>
      <c r="X140" t="str">
        <f>_xll.BDP("3169 HK Equity","PX388","PX395=TURNOVER","DY262=D","PY204=N","PX391=20240502","PX392=20240606","DS004=HKD")</f>
        <v>#N/A N/A</v>
      </c>
      <c r="Y140" t="str">
        <f>_xll.BDP("3169 HK Equity","PARENT_COMP_NAME")</f>
        <v>Harvest Global Investments Ltd</v>
      </c>
      <c r="Z140" t="str">
        <f>_xll.BDP("3169 HK Equity","NAV_CRNCY")</f>
        <v>HKD</v>
      </c>
      <c r="AA140" t="str">
        <f>_xll.BDP("3169 HK Equity","FUND_GEO_FOCUS")</f>
        <v>Multi</v>
      </c>
      <c r="AB140" t="str">
        <f>_xll.BDP("3169 HK Equity","FUND_ASSET_CLASS_FOCUS")</f>
        <v>Equity</v>
      </c>
      <c r="AC140">
        <f>_xll.BDP("3169 HK Equity","PX_LAST")</f>
        <v>7.7850000000000001</v>
      </c>
      <c r="AD140">
        <f>_xll.BDP("3169 HK Equity","PX388","PX395=TIME_WAVG_BID_ASK_SPREAD_PCT","DY262=D","PY204=N","PX391=20260601","PX392=20260626")</f>
        <v>0.42351191617630346</v>
      </c>
      <c r="AE140">
        <f>_xll.BDP("3169 HK Equity","PX388","PX395=AVERAGE_BID_ASK_SPREAD_%","DY262=D","PY204=N","PX391=20260601","PX392=20260626")</f>
        <v>0.49020602619276249</v>
      </c>
    </row>
    <row r="141" spans="1:31" x14ac:dyDescent="0.25">
      <c r="A141" t="s">
        <v>166</v>
      </c>
      <c r="B141" t="str">
        <f>_xll.BDP("3170 HK Equity","LONG_COMP_NAME")</f>
        <v>HANG SENG GOLD ETF</v>
      </c>
      <c r="C141">
        <f>_xll.BDP("3170 HK Equity","PX385","PX395=FUND_FLOW","DY262=D","PY204=N","PX391=20260622","PX392=20260626","DS004=USD")</f>
        <v>0</v>
      </c>
      <c r="D141">
        <f>_xll.BDP("3170 HK Equity","PX388","PX395=TURNOVER","DY262=D","PY204=N","PX391=20260601","PX392=20260626","DS004=HKD")</f>
        <v>10727237.210526315</v>
      </c>
      <c r="E141" t="str">
        <f>_xll.BDP("3170 HK Equity","PX388","PX395=TURNOVER","DY262=D","PY204=N","PX391=20250101","PX392=20251231","DS004=HKD")</f>
        <v>#N/A N/A</v>
      </c>
      <c r="F141">
        <f>_xll.BDP("3170 HK Equity","PX596","PX395=FUND_TOTAL_ASSETS","DY262=D","PY204=N","PX391=20260626","PX392=20260626","DS004=USD")</f>
        <v>152.35136577</v>
      </c>
      <c r="G141">
        <f>_xll.BDP("3170 HK Equity","PX388","PX395=CUR_MKT_CAP","DY262=D","PY204=N","PX391=20260626","PX392=20260626","DS004=HKD")</f>
        <v>1180.7075</v>
      </c>
      <c r="H141" t="str">
        <f>_xll.BDP("3170 HK Equity","FUND_LEVERAGE_TYPE")</f>
        <v>#N/A N/A</v>
      </c>
      <c r="I141">
        <f>_xll.BDP("3170 HK Equity","PX388","PX395=TURNOVER","DY262=D","PY204=N","PX391=20260101","PX392=20260131","DS004=HKD")</f>
        <v>231690250</v>
      </c>
      <c r="J141">
        <v>-1</v>
      </c>
      <c r="K141" t="str">
        <f>_xll.BDP("3170 HK Equity","FUND_INCEPT_DT")</f>
        <v>1/27/2026</v>
      </c>
      <c r="L141" t="str">
        <f>_xll.BDP("3170 HK Equity","PX388","PX395=TURNOVER_EXCH_RATIO","DY262=D","PY204=N","PX391=20251201","PX392=20251210")</f>
        <v>#N/A N/A</v>
      </c>
      <c r="M141">
        <f>_xll.BDP("3170 HK Equity","EQY_SH_OUT")</f>
        <v>92.75</v>
      </c>
      <c r="N141" t="str">
        <f>_xll.BDP("3170 HK Equity","EQY_TRR_PCT_YTD")</f>
        <v>#N/A N/A</v>
      </c>
      <c r="O141" t="str">
        <f>_xll.BDP("3170 HK Equity","CHG_PCT_YTD")</f>
        <v>#N/A N/A</v>
      </c>
      <c r="P141">
        <f>_xll.BDP("3170 HK Equity","CHG_PCT_1M")</f>
        <v>-10.279719999999999</v>
      </c>
      <c r="Q141" t="str">
        <f>_xll.BDP("3170 HK Equity","LISTING_DATE")</f>
        <v>1/29/2026</v>
      </c>
      <c r="R141" t="str">
        <f>_xll.BDP("3170 HK Equity","FUND_INCEPT_DT")</f>
        <v>1/27/2026</v>
      </c>
      <c r="S141">
        <f>_xll.BDP("3170 HK Equity","AVG_DAILY_VALUE_TRADED_3M")</f>
        <v>12414840</v>
      </c>
      <c r="T141" t="str">
        <f>_xll.BDP("3170 HK Equity","PX596","PX395=HISTORICAL_MARKET_CAP","DY262=D","PY204=N","PX391=20231231","PX392=20231231","DS004=HKD")</f>
        <v>#N/A N/A</v>
      </c>
      <c r="U141" t="str">
        <f>_xll.BDP("3170 HK Equity","PX385","PX395=FUND_FLOW","DY262=D","PY204=N","PX391=20240102","PX392=20240930","DS004=HKD")</f>
        <v>#N/A N/A</v>
      </c>
      <c r="V141" t="str">
        <f>_xll.BDP("3170 HK Equity","PX596","PX395=CUR_MKT_CAP","DY262=D","PY204=N","PX391=20240101","DS004=HKD")</f>
        <v>#N/A N/A</v>
      </c>
      <c r="W141" t="str">
        <f>_xll.BDP("3170 HK Equity","FUND_INCEPT_DT")</f>
        <v>1/27/2026</v>
      </c>
      <c r="X141" t="str">
        <f>_xll.BDP("3170 HK Equity","PX388","PX395=TURNOVER","DY262=D","PY204=N","PX391=20240502","PX392=20240606","DS004=HKD")</f>
        <v>#N/A N/A</v>
      </c>
      <c r="Y141" t="str">
        <f>_xll.BDP("3170 HK Equity","PARENT_COMP_NAME")</f>
        <v>Hang Seng Investment Managemen</v>
      </c>
      <c r="Z141" t="str">
        <f>_xll.BDP("3170 HK Equity","NAV_CRNCY")</f>
        <v>USD</v>
      </c>
      <c r="AA141" t="str">
        <f>_xll.BDP("3170 HK Equity","FUND_GEO_FOCUS")</f>
        <v>Global</v>
      </c>
      <c r="AB141" t="str">
        <f>_xll.BDP("3170 HK Equity","FUND_ASSET_CLASS_FOCUS")</f>
        <v>Commodity</v>
      </c>
      <c r="AC141">
        <f>_xll.BDP("3170 HK Equity","PX_LAST")</f>
        <v>12.83</v>
      </c>
      <c r="AD141">
        <f>_xll.BDP("3170 HK Equity","PX388","PX395=TIME_WAVG_BID_ASK_SPREAD_PCT","DY262=D","PY204=N","PX391=20260601","PX392=20260626")</f>
        <v>0.11652208292796311</v>
      </c>
      <c r="AE141">
        <f>_xll.BDP("3170 HK Equity","PX388","PX395=AVERAGE_BID_ASK_SPREAD_%","DY262=D","PY204=N","PX391=20260601","PX392=20260626")</f>
        <v>0.12979873675782688</v>
      </c>
    </row>
    <row r="142" spans="1:31" x14ac:dyDescent="0.25">
      <c r="A142" t="s">
        <v>167</v>
      </c>
      <c r="B142" t="str">
        <f>_xll.BDP("3173 HK Equity","LONG_COMP_NAME")</f>
        <v>Premia CSI Caixin China New Economy ETF</v>
      </c>
      <c r="C142">
        <f>_xll.BDP("3173 HK Equity","PX385","PX395=FUND_FLOW","DY262=D","PY204=N","PX391=20260622","PX392=20260626","DS004=USD")</f>
        <v>0</v>
      </c>
      <c r="D142">
        <f>_xll.BDP("3173 HK Equity","PX388","PX395=TURNOVER","DY262=D","PY204=N","PX391=20260601","PX392=20260626","DS004=HKD")</f>
        <v>546886.6315789473</v>
      </c>
      <c r="E142">
        <f>_xll.BDP("3173 HK Equity","PX388","PX395=TURNOVER","DY262=D","PY204=N","PX391=20250101","PX392=20251231","DS004=HKD")</f>
        <v>1373732.5641242939</v>
      </c>
      <c r="F142">
        <f>_xll.BDP("3173 HK Equity","PX596","PX395=FUND_TOTAL_ASSETS","DY262=D","PY204=N","PX391=20260626","PX392=20260626","DS004=USD")</f>
        <v>125.89691144105188</v>
      </c>
      <c r="G142">
        <f>_xll.BDP("3173 HK Equity","PX388","PX395=CUR_MKT_CAP","DY262=D","PY204=N","PX391=20260626","PX392=20260626","DS004=HKD")</f>
        <v>981.92499999999995</v>
      </c>
      <c r="H142" t="str">
        <f>_xll.BDP("3173 HK Equity","FUND_LEVERAGE_TYPE")</f>
        <v>#N/A N/A</v>
      </c>
      <c r="I142">
        <f>_xll.BDP("3173 HK Equity","PX388","PX395=TURNOVER","DY262=D","PY204=N","PX391=20260101","PX392=20260131","DS004=HKD")</f>
        <v>101507.84722222222</v>
      </c>
      <c r="J142">
        <v>-1</v>
      </c>
      <c r="K142" t="str">
        <f>_xll.BDP("3173 HK Equity","FUND_INCEPT_DT")</f>
        <v>10/20/2017</v>
      </c>
      <c r="L142" t="str">
        <f>_xll.BDP("3173 HK Equity","PX388","PX395=TURNOVER_EXCH_RATIO","DY262=D","PY204=N","PX391=20251201","PX392=20251210")</f>
        <v>#N/A N/A</v>
      </c>
      <c r="M142">
        <f>_xll.BDP("3173 HK Equity","EQY_SH_OUT")</f>
        <v>90.5</v>
      </c>
      <c r="N142">
        <f>_xll.BDP("3173 HK Equity","EQY_TRR_PCT_YTD")</f>
        <v>12.452590000000001</v>
      </c>
      <c r="O142">
        <f>_xll.BDP("3173 HK Equity","CHG_PCT_YTD")</f>
        <v>19.829419999999999</v>
      </c>
      <c r="P142">
        <f>_xll.BDP("3173 HK Equity","CHG_PCT_1M")</f>
        <v>2.7422339999999998</v>
      </c>
      <c r="Q142" t="str">
        <f>_xll.BDP("3173 HK Equity","LISTING_DATE")</f>
        <v>10/24/2017</v>
      </c>
      <c r="R142" t="str">
        <f>_xll.BDP("3173 HK Equity","FUND_INCEPT_DT")</f>
        <v>10/20/2017</v>
      </c>
      <c r="S142">
        <f>_xll.BDP("3173 HK Equity","AVG_DAILY_VALUE_TRADED_3M")</f>
        <v>311999</v>
      </c>
      <c r="T142" t="str">
        <f>_xll.BDP("3173 HK Equity","PX596","PX395=HISTORICAL_MARKET_CAP","DY262=D","PY204=N","PX391=20231231","PX392=20231231","DS004=HKD")</f>
        <v>#N/A N/A</v>
      </c>
      <c r="U142">
        <f>_xll.BDP("3173 HK Equity","PX385","PX395=FUND_FLOW","DY262=D","PY204=N","PX391=20240102","PX392=20240930","DS004=HKD")</f>
        <v>-254.49867667239513</v>
      </c>
      <c r="V142">
        <f>_xll.BDP("3173 HK Equity","PX596","PX395=CUR_MKT_CAP","DY262=D","PY204=N","PX391=20240101","DS004=HKD")</f>
        <v>825.44</v>
      </c>
      <c r="W142" t="str">
        <f>_xll.BDP("3173 HK Equity","FUND_INCEPT_DT")</f>
        <v>10/20/2017</v>
      </c>
      <c r="X142">
        <f>_xll.BDP("3173 HK Equity","PX388","PX395=TURNOVER","DY262=D","PY204=N","PX391=20240502","PX392=20240606","DS004=HKD")</f>
        <v>207988.39500000002</v>
      </c>
      <c r="Y142" t="str">
        <f>_xll.BDP("3173 HK Equity","PARENT_COMP_NAME")</f>
        <v>Premia Partners Co Ltd/Hong Ko</v>
      </c>
      <c r="Z142" t="str">
        <f>_xll.BDP("3173 HK Equity","NAV_CRNCY")</f>
        <v>CNY</v>
      </c>
      <c r="AA142" t="str">
        <f>_xll.BDP("3173 HK Equity","FUND_GEO_FOCUS")</f>
        <v>China</v>
      </c>
      <c r="AB142" t="str">
        <f>_xll.BDP("3173 HK Equity","FUND_ASSET_CLASS_FOCUS")</f>
        <v>Equity</v>
      </c>
      <c r="AC142">
        <f>_xll.BDP("3173 HK Equity","PX_LAST")</f>
        <v>11.24</v>
      </c>
      <c r="AD142">
        <f>_xll.BDP("3173 HK Equity","PX388","PX395=TIME_WAVG_BID_ASK_SPREAD_PCT","DY262=D","PY204=N","PX391=20260601","PX392=20260626")</f>
        <v>0.37590180674480667</v>
      </c>
      <c r="AE142">
        <f>_xll.BDP("3173 HK Equity","PX388","PX395=AVERAGE_BID_ASK_SPREAD_%","DY262=D","PY204=N","PX391=20260601","PX392=20260626")</f>
        <v>0.42589075785131741</v>
      </c>
    </row>
    <row r="143" spans="1:31" x14ac:dyDescent="0.25">
      <c r="A143" t="s">
        <v>168</v>
      </c>
      <c r="B143" t="str">
        <f>_xll.BDP("3174 HK Equity","LONG_COMP_NAME")</f>
        <v>CSOP Hang Seng Biotech ETF</v>
      </c>
      <c r="C143">
        <f>_xll.BDP("3174 HK Equity","PX385","PX395=FUND_FLOW","DY262=D","PY204=N","PX391=20260622","PX392=20260626","DS004=USD")</f>
        <v>0</v>
      </c>
      <c r="D143">
        <f>_xll.BDP("3174 HK Equity","PX388","PX395=TURNOVER","DY262=D","PY204=N","PX391=20260601","PX392=20260626","DS004=HKD")</f>
        <v>8789032.7894736845</v>
      </c>
      <c r="E143">
        <f>_xll.BDP("3174 HK Equity","PX388","PX395=TURNOVER","DY262=D","PY204=N","PX391=20250101","PX392=20251231","DS004=HKD")</f>
        <v>2137001.2491869922</v>
      </c>
      <c r="F143">
        <f>_xll.BDP("3174 HK Equity","PX596","PX395=FUND_TOTAL_ASSETS","DY262=D","PY204=N","PX391=20260626","PX392=20260626","DS004=USD")</f>
        <v>93.852175007969791</v>
      </c>
      <c r="G143">
        <f>_xll.BDP("3174 HK Equity","PX388","PX395=CUR_MKT_CAP","DY262=D","PY204=N","PX391=20260626","PX392=20260626","DS004=HKD")</f>
        <v>734.67981140000006</v>
      </c>
      <c r="H143" t="str">
        <f>_xll.BDP("3174 HK Equity","FUND_LEVERAGE_TYPE")</f>
        <v>#N/A N/A</v>
      </c>
      <c r="I143">
        <f>_xll.BDP("3174 HK Equity","PX388","PX395=TURNOVER","DY262=D","PY204=N","PX391=20260101","PX392=20260131","DS004=HKD")</f>
        <v>7015262.6190476185</v>
      </c>
      <c r="J143">
        <v>-1</v>
      </c>
      <c r="K143" t="str">
        <f>_xll.BDP("3174 HK Equity","FUND_INCEPT_DT")</f>
        <v>7/21/2021</v>
      </c>
      <c r="L143" t="str">
        <f>_xll.BDP("3174 HK Equity","PX388","PX395=TURNOVER_EXCH_RATIO","DY262=D","PY204=N","PX391=20251201","PX392=20251210")</f>
        <v>#N/A N/A</v>
      </c>
      <c r="M143">
        <f>_xll.BDP("3174 HK Equity","EQY_SH_OUT")</f>
        <v>253.86309999999997</v>
      </c>
      <c r="N143">
        <f>_xll.BDP("3174 HK Equity","EQY_TRR_PCT_YTD")</f>
        <v>-14.9146</v>
      </c>
      <c r="O143">
        <f>_xll.BDP("3174 HK Equity","CHG_PCT_YTD")</f>
        <v>-9.1974230000000006</v>
      </c>
      <c r="P143">
        <f>_xll.BDP("3174 HK Equity","CHG_PCT_1M")</f>
        <v>-3.8461530000000002</v>
      </c>
      <c r="Q143" t="str">
        <f>_xll.BDP("3174 HK Equity","LISTING_DATE")</f>
        <v>7/21/2021</v>
      </c>
      <c r="R143" t="str">
        <f>_xll.BDP("3174 HK Equity","FUND_INCEPT_DT")</f>
        <v>7/21/2021</v>
      </c>
      <c r="S143">
        <f>_xll.BDP("3174 HK Equity","AVG_DAILY_VALUE_TRADED_3M")</f>
        <v>6757942</v>
      </c>
      <c r="T143" t="str">
        <f>_xll.BDP("3174 HK Equity","PX596","PX395=HISTORICAL_MARKET_CAP","DY262=D","PY204=N","PX391=20231231","PX392=20231231","DS004=HKD")</f>
        <v>#N/A N/A</v>
      </c>
      <c r="U143">
        <f>_xll.BDP("3174 HK Equity","PX385","PX395=FUND_FLOW","DY262=D","PY204=N","PX391=20240102","PX392=20240930","DS004=HKD")</f>
        <v>1.1824200000000447</v>
      </c>
      <c r="V143">
        <f>_xll.BDP("3174 HK Equity","PX596","PX395=CUR_MKT_CAP","DY262=D","PY204=N","PX391=20240101","DS004=HKD")</f>
        <v>816.50282340000001</v>
      </c>
      <c r="W143" t="str">
        <f>_xll.BDP("3174 HK Equity","FUND_INCEPT_DT")</f>
        <v>7/21/2021</v>
      </c>
      <c r="X143">
        <f>_xll.BDP("3174 HK Equity","PX388","PX395=TURNOVER","DY262=D","PY204=N","PX391=20240502","PX392=20240606","DS004=HKD")</f>
        <v>133220.48000000001</v>
      </c>
      <c r="Y143" t="str">
        <f>_xll.BDP("3174 HK Equity","PARENT_COMP_NAME")</f>
        <v>CSOP Asset Management Ltd/Hong</v>
      </c>
      <c r="Z143" t="str">
        <f>_xll.BDP("3174 HK Equity","NAV_CRNCY")</f>
        <v>HKD</v>
      </c>
      <c r="AA143" t="str">
        <f>_xll.BDP("3174 HK Equity","FUND_GEO_FOCUS")</f>
        <v>Greater China</v>
      </c>
      <c r="AB143" t="str">
        <f>_xll.BDP("3174 HK Equity","FUND_ASSET_CLASS_FOCUS")</f>
        <v>Equity</v>
      </c>
      <c r="AC143">
        <f>_xll.BDP("3174 HK Equity","PX_LAST")</f>
        <v>3.1</v>
      </c>
      <c r="AD143">
        <f>_xll.BDP("3174 HK Equity","PX388","PX395=TIME_WAVG_BID_ASK_SPREAD_PCT","DY262=D","PY204=N","PX391=20260601","PX392=20260626")</f>
        <v>0.14372027331889337</v>
      </c>
      <c r="AE143">
        <f>_xll.BDP("3174 HK Equity","PX388","PX395=AVERAGE_BID_ASK_SPREAD_%","DY262=D","PY204=N","PX391=20260601","PX392=20260626")</f>
        <v>0.14563997181242219</v>
      </c>
    </row>
    <row r="144" spans="1:31" x14ac:dyDescent="0.25">
      <c r="A144" t="s">
        <v>169</v>
      </c>
      <c r="B144" t="str">
        <f>_xll.BDP("3175 HK Equity","LONG_COMP_NAME")</f>
        <v>Samsung S&amp;P GSCI Crude Oil ER Futures ETF</v>
      </c>
      <c r="C144">
        <f>_xll.BDP("3175 HK Equity","PX385","PX395=FUND_FLOW","DY262=D","PY204=N","PX391=20260622","PX392=20260626","DS004=USD")</f>
        <v>0</v>
      </c>
      <c r="D144">
        <f>_xll.BDP("3175 HK Equity","PX388","PX395=TURNOVER","DY262=D","PY204=N","PX391=20260601","PX392=20260626","DS004=HKD")</f>
        <v>7081290.9473684216</v>
      </c>
      <c r="E144">
        <f>_xll.BDP("3175 HK Equity","PX388","PX395=TURNOVER","DY262=D","PY204=N","PX391=20250101","PX392=20251231","DS004=HKD")</f>
        <v>3006732.0715447175</v>
      </c>
      <c r="F144">
        <f>_xll.BDP("3175 HK Equity","PX596","PX395=FUND_TOTAL_ASSETS","DY262=D","PY204=N","PX391=20260626","PX392=20260626","DS004=USD")</f>
        <v>44.007228242435055</v>
      </c>
      <c r="G144">
        <f>_xll.BDP("3175 HK Equity","PX388","PX395=CUR_MKT_CAP","DY262=D","PY204=N","PX391=20260626","PX392=20260626","DS004=HKD")</f>
        <v>356.40000000000003</v>
      </c>
      <c r="H144" t="str">
        <f>_xll.BDP("3175 HK Equity","FUND_LEVERAGE_TYPE")</f>
        <v>#N/A N/A</v>
      </c>
      <c r="I144">
        <f>_xll.BDP("3175 HK Equity","PX388","PX395=TURNOVER","DY262=D","PY204=N","PX391=20260101","PX392=20260131","DS004=HKD")</f>
        <v>2998825.5714285718</v>
      </c>
      <c r="J144">
        <v>-1</v>
      </c>
      <c r="K144" t="str">
        <f>_xll.BDP("3175 HK Equity","FUND_INCEPT_DT")</f>
        <v>4/29/2016</v>
      </c>
      <c r="L144" t="str">
        <f>_xll.BDP("3175 HK Equity","PX388","PX395=TURNOVER_EXCH_RATIO","DY262=D","PY204=N","PX391=20251201","PX392=20251210")</f>
        <v>#N/A N/A</v>
      </c>
      <c r="M144">
        <f>_xll.BDP("3175 HK Equity","EQY_SH_OUT")</f>
        <v>40.25</v>
      </c>
      <c r="N144" t="str">
        <f>_xll.BDP("3175 HK Equity","EQY_TRR_PCT_YTD")</f>
        <v>#N/A N/A</v>
      </c>
      <c r="O144">
        <f>_xll.BDP("3175 HK Equity","CHG_PCT_YTD")</f>
        <v>41.646090000000001</v>
      </c>
      <c r="P144">
        <f>_xll.BDP("3175 HK Equity","CHG_PCT_1M")</f>
        <v>-17.100190000000001</v>
      </c>
      <c r="Q144" t="str">
        <f>_xll.BDP("3175 HK Equity","LISTING_DATE")</f>
        <v>4/29/2016</v>
      </c>
      <c r="R144" t="str">
        <f>_xll.BDP("3175 HK Equity","FUND_INCEPT_DT")</f>
        <v>4/29/2016</v>
      </c>
      <c r="S144">
        <f>_xll.BDP("3175 HK Equity","AVG_DAILY_VALUE_TRADED_3M")</f>
        <v>14266470</v>
      </c>
      <c r="T144" t="str">
        <f>_xll.BDP("3175 HK Equity","PX596","PX395=HISTORICAL_MARKET_CAP","DY262=D","PY204=N","PX391=20231231","PX392=20231231","DS004=HKD")</f>
        <v>#N/A N/A</v>
      </c>
      <c r="U144">
        <f>_xll.BDP("3175 HK Equity","PX385","PX395=FUND_FLOW","DY262=D","PY204=N","PX391=20240102","PX392=20240930","DS004=HKD")</f>
        <v>-91.873400000000004</v>
      </c>
      <c r="V144">
        <f>_xll.BDP("3175 HK Equity","PX596","PX395=CUR_MKT_CAP","DY262=D","PY204=N","PX391=20240101","DS004=HKD")</f>
        <v>372.09375</v>
      </c>
      <c r="W144" t="str">
        <f>_xll.BDP("3175 HK Equity","FUND_INCEPT_DT")</f>
        <v>4/29/2016</v>
      </c>
      <c r="X144">
        <f>_xll.BDP("3175 HK Equity","PX388","PX395=TURNOVER","DY262=D","PY204=N","PX391=20240502","PX392=20240606","DS004=HKD")</f>
        <v>1532090.42</v>
      </c>
      <c r="Y144" t="str">
        <f>_xll.BDP("3175 HK Equity","PARENT_COMP_NAME")</f>
        <v>Samsung Asset Management Hong</v>
      </c>
      <c r="Z144" t="str">
        <f>_xll.BDP("3175 HK Equity","NAV_CRNCY")</f>
        <v>HKD</v>
      </c>
      <c r="AA144" t="str">
        <f>_xll.BDP("3175 HK Equity","FUND_GEO_FOCUS")</f>
        <v>Global</v>
      </c>
      <c r="AB144" t="str">
        <f>_xll.BDP("3175 HK Equity","FUND_ASSET_CLASS_FOCUS")</f>
        <v>Commodity</v>
      </c>
      <c r="AC144">
        <f>_xll.BDP("3175 HK Equity","PX_LAST")</f>
        <v>8.6050000000000004</v>
      </c>
      <c r="AD144">
        <f>_xll.BDP("3175 HK Equity","PX388","PX395=TIME_WAVG_BID_ASK_SPREAD_PCT","DY262=D","PY204=N","PX391=20260601","PX392=20260626")</f>
        <v>0.17285490228233391</v>
      </c>
      <c r="AE144">
        <f>_xll.BDP("3175 HK Equity","PX388","PX395=AVERAGE_BID_ASK_SPREAD_%","DY262=D","PY204=N","PX391=20260601","PX392=20260626")</f>
        <v>0.18244502883902985</v>
      </c>
    </row>
    <row r="145" spans="1:31" x14ac:dyDescent="0.25">
      <c r="A145" t="s">
        <v>170</v>
      </c>
      <c r="B145" t="str">
        <f>_xll.BDP("3176 HK Equity","LONG_COMP_NAME")</f>
        <v>Taikang Hong Kong USD Money Market ETF</v>
      </c>
      <c r="C145">
        <f>_xll.BDP("3176 HK Equity","PX385","PX395=FUND_FLOW","DY262=D","PY204=N","PX391=20260622","PX392=20260626","DS004=USD")</f>
        <v>0</v>
      </c>
      <c r="D145">
        <f>_xll.BDP("3176 HK Equity","PX388","PX395=TURNOVER","DY262=D","PY204=N","PX391=20260601","PX392=20260626","DS004=HKD")</f>
        <v>345087.5</v>
      </c>
      <c r="E145" t="str">
        <f>_xll.BDP("3176 HK Equity","PX388","PX395=TURNOVER","DY262=D","PY204=N","PX391=20250101","PX392=20251231","DS004=HKD")</f>
        <v>#N/A N/A</v>
      </c>
      <c r="F145">
        <f>_xll.BDP("3176 HK Equity","PX596","PX395=FUND_TOTAL_ASSETS","DY262=D","PY204=N","PX391=20260626","PX392=20260626","DS004=USD")</f>
        <v>145.51438601000001</v>
      </c>
      <c r="G145">
        <f>_xll.BDP("3176 HK Equity","PX388","PX395=CUR_MKT_CAP","DY262=D","PY204=N","PX391=20260626","PX392=20260626","DS004=HKD")</f>
        <v>3.1816</v>
      </c>
      <c r="H145" t="str">
        <f>_xll.BDP("3176 HK Equity","FUND_LEVERAGE_TYPE")</f>
        <v>#N/A N/A</v>
      </c>
      <c r="I145" t="str">
        <f>_xll.BDP("3176 HK Equity","PX388","PX395=TURNOVER","DY262=D","PY204=N","PX391=20260101","PX392=20260131","DS004=HKD")</f>
        <v>#N/A N/A</v>
      </c>
      <c r="J145" t="s">
        <v>31</v>
      </c>
      <c r="K145" t="str">
        <f>_xll.BDP("3176 HK Equity","FUND_INCEPT_DT")</f>
        <v>1/29/2026</v>
      </c>
      <c r="L145" t="str">
        <f>_xll.BDP("3176 HK Equity","PX388","PX395=TURNOVER_EXCH_RATIO","DY262=D","PY204=N","PX391=20251201","PX392=20251210")</f>
        <v>#N/A N/A</v>
      </c>
      <c r="M145">
        <f>_xll.BDP("3176 HK Equity","EQY_SH_OUT")</f>
        <v>3.9999999999999996E-4</v>
      </c>
      <c r="N145" t="str">
        <f>_xll.BDP("3176 HK Equity","EQY_TRR_PCT_YTD")</f>
        <v>#N/A N/A</v>
      </c>
      <c r="O145" t="str">
        <f>_xll.BDP("3176 HK Equity","CHG_PCT_YTD")</f>
        <v>#N/A N/A</v>
      </c>
      <c r="P145">
        <f>_xll.BDP("3176 HK Equity","CHG_PCT_1M")</f>
        <v>0.66910740000000002</v>
      </c>
      <c r="Q145" t="str">
        <f>_xll.BDP("3176 HK Equity","LISTING_DATE")</f>
        <v>1/29/2026</v>
      </c>
      <c r="R145" t="str">
        <f>_xll.BDP("3176 HK Equity","FUND_INCEPT_DT")</f>
        <v>1/29/2026</v>
      </c>
      <c r="S145">
        <f>_xll.BDP("3176 HK Equity","AVG_DAILY_VALUE_TRADED_3M")</f>
        <v>24265.34</v>
      </c>
      <c r="T145" t="str">
        <f>_xll.BDP("3176 HK Equity","PX596","PX395=HISTORICAL_MARKET_CAP","DY262=D","PY204=N","PX391=20231231","PX392=20231231","DS004=HKD")</f>
        <v>#N/A N/A</v>
      </c>
      <c r="U145" t="str">
        <f>_xll.BDP("3176 HK Equity","PX385","PX395=FUND_FLOW","DY262=D","PY204=N","PX391=20240102","PX392=20240930","DS004=HKD")</f>
        <v>#N/A N/A</v>
      </c>
      <c r="V145" t="str">
        <f>_xll.BDP("3176 HK Equity","PX596","PX395=CUR_MKT_CAP","DY262=D","PY204=N","PX391=20240101","DS004=HKD")</f>
        <v>#N/A N/A</v>
      </c>
      <c r="W145" t="str">
        <f>_xll.BDP("3176 HK Equity","FUND_INCEPT_DT")</f>
        <v>1/29/2026</v>
      </c>
      <c r="X145" t="str">
        <f>_xll.BDP("3176 HK Equity","PX388","PX395=TURNOVER","DY262=D","PY204=N","PX391=20240502","PX392=20240606","DS004=HKD")</f>
        <v>#N/A N/A</v>
      </c>
      <c r="Y145" t="str">
        <f>_xll.BDP("3176 HK Equity","PARENT_COMP_NAME")</f>
        <v>Taikang Asset Management Hong</v>
      </c>
      <c r="Z145" t="str">
        <f>_xll.BDP("3176 HK Equity","NAV_CRNCY")</f>
        <v>HKD</v>
      </c>
      <c r="AA145" t="str">
        <f>_xll.BDP("3176 HK Equity","FUND_GEO_FOCUS")</f>
        <v>Global</v>
      </c>
      <c r="AB145" t="str">
        <f>_xll.BDP("3176 HK Equity","FUND_ASSET_CLASS_FOCUS")</f>
        <v>Money Market</v>
      </c>
      <c r="AC145">
        <f>_xll.BDP("3176 HK Equity","PX_LAST")</f>
        <v>7974</v>
      </c>
      <c r="AD145">
        <f>_xll.BDP("3176 HK Equity","PX388","PX395=TIME_WAVG_BID_ASK_SPREAD_PCT","DY262=D","PY204=N","PX391=20260601","PX392=20260626")</f>
        <v>0.1976174044453976</v>
      </c>
      <c r="AE145">
        <f>_xll.BDP("3176 HK Equity","PX388","PX395=AVERAGE_BID_ASK_SPREAD_%","DY262=D","PY204=N","PX391=20260601","PX392=20260626")</f>
        <v>0.2036685643884841</v>
      </c>
    </row>
    <row r="146" spans="1:31" x14ac:dyDescent="0.25">
      <c r="A146" t="s">
        <v>171</v>
      </c>
      <c r="B146" t="str">
        <f>_xll.BDP("3179 HK Equity","LONG_COMP_NAME")</f>
        <v>HARVEST ETHER SPOT ETF</v>
      </c>
      <c r="C146">
        <f>_xll.BDP("3179 HK Equity","PX385","PX395=FUND_FLOW","DY262=D","PY204=N","PX391=20260622","PX392=20260626","DS004=USD")</f>
        <v>0</v>
      </c>
      <c r="D146">
        <f>_xll.BDP("3179 HK Equity","PX388","PX395=TURNOVER","DY262=D","PY204=N","PX391=20260601","PX392=20260626","DS004=HKD")</f>
        <v>928230.84611111111</v>
      </c>
      <c r="E146">
        <f>_xll.BDP("3179 HK Equity","PX388","PX395=TURNOVER","DY262=D","PY204=N","PX391=20250101","PX392=20251231","DS004=HKD")</f>
        <v>842210.73089430924</v>
      </c>
      <c r="F146">
        <f>_xll.BDP("3179 HK Equity","PX596","PX395=FUND_TOTAL_ASSETS","DY262=D","PY204=N","PX391=20260626","PX392=20260626","DS004=USD")</f>
        <v>3.5592568299999998</v>
      </c>
      <c r="G146">
        <f>_xll.BDP("3179 HK Equity","PX388","PX395=CUR_MKT_CAP","DY262=D","PY204=N","PX391=20260626","PX392=20260626","DS004=HKD")</f>
        <v>27.87</v>
      </c>
      <c r="H146" t="str">
        <f>_xll.BDP("3179 HK Equity","FUND_LEVERAGE_TYPE")</f>
        <v>#N/A N/A</v>
      </c>
      <c r="I146">
        <f>_xll.BDP("3179 HK Equity","PX388","PX395=TURNOVER","DY262=D","PY204=N","PX391=20260101","PX392=20260131","DS004=HKD")</f>
        <v>238610.42857142861</v>
      </c>
      <c r="J146">
        <v>-1</v>
      </c>
      <c r="K146" t="str">
        <f>_xll.BDP("3179 HK Equity","FUND_INCEPT_DT")</f>
        <v>4/30/2024</v>
      </c>
      <c r="L146" t="str">
        <f>_xll.BDP("3179 HK Equity","PX388","PX395=TURNOVER_EXCH_RATIO","DY262=D","PY204=N","PX391=20251201","PX392=20251210")</f>
        <v>#N/A N/A</v>
      </c>
      <c r="M146">
        <f>_xll.BDP("3179 HK Equity","EQY_SH_OUT")</f>
        <v>7.5</v>
      </c>
      <c r="N146">
        <f>_xll.BDP("3179 HK Equity","EQY_TRR_PCT_YTD")</f>
        <v>-47.382680000000001</v>
      </c>
      <c r="O146">
        <f>_xll.BDP("3179 HK Equity","CHG_PCT_YTD")</f>
        <v>-47.13982</v>
      </c>
      <c r="P146">
        <f>_xll.BDP("3179 HK Equity","CHG_PCT_1M")</f>
        <v>-21.4346</v>
      </c>
      <c r="Q146" t="str">
        <f>_xll.BDP("3179 HK Equity","LISTING_DATE")</f>
        <v>4/30/2024</v>
      </c>
      <c r="R146" t="str">
        <f>_xll.BDP("3179 HK Equity","FUND_INCEPT_DT")</f>
        <v>4/30/2024</v>
      </c>
      <c r="S146">
        <f>_xll.BDP("3179 HK Equity","AVG_DAILY_VALUE_TRADED_3M")</f>
        <v>388842.3</v>
      </c>
      <c r="T146" t="str">
        <f>_xll.BDP("3179 HK Equity","PX596","PX395=HISTORICAL_MARKET_CAP","DY262=D","PY204=N","PX391=20231231","PX392=20231231","DS004=HKD")</f>
        <v>#N/A N/A</v>
      </c>
      <c r="U146">
        <f>_xll.BDP("3179 HK Equity","PX385","PX395=FUND_FLOW","DY262=D","PY204=N","PX391=20240102","PX392=20240930","DS004=HKD")</f>
        <v>-30.495902895999997</v>
      </c>
      <c r="V146">
        <f>_xll.BDP("3179 HK Equity","PX596","PX395=CUR_MKT_CAP","DY262=D","PY204=N","PX391=20240101","DS004=HKD")</f>
        <v>83.835499999999996</v>
      </c>
      <c r="W146" t="str">
        <f>_xll.BDP("3179 HK Equity","FUND_INCEPT_DT")</f>
        <v>4/30/2024</v>
      </c>
      <c r="X146">
        <f>_xll.BDP("3179 HK Equity","PX388","PX395=TURNOVER","DY262=D","PY204=N","PX391=20240502","PX392=20240606","DS004=HKD")</f>
        <v>3081004.8599999994</v>
      </c>
      <c r="Y146" t="str">
        <f>_xll.BDP("3179 HK Equity","PARENT_COMP_NAME")</f>
        <v>Harvest Global Investments Ltd</v>
      </c>
      <c r="Z146" t="str">
        <f>_xll.BDP("3179 HK Equity","NAV_CRNCY")</f>
        <v>HKD</v>
      </c>
      <c r="AA146" t="str">
        <f>_xll.BDP("3179 HK Equity","FUND_GEO_FOCUS")</f>
        <v>Global</v>
      </c>
      <c r="AB146" t="str">
        <f>_xll.BDP("3179 HK Equity","FUND_ASSET_CLASS_FOCUS")</f>
        <v>Alternative</v>
      </c>
      <c r="AC146">
        <f>_xll.BDP("3179 HK Equity","PX_LAST")</f>
        <v>3.7240000000000002</v>
      </c>
      <c r="AD146">
        <f>_xll.BDP("3179 HK Equity","PX388","PX395=TIME_WAVG_BID_ASK_SPREAD_PCT","DY262=D","PY204=N","PX391=20260601","PX392=20260626")</f>
        <v>0.33159796741153941</v>
      </c>
      <c r="AE146">
        <f>_xll.BDP("3179 HK Equity","PX388","PX395=AVERAGE_BID_ASK_SPREAD_%","DY262=D","PY204=N","PX391=20260601","PX392=20260626")</f>
        <v>0.36588802504846085</v>
      </c>
    </row>
    <row r="147" spans="1:31" x14ac:dyDescent="0.25">
      <c r="A147" t="s">
        <v>172</v>
      </c>
      <c r="B147" t="str">
        <f>_xll.BDP("3181 HK Equity","LONG_COMP_NAME")</f>
        <v>Premia Asia Innovative Technology and Metaverse Theme ETF</v>
      </c>
      <c r="C147">
        <f>_xll.BDP("3181 HK Equity","PX385","PX395=FUND_FLOW","DY262=D","PY204=N","PX391=20260622","PX392=20260626","DS004=USD")</f>
        <v>0</v>
      </c>
      <c r="D147">
        <f>_xll.BDP("3181 HK Equity","PX388","PX395=TURNOVER","DY262=D","PY204=N","PX391=20260601","PX392=20260626","DS004=HKD")</f>
        <v>85510.416666666672</v>
      </c>
      <c r="E147">
        <f>_xll.BDP("3181 HK Equity","PX388","PX395=TURNOVER","DY262=D","PY204=N","PX391=20250101","PX392=20251231","DS004=HKD")</f>
        <v>99238.829787234034</v>
      </c>
      <c r="F147">
        <f>_xll.BDP("3181 HK Equity","PX596","PX395=FUND_TOTAL_ASSETS","DY262=D","PY204=N","PX391=20260626","PX392=20260626","DS004=USD")</f>
        <v>6.3123196900000007</v>
      </c>
      <c r="G147">
        <f>_xll.BDP("3181 HK Equity","PX388","PX395=CUR_MKT_CAP","DY262=D","PY204=N","PX391=20260626","PX392=20260626","DS004=HKD")</f>
        <v>49.77</v>
      </c>
      <c r="H147" t="str">
        <f>_xll.BDP("3181 HK Equity","FUND_LEVERAGE_TYPE")</f>
        <v>#N/A N/A</v>
      </c>
      <c r="I147">
        <f>_xll.BDP("3181 HK Equity","PX388","PX395=TURNOVER","DY262=D","PY204=N","PX391=20260101","PX392=20260131","DS004=HKD")</f>
        <v>101965.45454545454</v>
      </c>
      <c r="J147">
        <v>-1</v>
      </c>
      <c r="K147" t="str">
        <f>_xll.BDP("3181 HK Equity","FUND_INCEPT_DT")</f>
        <v>8/1/2018</v>
      </c>
      <c r="L147" t="str">
        <f>_xll.BDP("3181 HK Equity","PX388","PX395=TURNOVER_EXCH_RATIO","DY262=D","PY204=N","PX391=20251201","PX392=20251210")</f>
        <v>#N/A N/A</v>
      </c>
      <c r="M147">
        <f>_xll.BDP("3181 HK Equity","EQY_SH_OUT")</f>
        <v>0.3</v>
      </c>
      <c r="N147">
        <f>_xll.BDP("3181 HK Equity","EQY_TRR_PCT_YTD")</f>
        <v>42.380290000000002</v>
      </c>
      <c r="O147">
        <f>_xll.BDP("3181 HK Equity","CHG_PCT_YTD")</f>
        <v>40.390210000000003</v>
      </c>
      <c r="P147">
        <f>_xll.BDP("3181 HK Equity","CHG_PCT_1M")</f>
        <v>-0.2065488</v>
      </c>
      <c r="Q147" t="str">
        <f>_xll.BDP("3181 HK Equity","LISTING_DATE")</f>
        <v>8/6/2018</v>
      </c>
      <c r="R147" t="str">
        <f>_xll.BDP("3181 HK Equity","FUND_INCEPT_DT")</f>
        <v>8/1/2018</v>
      </c>
      <c r="S147">
        <f>_xll.BDP("3181 HK Equity","AVG_DAILY_VALUE_TRADED_3M")</f>
        <v>276495.2</v>
      </c>
      <c r="T147" t="str">
        <f>_xll.BDP("3181 HK Equity","PX596","PX395=HISTORICAL_MARKET_CAP","DY262=D","PY204=N","PX391=20231231","PX392=20231231","DS004=HKD")</f>
        <v>#N/A N/A</v>
      </c>
      <c r="U147">
        <f>_xll.BDP("3181 HK Equity","PX385","PX395=FUND_FLOW","DY262=D","PY204=N","PX391=20240102","PX392=20240930","DS004=HKD")</f>
        <v>0</v>
      </c>
      <c r="V147">
        <f>_xll.BDP("3181 HK Equity","PX596","PX395=CUR_MKT_CAP","DY262=D","PY204=N","PX391=20240101","DS004=HKD")</f>
        <v>36.134999999999998</v>
      </c>
      <c r="W147" t="str">
        <f>_xll.BDP("3181 HK Equity","FUND_INCEPT_DT")</f>
        <v>8/1/2018</v>
      </c>
      <c r="X147">
        <f>_xll.BDP("3181 HK Equity","PX388","PX395=TURNOVER","DY262=D","PY204=N","PX391=20240502","PX392=20240606","DS004=HKD")</f>
        <v>92185.8</v>
      </c>
      <c r="Y147" t="str">
        <f>_xll.BDP("3181 HK Equity","PARENT_COMP_NAME")</f>
        <v>Premia Partners Co Ltd/Hong Ko</v>
      </c>
      <c r="Z147" t="str">
        <f>_xll.BDP("3181 HK Equity","NAV_CRNCY")</f>
        <v>HKD</v>
      </c>
      <c r="AA147" t="str">
        <f>_xll.BDP("3181 HK Equity","FUND_GEO_FOCUS")</f>
        <v>Asian Pacific Region</v>
      </c>
      <c r="AB147" t="str">
        <f>_xll.BDP("3181 HK Equity","FUND_ASSET_CLASS_FOCUS")</f>
        <v>Equity</v>
      </c>
      <c r="AC147">
        <f>_xll.BDP("3181 HK Equity","PX_LAST")</f>
        <v>169.1</v>
      </c>
      <c r="AD147">
        <f>_xll.BDP("3181 HK Equity","PX388","PX395=TIME_WAVG_BID_ASK_SPREAD_PCT","DY262=D","PY204=N","PX391=20260601","PX392=20260626")</f>
        <v>0.52682637632378482</v>
      </c>
      <c r="AE147">
        <f>_xll.BDP("3181 HK Equity","PX388","PX395=AVERAGE_BID_ASK_SPREAD_%","DY262=D","PY204=N","PX391=20260601","PX392=20260626")</f>
        <v>0.61184142819605136</v>
      </c>
    </row>
    <row r="148" spans="1:31" x14ac:dyDescent="0.25">
      <c r="A148" t="s">
        <v>173</v>
      </c>
      <c r="B148" t="str">
        <f>_xll.BDP("3182 HK Equity","LONG_COMP_NAME")</f>
        <v>W.I.S.E. - Nasdaq China New Economy Companies ESG Index Tracker</v>
      </c>
      <c r="C148">
        <f>_xll.BDP("3182 HK Equity","PX385","PX395=FUND_FLOW","DY262=D","PY204=N","PX391=20260622","PX392=20260626","DS004=USD")</f>
        <v>0</v>
      </c>
      <c r="D148">
        <f>_xll.BDP("3182 HK Equity","PX388","PX395=TURNOVER","DY262=D","PY204=N","PX391=20260601","PX392=20260626","DS004=HKD")</f>
        <v>278156.28571428574</v>
      </c>
      <c r="E148">
        <f>_xll.BDP("3182 HK Equity","PX388","PX395=TURNOVER","DY262=D","PY204=N","PX391=20250101","PX392=20251231","DS004=HKD")</f>
        <v>110970.38554216863</v>
      </c>
      <c r="F148">
        <f>_xll.BDP("3182 HK Equity","PX596","PX395=FUND_TOTAL_ASSETS","DY262=D","PY204=N","PX391=20260626","PX392=20260626","DS004=USD")</f>
        <v>1.1011366853266342</v>
      </c>
      <c r="G148">
        <f>_xll.BDP("3182 HK Equity","PX388","PX395=CUR_MKT_CAP","DY262=D","PY204=N","PX391=20260626","PX392=20260626","DS004=HKD")</f>
        <v>8.5877999999999997</v>
      </c>
      <c r="H148" t="str">
        <f>_xll.BDP("3182 HK Equity","FUND_LEVERAGE_TYPE")</f>
        <v>#N/A N/A</v>
      </c>
      <c r="I148">
        <f>_xll.BDP("3182 HK Equity","PX388","PX395=TURNOVER","DY262=D","PY204=N","PX391=20260101","PX392=20260131","DS004=HKD")</f>
        <v>32252</v>
      </c>
      <c r="J148">
        <v>-1</v>
      </c>
      <c r="K148" t="str">
        <f>_xll.BDP("3182 HK Equity","FUND_INCEPT_DT")</f>
        <v>9/12/2018</v>
      </c>
      <c r="L148" t="str">
        <f>_xll.BDP("3182 HK Equity","PX388","PX395=TURNOVER_EXCH_RATIO","DY262=D","PY204=N","PX391=20251201","PX392=20251210")</f>
        <v>#N/A N/A</v>
      </c>
      <c r="M148">
        <f>_xll.BDP("3182 HK Equity","EQY_SH_OUT")</f>
        <v>0.77999999999999992</v>
      </c>
      <c r="N148">
        <f>_xll.BDP("3182 HK Equity","EQY_TRR_PCT_YTD")</f>
        <v>-13.064249999999999</v>
      </c>
      <c r="O148">
        <f>_xll.BDP("3182 HK Equity","CHG_PCT_YTD")</f>
        <v>-11.61341</v>
      </c>
      <c r="P148">
        <f>_xll.BDP("3182 HK Equity","CHG_PCT_1M")</f>
        <v>-6.0480510000000001</v>
      </c>
      <c r="Q148" t="str">
        <f>_xll.BDP("3182 HK Equity","LISTING_DATE")</f>
        <v>9/12/2018</v>
      </c>
      <c r="R148" t="str">
        <f>_xll.BDP("3182 HK Equity","FUND_INCEPT_DT")</f>
        <v>9/12/2018</v>
      </c>
      <c r="S148">
        <f>_xll.BDP("3182 HK Equity","AVG_DAILY_VALUE_TRADED_3M")</f>
        <v>97699.54</v>
      </c>
      <c r="T148" t="str">
        <f>_xll.BDP("3182 HK Equity","PX596","PX395=HISTORICAL_MARKET_CAP","DY262=D","PY204=N","PX391=20231231","PX392=20231231","DS004=HKD")</f>
        <v>#N/A N/A</v>
      </c>
      <c r="U148">
        <f>_xll.BDP("3182 HK Equity","PX385","PX395=FUND_FLOW","DY262=D","PY204=N","PX391=20240102","PX392=20240930","DS004=HKD")</f>
        <v>0</v>
      </c>
      <c r="V148">
        <f>_xll.BDP("3182 HK Equity","PX596","PX395=CUR_MKT_CAP","DY262=D","PY204=N","PX391=20240101","DS004=HKD")</f>
        <v>10.007400000000001</v>
      </c>
      <c r="W148" t="str">
        <f>_xll.BDP("3182 HK Equity","FUND_INCEPT_DT")</f>
        <v>9/12/2018</v>
      </c>
      <c r="X148">
        <f>_xll.BDP("3182 HK Equity","PX388","PX395=TURNOVER","DY262=D","PY204=N","PX391=20240502","PX392=20240606","DS004=HKD")</f>
        <v>17724.357142857145</v>
      </c>
      <c r="Y148" t="str">
        <f>_xll.BDP("3182 HK Equity","PARENT_COMP_NAME")</f>
        <v>BOCI-Prudential Asset Manageme</v>
      </c>
      <c r="Z148" t="str">
        <f>_xll.BDP("3182 HK Equity","NAV_CRNCY")</f>
        <v>HKD</v>
      </c>
      <c r="AA148" t="str">
        <f>_xll.BDP("3182 HK Equity","FUND_GEO_FOCUS")</f>
        <v>China</v>
      </c>
      <c r="AB148" t="str">
        <f>_xll.BDP("3182 HK Equity","FUND_ASSET_CLASS_FOCUS")</f>
        <v>Equity</v>
      </c>
      <c r="AC148">
        <f>_xll.BDP("3182 HK Equity","PX_LAST")</f>
        <v>11.34</v>
      </c>
      <c r="AD148">
        <f>_xll.BDP("3182 HK Equity","PX388","PX395=TIME_WAVG_BID_ASK_SPREAD_PCT","DY262=D","PY204=N","PX391=20260601","PX392=20260626")</f>
        <v>0.204127114116265</v>
      </c>
      <c r="AE148">
        <f>_xll.BDP("3182 HK Equity","PX388","PX395=AVERAGE_BID_ASK_SPREAD_%","DY262=D","PY204=N","PX391=20260601","PX392=20260626")</f>
        <v>0.43393537092580403</v>
      </c>
    </row>
    <row r="149" spans="1:31" x14ac:dyDescent="0.25">
      <c r="A149" t="s">
        <v>174</v>
      </c>
      <c r="B149" t="str">
        <f>_xll.BDP("3185 HK Equity","LONG_COMP_NAME")</f>
        <v>Global X FinTech ETF/Hong Kong</v>
      </c>
      <c r="C149">
        <f>_xll.BDP("3185 HK Equity","PX385","PX395=FUND_FLOW","DY262=D","PY204=N","PX391=20260622","PX392=20260626","DS004=USD")</f>
        <v>0</v>
      </c>
      <c r="D149">
        <f>_xll.BDP("3185 HK Equity","PX388","PX395=TURNOVER","DY262=D","PY204=N","PX391=20260601","PX392=20260626","DS004=HKD")</f>
        <v>48451.8</v>
      </c>
      <c r="E149">
        <f>_xll.BDP("3185 HK Equity","PX388","PX395=TURNOVER","DY262=D","PY204=N","PX391=20250101","PX392=20251231","DS004=HKD")</f>
        <v>251909.77419354831</v>
      </c>
      <c r="F149">
        <f>_xll.BDP("3185 HK Equity","PX596","PX395=FUND_TOTAL_ASSETS","DY262=D","PY204=N","PX391=20260626","PX392=20260626","DS004=USD")</f>
        <v>1.3939660945410028</v>
      </c>
      <c r="G149">
        <f>_xll.BDP("3185 HK Equity","PX388","PX395=CUR_MKT_CAP","DY262=D","PY204=N","PX391=20260626","PX392=20260626","DS004=HKD")</f>
        <v>10.56</v>
      </c>
      <c r="H149" t="str">
        <f>_xll.BDP("3185 HK Equity","FUND_LEVERAGE_TYPE")</f>
        <v>#N/A N/A</v>
      </c>
      <c r="I149">
        <f>_xll.BDP("3185 HK Equity","PX388","PX395=TURNOVER","DY262=D","PY204=N","PX391=20260101","PX392=20260131","DS004=HKD")</f>
        <v>121535.20000000001</v>
      </c>
      <c r="J149">
        <v>-1</v>
      </c>
      <c r="K149" t="str">
        <f>_xll.BDP("3185 HK Equity","FUND_INCEPT_DT")</f>
        <v>12/10/2021</v>
      </c>
      <c r="L149" t="str">
        <f>_xll.BDP("3185 HK Equity","PX388","PX395=TURNOVER_EXCH_RATIO","DY262=D","PY204=N","PX391=20251201","PX392=20251210")</f>
        <v>#N/A N/A</v>
      </c>
      <c r="M149">
        <f>_xll.BDP("3185 HK Equity","EQY_SH_OUT")</f>
        <v>0.3</v>
      </c>
      <c r="N149">
        <f>_xll.BDP("3185 HK Equity","EQY_TRR_PCT_YTD")</f>
        <v>-18.024989999999999</v>
      </c>
      <c r="O149">
        <f>_xll.BDP("3185 HK Equity","CHG_PCT_YTD")</f>
        <v>-15.762869999999999</v>
      </c>
      <c r="P149">
        <f>_xll.BDP("3185 HK Equity","CHG_PCT_1M")</f>
        <v>-2.1356090000000001</v>
      </c>
      <c r="Q149" t="str">
        <f>_xll.BDP("3185 HK Equity","LISTING_DATE")</f>
        <v>12/10/2021</v>
      </c>
      <c r="R149" t="str">
        <f>_xll.BDP("3185 HK Equity","FUND_INCEPT_DT")</f>
        <v>12/10/2021</v>
      </c>
      <c r="S149">
        <f>_xll.BDP("3185 HK Equity","AVG_DAILY_VALUE_TRADED_3M")</f>
        <v>37017.21</v>
      </c>
      <c r="T149" t="str">
        <f>_xll.BDP("3185 HK Equity","PX596","PX395=HISTORICAL_MARKET_CAP","DY262=D","PY204=N","PX391=20231231","PX392=20231231","DS004=HKD")</f>
        <v>#N/A N/A</v>
      </c>
      <c r="U149">
        <f>_xll.BDP("3185 HK Equity","PX385","PX395=FUND_FLOW","DY262=D","PY204=N","PX391=20240102","PX392=20240930","DS004=HKD")</f>
        <v>1.9834899999999998</v>
      </c>
      <c r="V149">
        <f>_xll.BDP("3185 HK Equity","PX596","PX395=CUR_MKT_CAP","DY262=D","PY204=N","PX391=20240101","DS004=HKD")</f>
        <v>13.056000000000001</v>
      </c>
      <c r="W149" t="str">
        <f>_xll.BDP("3185 HK Equity","FUND_INCEPT_DT")</f>
        <v>12/10/2021</v>
      </c>
      <c r="X149">
        <f>_xll.BDP("3185 HK Equity","PX388","PX395=TURNOVER","DY262=D","PY204=N","PX391=20240502","PX392=20240606","DS004=HKD")</f>
        <v>3232.75</v>
      </c>
      <c r="Y149" t="str">
        <f>_xll.BDP("3185 HK Equity","PARENT_COMP_NAME")</f>
        <v>Mirae Asset Global Investments</v>
      </c>
      <c r="Z149" t="str">
        <f>_xll.BDP("3185 HK Equity","NAV_CRNCY")</f>
        <v>HKD</v>
      </c>
      <c r="AA149" t="str">
        <f>_xll.BDP("3185 HK Equity","FUND_GEO_FOCUS")</f>
        <v>Global</v>
      </c>
      <c r="AB149" t="str">
        <f>_xll.BDP("3185 HK Equity","FUND_ASSET_CLASS_FOCUS")</f>
        <v>Equity</v>
      </c>
      <c r="AC149">
        <f>_xll.BDP("3185 HK Equity","PX_LAST")</f>
        <v>36.659999999999997</v>
      </c>
      <c r="AD149">
        <f>_xll.BDP("3185 HK Equity","PX388","PX395=TIME_WAVG_BID_ASK_SPREAD_PCT","DY262=D","PY204=N","PX391=20260601","PX392=20260626")</f>
        <v>0.59394724296471568</v>
      </c>
      <c r="AE149">
        <f>_xll.BDP("3185 HK Equity","PX388","PX395=AVERAGE_BID_ASK_SPREAD_%","DY262=D","PY204=N","PX391=20260601","PX392=20260626")</f>
        <v>0.636516990429147</v>
      </c>
    </row>
    <row r="150" spans="1:31" x14ac:dyDescent="0.25">
      <c r="A150" t="s">
        <v>175</v>
      </c>
      <c r="B150" t="str">
        <f>_xll.BDP("3186 HK Equity","LONG_COMP_NAME")</f>
        <v>E Fund HK Solactive Biopharma Select Index ETF</v>
      </c>
      <c r="C150">
        <f>_xll.BDP("3186 HK Equity","PX385","PX395=FUND_FLOW","DY262=D","PY204=N","PX391=20260622","PX392=20260626","DS004=USD")</f>
        <v>0</v>
      </c>
      <c r="D150">
        <f>_xll.BDP("3186 HK Equity","PX388","PX395=TURNOVER","DY262=D","PY204=N","PX391=20260601","PX392=20260626","DS004=HKD")</f>
        <v>957099.00000000012</v>
      </c>
      <c r="E150" t="str">
        <f>_xll.BDP("3186 HK Equity","PX388","PX395=TURNOVER","DY262=D","PY204=N","PX391=20250101","PX392=20251231","DS004=HKD")</f>
        <v>#N/A N/A</v>
      </c>
      <c r="F150">
        <f>_xll.BDP("3186 HK Equity","PX596","PX395=FUND_TOTAL_ASSETS","DY262=D","PY204=N","PX391=20260626","PX392=20260626","DS004=USD")</f>
        <v>3.3865900995906704</v>
      </c>
      <c r="G150">
        <f>_xll.BDP("3186 HK Equity","PX388","PX395=CUR_MKT_CAP","DY262=D","PY204=N","PX391=20260626","PX392=20260626","DS004=HKD")</f>
        <v>26.3</v>
      </c>
      <c r="H150" t="str">
        <f>_xll.BDP("3186 HK Equity","FUND_LEVERAGE_TYPE")</f>
        <v>#N/A N/A</v>
      </c>
      <c r="I150" t="str">
        <f>_xll.BDP("3186 HK Equity","PX388","PX395=TURNOVER","DY262=D","PY204=N","PX391=20260101","PX392=20260131","DS004=HKD")</f>
        <v>#N/A N/A</v>
      </c>
      <c r="J150" t="s">
        <v>31</v>
      </c>
      <c r="K150" t="str">
        <f>_xll.BDP("3186 HK Equity","FUND_INCEPT_DT")</f>
        <v>3/19/2026</v>
      </c>
      <c r="L150" t="str">
        <f>_xll.BDP("3186 HK Equity","PX388","PX395=TURNOVER_EXCH_RATIO","DY262=D","PY204=N","PX391=20251201","PX392=20251210")</f>
        <v>#N/A N/A</v>
      </c>
      <c r="M150">
        <f>_xll.BDP("3186 HK Equity","EQY_SH_OUT")</f>
        <v>2</v>
      </c>
      <c r="N150" t="str">
        <f>_xll.BDP("3186 HK Equity","EQY_TRR_PCT_YTD")</f>
        <v>#N/A N/A</v>
      </c>
      <c r="O150" t="str">
        <f>_xll.BDP("3186 HK Equity","CHG_PCT_YTD")</f>
        <v>#N/A N/A</v>
      </c>
      <c r="P150">
        <f>_xll.BDP("3186 HK Equity","CHG_PCT_1M")</f>
        <v>-1.7021299999999999</v>
      </c>
      <c r="Q150" t="str">
        <f>_xll.BDP("3186 HK Equity","LISTING_DATE")</f>
        <v>3/23/2026</v>
      </c>
      <c r="R150" t="str">
        <f>_xll.BDP("3186 HK Equity","FUND_INCEPT_DT")</f>
        <v>3/19/2026</v>
      </c>
      <c r="S150">
        <f>_xll.BDP("3186 HK Equity","AVG_DAILY_VALUE_TRADED_3M")</f>
        <v>954355.8</v>
      </c>
      <c r="T150" t="str">
        <f>_xll.BDP("3186 HK Equity","PX596","PX395=HISTORICAL_MARKET_CAP","DY262=D","PY204=N","PX391=20231231","PX392=20231231","DS004=HKD")</f>
        <v>#N/A N/A</v>
      </c>
      <c r="U150" t="str">
        <f>_xll.BDP("3186 HK Equity","PX385","PX395=FUND_FLOW","DY262=D","PY204=N","PX391=20240102","PX392=20240930","DS004=HKD")</f>
        <v>#N/A N/A</v>
      </c>
      <c r="V150" t="str">
        <f>_xll.BDP("3186 HK Equity","PX596","PX395=CUR_MKT_CAP","DY262=D","PY204=N","PX391=20240101","DS004=HKD")</f>
        <v>#N/A N/A</v>
      </c>
      <c r="W150" t="str">
        <f>_xll.BDP("3186 HK Equity","FUND_INCEPT_DT")</f>
        <v>3/19/2026</v>
      </c>
      <c r="X150" t="str">
        <f>_xll.BDP("3186 HK Equity","PX388","PX395=TURNOVER","DY262=D","PY204=N","PX391=20240502","PX392=20240606","DS004=HKD")</f>
        <v>#N/A N/A</v>
      </c>
      <c r="Y150" t="str">
        <f>_xll.BDP("3186 HK Equity","PARENT_COMP_NAME")</f>
        <v>E Fund Management Hong Kong Co</v>
      </c>
      <c r="Z150" t="str">
        <f>_xll.BDP("3186 HK Equity","NAV_CRNCY")</f>
        <v>HKD</v>
      </c>
      <c r="AA150" t="str">
        <f>_xll.BDP("3186 HK Equity","FUND_GEO_FOCUS")</f>
        <v>Global</v>
      </c>
      <c r="AB150" t="str">
        <f>_xll.BDP("3186 HK Equity","FUND_ASSET_CLASS_FOCUS")</f>
        <v>Equity</v>
      </c>
      <c r="AC150">
        <f>_xll.BDP("3186 HK Equity","PX_LAST")</f>
        <v>13.86</v>
      </c>
      <c r="AD150">
        <f>_xll.BDP("3186 HK Equity","PX388","PX395=TIME_WAVG_BID_ASK_SPREAD_PCT","DY262=D","PY204=N","PX391=20260601","PX392=20260626")</f>
        <v>0.37625858421856578</v>
      </c>
      <c r="AE150">
        <f>_xll.BDP("3186 HK Equity","PX388","PX395=AVERAGE_BID_ASK_SPREAD_%","DY262=D","PY204=N","PX391=20260601","PX392=20260626")</f>
        <v>0.49154092684174516</v>
      </c>
    </row>
    <row r="151" spans="1:31" x14ac:dyDescent="0.25">
      <c r="A151" t="s">
        <v>176</v>
      </c>
      <c r="B151" t="str">
        <f>_xll.BDP("3189 HK Equity","LONG_COMP_NAME")</f>
        <v>E Fund HK CSI Liquor Index ETF</v>
      </c>
      <c r="C151">
        <f>_xll.BDP("3189 HK Equity","PX385","PX395=FUND_FLOW","DY262=D","PY204=N","PX391=20260622","PX392=20260626","DS004=USD")</f>
        <v>0</v>
      </c>
      <c r="D151">
        <f>_xll.BDP("3189 HK Equity","PX388","PX395=TURNOVER","DY262=D","PY204=N","PX391=20260601","PX392=20260626","DS004=HKD")</f>
        <v>873481.55789473688</v>
      </c>
      <c r="E151">
        <f>_xll.BDP("3189 HK Equity","PX388","PX395=TURNOVER","DY262=D","PY204=N","PX391=20250101","PX392=20251231","DS004=HKD")</f>
        <v>912607.41510204086</v>
      </c>
      <c r="F151">
        <f>_xll.BDP("3189 HK Equity","PX596","PX395=FUND_TOTAL_ASSETS","DY262=D","PY204=N","PX391=20260626","PX392=20260626","DS004=USD")</f>
        <v>10.54064653929874</v>
      </c>
      <c r="G151">
        <f>_xll.BDP("3189 HK Equity","PX388","PX395=CUR_MKT_CAP","DY262=D","PY204=N","PX391=20260626","PX392=20260626","DS004=HKD")</f>
        <v>82.792000000000002</v>
      </c>
      <c r="H151" t="str">
        <f>_xll.BDP("3189 HK Equity","FUND_LEVERAGE_TYPE")</f>
        <v>#N/A N/A</v>
      </c>
      <c r="I151">
        <f>_xll.BDP("3189 HK Equity","PX388","PX395=TURNOVER","DY262=D","PY204=N","PX391=20260101","PX392=20260131","DS004=HKD")</f>
        <v>1323426.3619047618</v>
      </c>
      <c r="J151">
        <v>-1</v>
      </c>
      <c r="K151" t="str">
        <f>_xll.BDP("3189 HK Equity","FUND_INCEPT_DT")</f>
        <v>2/16/2023</v>
      </c>
      <c r="L151" t="str">
        <f>_xll.BDP("3189 HK Equity","PX388","PX395=TURNOVER_EXCH_RATIO","DY262=D","PY204=N","PX391=20251201","PX392=20251210")</f>
        <v>#N/A N/A</v>
      </c>
      <c r="M151">
        <f>_xll.BDP("3189 HK Equity","EQY_SH_OUT")</f>
        <v>79</v>
      </c>
      <c r="N151">
        <f>_xll.BDP("3189 HK Equity","EQY_TRR_PCT_YTD")</f>
        <v>-28.119630000000001</v>
      </c>
      <c r="O151">
        <f>_xll.BDP("3189 HK Equity","CHG_PCT_YTD")</f>
        <v>-26.482759999999999</v>
      </c>
      <c r="P151">
        <f>_xll.BDP("3189 HK Equity","CHG_PCT_1M")</f>
        <v>-13.61426</v>
      </c>
      <c r="Q151" t="str">
        <f>_xll.BDP("3189 HK Equity","LISTING_DATE")</f>
        <v>2/16/2023</v>
      </c>
      <c r="R151" t="str">
        <f>_xll.BDP("3189 HK Equity","FUND_INCEPT_DT")</f>
        <v>2/16/2023</v>
      </c>
      <c r="S151">
        <f>_xll.BDP("3189 HK Equity","AVG_DAILY_VALUE_TRADED_3M")</f>
        <v>931856.6</v>
      </c>
      <c r="T151" t="str">
        <f>_xll.BDP("3189 HK Equity","PX596","PX395=HISTORICAL_MARKET_CAP","DY262=D","PY204=N","PX391=20231231","PX392=20231231","DS004=HKD")</f>
        <v>#N/A N/A</v>
      </c>
      <c r="U151">
        <f>_xll.BDP("3189 HK Equity","PX385","PX395=FUND_FLOW","DY262=D","PY204=N","PX391=20240102","PX392=20240930","DS004=HKD")</f>
        <v>-6.0220000000000029</v>
      </c>
      <c r="V151">
        <f>_xll.BDP("3189 HK Equity","PX596","PX395=CUR_MKT_CAP","DY262=D","PY204=N","PX391=20240101","DS004=HKD")</f>
        <v>84.825000000000003</v>
      </c>
      <c r="W151" t="str">
        <f>_xll.BDP("3189 HK Equity","FUND_INCEPT_DT")</f>
        <v>2/16/2023</v>
      </c>
      <c r="X151">
        <f>_xll.BDP("3189 HK Equity","PX388","PX395=TURNOVER","DY262=D","PY204=N","PX391=20240502","PX392=20240606","DS004=HKD")</f>
        <v>192411.50833333336</v>
      </c>
      <c r="Y151" t="str">
        <f>_xll.BDP("3189 HK Equity","PARENT_COMP_NAME")</f>
        <v>E Fund Management Hong Kong Co</v>
      </c>
      <c r="Z151" t="str">
        <f>_xll.BDP("3189 HK Equity","NAV_CRNCY")</f>
        <v>HKD</v>
      </c>
      <c r="AA151" t="str">
        <f>_xll.BDP("3189 HK Equity","FUND_GEO_FOCUS")</f>
        <v>China</v>
      </c>
      <c r="AB151" t="str">
        <f>_xll.BDP("3189 HK Equity","FUND_ASSET_CLASS_FOCUS")</f>
        <v>Equity</v>
      </c>
      <c r="AC151">
        <f>_xll.BDP("3189 HK Equity","PX_LAST")</f>
        <v>1.0660000000000001</v>
      </c>
      <c r="AD151">
        <f>_xll.BDP("3189 HK Equity","PX388","PX395=TIME_WAVG_BID_ASK_SPREAD_PCT","DY262=D","PY204=N","PX391=20260601","PX392=20260626")</f>
        <v>0.40576791344789215</v>
      </c>
      <c r="AE151">
        <f>_xll.BDP("3189 HK Equity","PX388","PX395=AVERAGE_BID_ASK_SPREAD_%","DY262=D","PY204=N","PX391=20260601","PX392=20260626")</f>
        <v>0.50074021696342996</v>
      </c>
    </row>
    <row r="152" spans="1:31" x14ac:dyDescent="0.25">
      <c r="A152" t="s">
        <v>177</v>
      </c>
      <c r="B152" t="str">
        <f>_xll.BDP("3192 HK Equity","LONG_COMP_NAME")</f>
        <v>Bosera RMB Money Market ETF</v>
      </c>
      <c r="C152">
        <f>_xll.BDP("3192 HK Equity","PX385","PX395=FUND_FLOW","DY262=D","PY204=N","PX391=20260622","PX392=20260626","DS004=USD")</f>
        <v>0</v>
      </c>
      <c r="D152">
        <f>_xll.BDP("3192 HK Equity","PX388","PX395=TURNOVER","DY262=D","PY204=N","PX391=20260601","PX392=20260626","DS004=HKD")</f>
        <v>58640.722222222219</v>
      </c>
      <c r="E152">
        <f>_xll.BDP("3192 HK Equity","PX388","PX395=TURNOVER","DY262=D","PY204=N","PX391=20250101","PX392=20251231","DS004=HKD")</f>
        <v>175819.70135135137</v>
      </c>
      <c r="F152">
        <f>_xll.BDP("3192 HK Equity","PX596","PX395=FUND_TOTAL_ASSETS","DY262=D","PY204=N","PX391=20260626","PX392=20260626","DS004=USD")</f>
        <v>4.9500444537592658</v>
      </c>
      <c r="G152">
        <f>_xll.BDP("3192 HK Equity","PX388","PX395=CUR_MKT_CAP","DY262=D","PY204=N","PX391=20260626","PX392=20260626","DS004=HKD")</f>
        <v>38.721229999999998</v>
      </c>
      <c r="H152" t="str">
        <f>_xll.BDP("3192 HK Equity","FUND_LEVERAGE_TYPE")</f>
        <v>#N/A N/A</v>
      </c>
      <c r="I152">
        <f>_xll.BDP("3192 HK Equity","PX388","PX395=TURNOVER","DY262=D","PY204=N","PX391=20260101","PX392=20260131","DS004=HKD")</f>
        <v>37575.609999999993</v>
      </c>
      <c r="J152">
        <v>-1</v>
      </c>
      <c r="K152" t="str">
        <f>_xll.BDP("3192 HK Equity","FUND_INCEPT_DT")</f>
        <v>11/15/2022</v>
      </c>
      <c r="L152" t="str">
        <f>_xll.BDP("3192 HK Equity","PX388","PX395=TURNOVER_EXCH_RATIO","DY262=D","PY204=N","PX391=20251201","PX392=20251210")</f>
        <v>#N/A N/A</v>
      </c>
      <c r="M152">
        <f>_xll.BDP("3192 HK Equity","EQY_SH_OUT")</f>
        <v>3.1300000000000001E-2</v>
      </c>
      <c r="N152">
        <f>_xll.BDP("3192 HK Equity","EQY_TRR_PCT_YTD")</f>
        <v>4.1670769999999999</v>
      </c>
      <c r="O152">
        <f>_xll.BDP("3192 HK Equity","CHG_PCT_YTD")</f>
        <v>4.2299800000000003</v>
      </c>
      <c r="P152">
        <f>_xll.BDP("3192 HK Equity","CHG_PCT_1M")</f>
        <v>-0.21356130000000001</v>
      </c>
      <c r="Q152" t="str">
        <f>_xll.BDP("3192 HK Equity","LISTING_DATE")</f>
        <v>11/15/2022</v>
      </c>
      <c r="R152" t="str">
        <f>_xll.BDP("3192 HK Equity","FUND_INCEPT_DT")</f>
        <v>11/15/2022</v>
      </c>
      <c r="S152">
        <f>_xll.BDP("3192 HK Equity","AVG_DAILY_VALUE_TRADED_3M")</f>
        <v>41827.629999999997</v>
      </c>
      <c r="T152" t="str">
        <f>_xll.BDP("3192 HK Equity","PX596","PX395=HISTORICAL_MARKET_CAP","DY262=D","PY204=N","PX391=20231231","PX392=20231231","DS004=HKD")</f>
        <v>#N/A N/A</v>
      </c>
      <c r="U152">
        <f>_xll.BDP("3192 HK Equity","PX385","PX395=FUND_FLOW","DY262=D","PY204=N","PX391=20240102","PX392=20240930","DS004=HKD")</f>
        <v>0</v>
      </c>
      <c r="V152">
        <f>_xll.BDP("3192 HK Equity","PX596","PX395=CUR_MKT_CAP","DY262=D","PY204=N","PX391=20240101","DS004=HKD")</f>
        <v>32.312240000000003</v>
      </c>
      <c r="W152" t="str">
        <f>_xll.BDP("3192 HK Equity","FUND_INCEPT_DT")</f>
        <v>11/15/2022</v>
      </c>
      <c r="X152" t="str">
        <f>_xll.BDP("3192 HK Equity","PX388","PX395=TURNOVER","DY262=D","PY204=N","PX391=20240502","PX392=20240606","DS004=HKD")</f>
        <v>#N/A N/A</v>
      </c>
      <c r="Y152" t="str">
        <f>_xll.BDP("3192 HK Equity","PARENT_COMP_NAME")</f>
        <v>Bosera Asset Management Intern</v>
      </c>
      <c r="Z152" t="str">
        <f>_xll.BDP("3192 HK Equity","NAV_CRNCY")</f>
        <v>HKD</v>
      </c>
      <c r="AA152" t="str">
        <f>_xll.BDP("3192 HK Equity","FUND_GEO_FOCUS")</f>
        <v>Global</v>
      </c>
      <c r="AB152" t="str">
        <f>_xll.BDP("3192 HK Equity","FUND_ASSET_CLASS_FOCUS")</f>
        <v>Money Market</v>
      </c>
      <c r="AC152">
        <f>_xll.BDP("3192 HK Equity","PX_LAST")</f>
        <v>1238.2</v>
      </c>
      <c r="AD152">
        <f>_xll.BDP("3192 HK Equity","PX388","PX395=TIME_WAVG_BID_ASK_SPREAD_PCT","DY262=D","PY204=N","PX391=20260601","PX392=20260626")</f>
        <v>0.26250397239058859</v>
      </c>
      <c r="AE152">
        <f>_xll.BDP("3192 HK Equity","PX388","PX395=AVERAGE_BID_ASK_SPREAD_%","DY262=D","PY204=N","PX391=20260601","PX392=20260626")</f>
        <v>0.2896269799084335</v>
      </c>
    </row>
    <row r="153" spans="1:31" x14ac:dyDescent="0.25">
      <c r="A153" t="s">
        <v>178</v>
      </c>
      <c r="B153" t="str">
        <f>_xll.BDP("3193 HK Equity","LONG_COMP_NAME")</f>
        <v>CSOP Yinhua CSI 5G Communications Theme ETF</v>
      </c>
      <c r="C153">
        <f>_xll.BDP("3193 HK Equity","PX385","PX395=FUND_FLOW","DY262=D","PY204=N","PX391=20260622","PX392=20260626","DS004=USD")</f>
        <v>0</v>
      </c>
      <c r="D153">
        <f>_xll.BDP("3193 HK Equity","PX388","PX395=TURNOVER","DY262=D","PY204=N","PX391=20260601","PX392=20260626","DS004=HKD")</f>
        <v>1351953.4210526315</v>
      </c>
      <c r="E153">
        <f>_xll.BDP("3193 HK Equity","PX388","PX395=TURNOVER","DY262=D","PY204=N","PX391=20250101","PX392=20251231","DS004=HKD")</f>
        <v>251323.69925925927</v>
      </c>
      <c r="F153">
        <f>_xll.BDP("3193 HK Equity","PX596","PX395=FUND_TOTAL_ASSETS","DY262=D","PY204=N","PX391=20260626","PX392=20260626","DS004=USD")</f>
        <v>3.5068339407577356</v>
      </c>
      <c r="G153">
        <f>_xll.BDP("3193 HK Equity","PX388","PX395=CUR_MKT_CAP","DY262=D","PY204=N","PX391=20260626","PX392=20260626","DS004=HKD")</f>
        <v>27.576000000000001</v>
      </c>
      <c r="H153" t="str">
        <f>_xll.BDP("3193 HK Equity","FUND_LEVERAGE_TYPE")</f>
        <v>#N/A N/A</v>
      </c>
      <c r="I153">
        <f>_xll.BDP("3193 HK Equity","PX388","PX395=TURNOVER","DY262=D","PY204=N","PX391=20260101","PX392=20260131","DS004=HKD")</f>
        <v>78920.68421052632</v>
      </c>
      <c r="J153">
        <v>-1</v>
      </c>
      <c r="K153" t="str">
        <f>_xll.BDP("3193 HK Equity","FUND_INCEPT_DT")</f>
        <v>10/23/2020</v>
      </c>
      <c r="L153" t="str">
        <f>_xll.BDP("3193 HK Equity","PX388","PX395=TURNOVER_EXCH_RATIO","DY262=D","PY204=N","PX391=20251201","PX392=20251210")</f>
        <v>#N/A N/A</v>
      </c>
      <c r="M153">
        <f>_xll.BDP("3193 HK Equity","EQY_SH_OUT")</f>
        <v>1.2</v>
      </c>
      <c r="N153">
        <f>_xll.BDP("3193 HK Equity","EQY_TRR_PCT_YTD")</f>
        <v>75.803830000000005</v>
      </c>
      <c r="O153">
        <f>_xll.BDP("3193 HK Equity","CHG_PCT_YTD")</f>
        <v>80.286169999999998</v>
      </c>
      <c r="P153">
        <f>_xll.BDP("3193 HK Equity","CHG_PCT_1M")</f>
        <v>10.204079999999999</v>
      </c>
      <c r="Q153" t="str">
        <f>_xll.BDP("3193 HK Equity","LISTING_DATE")</f>
        <v>10/23/2020</v>
      </c>
      <c r="R153" t="str">
        <f>_xll.BDP("3193 HK Equity","FUND_INCEPT_DT")</f>
        <v>10/23/2020</v>
      </c>
      <c r="S153">
        <f>_xll.BDP("3193 HK Equity","AVG_DAILY_VALUE_TRADED_3M")</f>
        <v>642265.80000000005</v>
      </c>
      <c r="T153" t="str">
        <f>_xll.BDP("3193 HK Equity","PX596","PX395=HISTORICAL_MARKET_CAP","DY262=D","PY204=N","PX391=20231231","PX392=20231231","DS004=HKD")</f>
        <v>#N/A N/A</v>
      </c>
      <c r="U153">
        <f>_xll.BDP("3193 HK Equity","PX385","PX395=FUND_FLOW","DY262=D","PY204=N","PX391=20240102","PX392=20240930","DS004=HKD")</f>
        <v>-0.84714894058581081</v>
      </c>
      <c r="V153">
        <f>_xll.BDP("3193 HK Equity","PX596","PX395=CUR_MKT_CAP","DY262=D","PY204=N","PX391=20240101","DS004=HKD")</f>
        <v>10.064</v>
      </c>
      <c r="W153" t="str">
        <f>_xll.BDP("3193 HK Equity","FUND_INCEPT_DT")</f>
        <v>10/23/2020</v>
      </c>
      <c r="X153">
        <f>_xll.BDP("3193 HK Equity","PX388","PX395=TURNOVER","DY262=D","PY204=N","PX391=20240502","PX392=20240606","DS004=HKD")</f>
        <v>16944</v>
      </c>
      <c r="Y153" t="str">
        <f>_xll.BDP("3193 HK Equity","PARENT_COMP_NAME")</f>
        <v>CSOP Asset Management Ltd/Hong</v>
      </c>
      <c r="Z153" t="str">
        <f>_xll.BDP("3193 HK Equity","NAV_CRNCY")</f>
        <v>CNY</v>
      </c>
      <c r="AA153" t="str">
        <f>_xll.BDP("3193 HK Equity","FUND_GEO_FOCUS")</f>
        <v>China</v>
      </c>
      <c r="AB153" t="str">
        <f>_xll.BDP("3193 HK Equity","FUND_ASSET_CLASS_FOCUS")</f>
        <v>Equity</v>
      </c>
      <c r="AC153">
        <f>_xll.BDP("3193 HK Equity","PX_LAST")</f>
        <v>22.68</v>
      </c>
      <c r="AD153">
        <f>_xll.BDP("3193 HK Equity","PX388","PX395=TIME_WAVG_BID_ASK_SPREAD_PCT","DY262=D","PY204=N","PX391=20260601","PX392=20260626")</f>
        <v>0.66970668417556345</v>
      </c>
      <c r="AE153">
        <f>_xll.BDP("3193 HK Equity","PX388","PX395=AVERAGE_BID_ASK_SPREAD_%","DY262=D","PY204=N","PX391=20260601","PX392=20260626")</f>
        <v>0.88641250145095452</v>
      </c>
    </row>
    <row r="154" spans="1:31" x14ac:dyDescent="0.25">
      <c r="A154" t="s">
        <v>179</v>
      </c>
      <c r="B154" t="str">
        <f>_xll.BDP("3196 HK Equity","LONG_COMP_NAME")</f>
        <v>Bosera USD Money Market ETF</v>
      </c>
      <c r="C154">
        <f>_xll.BDP("3196 HK Equity","PX385","PX395=FUND_FLOW","DY262=D","PY204=N","PX391=20260622","PX392=20260626","DS004=USD")</f>
        <v>0</v>
      </c>
      <c r="D154">
        <f>_xll.BDP("3196 HK Equity","PX388","PX395=TURNOVER","DY262=D","PY204=N","PX391=20260601","PX392=20260626","DS004=HKD")</f>
        <v>101704.35833333334</v>
      </c>
      <c r="E154">
        <f>_xll.BDP("3196 HK Equity","PX388","PX395=TURNOVER","DY262=D","PY204=N","PX391=20250101","PX392=20251231","DS004=HKD")</f>
        <v>2407278.3204081636</v>
      </c>
      <c r="F154">
        <f>_xll.BDP("3196 HK Equity","PX596","PX395=FUND_TOTAL_ASSETS","DY262=D","PY204=N","PX391=20260626","PX392=20260626","DS004=USD")</f>
        <v>40.695301360000002</v>
      </c>
      <c r="G154">
        <f>_xll.BDP("3196 HK Equity","PX388","PX395=CUR_MKT_CAP","DY262=D","PY204=N","PX391=20260626","PX392=20260626","DS004=HKD")</f>
        <v>318.6867939</v>
      </c>
      <c r="H154" t="str">
        <f>_xll.BDP("3196 HK Equity","FUND_LEVERAGE_TYPE")</f>
        <v>#N/A N/A</v>
      </c>
      <c r="I154">
        <f>_xll.BDP("3196 HK Equity","PX388","PX395=TURNOVER","DY262=D","PY204=N","PX391=20260101","PX392=20260131","DS004=HKD")</f>
        <v>168355.15714285712</v>
      </c>
      <c r="J154">
        <v>-1</v>
      </c>
      <c r="K154" t="str">
        <f>_xll.BDP("3196 HK Equity","FUND_INCEPT_DT")</f>
        <v>7/27/2023</v>
      </c>
      <c r="L154" t="str">
        <f>_xll.BDP("3196 HK Equity","PX388","PX395=TURNOVER_EXCH_RATIO","DY262=D","PY204=N","PX391=20251201","PX392=20251210")</f>
        <v>#N/A N/A</v>
      </c>
      <c r="M154">
        <f>_xll.BDP("3196 HK Equity","EQY_SH_OUT")</f>
        <v>3.5479999999999998E-2</v>
      </c>
      <c r="N154">
        <f>_xll.BDP("3196 HK Equity","EQY_TRR_PCT_YTD")</f>
        <v>2.5756139999999998</v>
      </c>
      <c r="O154">
        <f>_xll.BDP("3196 HK Equity","CHG_PCT_YTD")</f>
        <v>2.3012969999999999</v>
      </c>
      <c r="P154">
        <f>_xll.BDP("3196 HK Equity","CHG_PCT_1M")</f>
        <v>0.2080718</v>
      </c>
      <c r="Q154" t="str">
        <f>_xll.BDP("3196 HK Equity","LISTING_DATE")</f>
        <v>7/27/2023</v>
      </c>
      <c r="R154" t="str">
        <f>_xll.BDP("3196 HK Equity","FUND_INCEPT_DT")</f>
        <v>7/27/2023</v>
      </c>
      <c r="S154">
        <f>_xll.BDP("3196 HK Equity","AVG_DAILY_VALUE_TRADED_3M")</f>
        <v>58138.32</v>
      </c>
      <c r="T154" t="str">
        <f>_xll.BDP("3196 HK Equity","PX596","PX395=HISTORICAL_MARKET_CAP","DY262=D","PY204=N","PX391=20231231","PX392=20231231","DS004=HKD")</f>
        <v>#N/A N/A</v>
      </c>
      <c r="U154">
        <f>_xll.BDP("3196 HK Equity","PX385","PX395=FUND_FLOW","DY262=D","PY204=N","PX391=20240102","PX392=20240930","DS004=HKD")</f>
        <v>28.743143310000001</v>
      </c>
      <c r="V154">
        <f>_xll.BDP("3196 HK Equity","PX596","PX395=CUR_MKT_CAP","DY262=D","PY204=N","PX391=20240101","DS004=HKD")</f>
        <v>317.66375284999998</v>
      </c>
      <c r="W154" t="str">
        <f>_xll.BDP("3196 HK Equity","FUND_INCEPT_DT")</f>
        <v>7/27/2023</v>
      </c>
      <c r="X154">
        <f>_xll.BDP("3196 HK Equity","PX388","PX395=TURNOVER","DY262=D","PY204=N","PX391=20240502","PX392=20240606","DS004=HKD")</f>
        <v>163320</v>
      </c>
      <c r="Y154" t="str">
        <f>_xll.BDP("3196 HK Equity","PARENT_COMP_NAME")</f>
        <v>Bosera Asset Management Intern</v>
      </c>
      <c r="Z154" t="str">
        <f>_xll.BDP("3196 HK Equity","NAV_CRNCY")</f>
        <v>HKD</v>
      </c>
      <c r="AA154" t="str">
        <f>_xll.BDP("3196 HK Equity","FUND_GEO_FOCUS")</f>
        <v>Global</v>
      </c>
      <c r="AB154" t="str">
        <f>_xll.BDP("3196 HK Equity","FUND_ASSET_CLASS_FOCUS")</f>
        <v>Money Market</v>
      </c>
      <c r="AC154">
        <f>_xll.BDP("3196 HK Equity","PX_LAST")</f>
        <v>8981.9</v>
      </c>
      <c r="AD154">
        <f>_xll.BDP("3196 HK Equity","PX388","PX395=TIME_WAVG_BID_ASK_SPREAD_PCT","DY262=D","PY204=N","PX391=20260601","PX392=20260626")</f>
        <v>0.17195137276688163</v>
      </c>
      <c r="AE154">
        <f>_xll.BDP("3196 HK Equity","PX388","PX395=AVERAGE_BID_ASK_SPREAD_%","DY262=D","PY204=N","PX391=20260601","PX392=20260626")</f>
        <v>0.20759095587246307</v>
      </c>
    </row>
    <row r="155" spans="1:31" x14ac:dyDescent="0.25">
      <c r="A155" t="s">
        <v>180</v>
      </c>
      <c r="B155" t="str">
        <f>_xll.BDP("3199 HK Equity","LONG_COMP_NAME")</f>
        <v>ICBC CSOP FTSE Chinese Government and Policy Bank Bond Index ETF</v>
      </c>
      <c r="C155">
        <f>_xll.BDP("3199 HK Equity","PX385","PX395=FUND_FLOW","DY262=D","PY204=N","PX391=20260622","PX392=20260626","DS004=USD")</f>
        <v>0</v>
      </c>
      <c r="D155">
        <f>_xll.BDP("3199 HK Equity","PX388","PX395=TURNOVER","DY262=D","PY204=N","PX391=20260601","PX392=20260626","DS004=HKD")</f>
        <v>391052.31578947377</v>
      </c>
      <c r="E155">
        <f>_xll.BDP("3199 HK Equity","PX388","PX395=TURNOVER","DY262=D","PY204=N","PX391=20250101","PX392=20251231","DS004=HKD")</f>
        <v>199857.22018348621</v>
      </c>
      <c r="F155">
        <f>_xll.BDP("3199 HK Equity","PX596","PX395=FUND_TOTAL_ASSETS","DY262=D","PY204=N","PX391=20260626","PX392=20260626","DS004=USD")</f>
        <v>646.33544544358153</v>
      </c>
      <c r="G155">
        <f>_xll.BDP("3199 HK Equity","PX388","PX395=CUR_MKT_CAP","DY262=D","PY204=N","PX391=20260626","PX392=20260626","DS004=HKD")</f>
        <v>5059.2</v>
      </c>
      <c r="H155" t="str">
        <f>_xll.BDP("3199 HK Equity","FUND_LEVERAGE_TYPE")</f>
        <v>#N/A N/A</v>
      </c>
      <c r="I155">
        <f>_xll.BDP("3199 HK Equity","PX388","PX395=TURNOVER","DY262=D","PY204=N","PX391=20260101","PX392=20260131","DS004=HKD")</f>
        <v>216040.89473684211</v>
      </c>
      <c r="J155">
        <v>-1</v>
      </c>
      <c r="K155" t="str">
        <f>_xll.BDP("3199 HK Equity","FUND_INCEPT_DT")</f>
        <v>2/19/2014</v>
      </c>
      <c r="L155" t="str">
        <f>_xll.BDP("3199 HK Equity","PX388","PX395=TURNOVER_EXCH_RATIO","DY262=D","PY204=N","PX391=20251201","PX392=20251210")</f>
        <v>#N/A N/A</v>
      </c>
      <c r="M155">
        <f>_xll.BDP("3199 HK Equity","EQY_SH_OUT")</f>
        <v>42.16</v>
      </c>
      <c r="N155">
        <f>_xll.BDP("3199 HK Equity","EQY_TRR_PCT_YTD")</f>
        <v>5.2466080000000002</v>
      </c>
      <c r="O155">
        <f>_xll.BDP("3199 HK Equity","CHG_PCT_YTD")</f>
        <v>4.1810340000000004</v>
      </c>
      <c r="P155">
        <f>_xll.BDP("3199 HK Equity","CHG_PCT_1M")</f>
        <v>-0.1239669</v>
      </c>
      <c r="Q155" t="str">
        <f>_xll.BDP("3199 HK Equity","LISTING_DATE")</f>
        <v>2/19/2014</v>
      </c>
      <c r="R155" t="str">
        <f>_xll.BDP("3199 HK Equity","FUND_INCEPT_DT")</f>
        <v>2/19/2014</v>
      </c>
      <c r="S155">
        <f>_xll.BDP("3199 HK Equity","AVG_DAILY_VALUE_TRADED_3M")</f>
        <v>476298.2</v>
      </c>
      <c r="T155" t="str">
        <f>_xll.BDP("3199 HK Equity","PX596","PX395=HISTORICAL_MARKET_CAP","DY262=D","PY204=N","PX391=20231231","PX392=20231231","DS004=HKD")</f>
        <v>#N/A N/A</v>
      </c>
      <c r="U155">
        <f>_xll.BDP("3199 HK Equity","PX385","PX395=FUND_FLOW","DY262=D","PY204=N","PX391=20240102","PX392=20240930","DS004=HKD")</f>
        <v>-543.9624591000005</v>
      </c>
      <c r="V155">
        <f>_xll.BDP("3199 HK Equity","PX596","PX395=CUR_MKT_CAP","DY262=D","PY204=N","PX391=20240101","DS004=HKD")</f>
        <v>4894.04</v>
      </c>
      <c r="W155" t="str">
        <f>_xll.BDP("3199 HK Equity","FUND_INCEPT_DT")</f>
        <v>2/19/2014</v>
      </c>
      <c r="X155">
        <f>_xll.BDP("3199 HK Equity","PX388","PX395=TURNOVER","DY262=D","PY204=N","PX391=20240502","PX392=20240606","DS004=HKD")</f>
        <v>3662116.84</v>
      </c>
      <c r="Y155" t="str">
        <f>_xll.BDP("3199 HK Equity","PARENT_COMP_NAME")</f>
        <v>CSOP Asset Management Ltd/Hong</v>
      </c>
      <c r="Z155" t="str">
        <f>_xll.BDP("3199 HK Equity","NAV_CRNCY")</f>
        <v>HKD</v>
      </c>
      <c r="AA155" t="str">
        <f>_xll.BDP("3199 HK Equity","FUND_GEO_FOCUS")</f>
        <v>China</v>
      </c>
      <c r="AB155" t="str">
        <f>_xll.BDP("3199 HK Equity","FUND_ASSET_CLASS_FOCUS")</f>
        <v>Fixed Income</v>
      </c>
      <c r="AC155">
        <f>_xll.BDP("3199 HK Equity","PX_LAST")</f>
        <v>120.85</v>
      </c>
      <c r="AD155">
        <f>_xll.BDP("3199 HK Equity","PX388","PX395=TIME_WAVG_BID_ASK_SPREAD_PCT","DY262=D","PY204=N","PX391=20260601","PX392=20260626")</f>
        <v>0.42896155732816532</v>
      </c>
      <c r="AE155">
        <f>_xll.BDP("3199 HK Equity","PX388","PX395=AVERAGE_BID_ASK_SPREAD_%","DY262=D","PY204=N","PX391=20260601","PX392=20260626")</f>
        <v>0.51039207753919658</v>
      </c>
    </row>
    <row r="156" spans="1:31" x14ac:dyDescent="0.25">
      <c r="A156" t="s">
        <v>181</v>
      </c>
      <c r="B156" t="str">
        <f>_xll.BDP("3401 HK Equity","LONG_COMP_NAME")</f>
        <v>Global X AI Infrastructure ETF</v>
      </c>
      <c r="C156">
        <f>_xll.BDP("3401 HK Equity","PX385","PX395=FUND_FLOW","DY262=D","PY204=N","PX391=20260622","PX392=20260626","DS004=USD")</f>
        <v>0</v>
      </c>
      <c r="D156">
        <f>_xll.BDP("3401 HK Equity","PX388","PX395=TURNOVER","DY262=D","PY204=N","PX391=20260601","PX392=20260626","DS004=HKD")</f>
        <v>227511.81578947365</v>
      </c>
      <c r="E156">
        <f>_xll.BDP("3401 HK Equity","PX388","PX395=TURNOVER","DY262=D","PY204=N","PX391=20250101","PX392=20251231","DS004=HKD")</f>
        <v>129064.53913043479</v>
      </c>
      <c r="F156">
        <f>_xll.BDP("3401 HK Equity","PX596","PX395=FUND_TOTAL_ASSETS","DY262=D","PY204=N","PX391=20260626","PX392=20260626","DS004=USD")</f>
        <v>2.2108759069636958</v>
      </c>
      <c r="G156">
        <f>_xll.BDP("3401 HK Equity","PX388","PX395=CUR_MKT_CAP","DY262=D","PY204=N","PX391=20260626","PX392=20260626","DS004=HKD")</f>
        <v>17.844821999999997</v>
      </c>
      <c r="H156" t="str">
        <f>_xll.BDP("3401 HK Equity","FUND_LEVERAGE_TYPE")</f>
        <v>#N/A N/A</v>
      </c>
      <c r="I156">
        <f>_xll.BDP("3401 HK Equity","PX388","PX395=TURNOVER","DY262=D","PY204=N","PX391=20260101","PX392=20260131","DS004=HKD")</f>
        <v>156285.5</v>
      </c>
      <c r="J156">
        <v>-1</v>
      </c>
      <c r="K156" t="str">
        <f>_xll.BDP("3401 HK Equity","FUND_INCEPT_DT")</f>
        <v>2/10/2025</v>
      </c>
      <c r="L156" t="str">
        <f>_xll.BDP("3401 HK Equity","PX388","PX395=TURNOVER_EXCH_RATIO","DY262=D","PY204=N","PX391=20251201","PX392=20251210")</f>
        <v>#N/A N/A</v>
      </c>
      <c r="M156">
        <f>_xll.BDP("3401 HK Equity","EQY_SH_OUT")</f>
        <v>0.17141999999999999</v>
      </c>
      <c r="N156">
        <f>_xll.BDP("3401 HK Equity","EQY_TRR_PCT_YTD")</f>
        <v>32.904719999999998</v>
      </c>
      <c r="O156">
        <f>_xll.BDP("3401 HK Equity","CHG_PCT_YTD")</f>
        <v>29.4192</v>
      </c>
      <c r="P156">
        <f>_xll.BDP("3401 HK Equity","CHG_PCT_1M")</f>
        <v>-2.9356049999999998</v>
      </c>
      <c r="Q156" t="str">
        <f>_xll.BDP("3401 HK Equity","LISTING_DATE")</f>
        <v>2/10/2025</v>
      </c>
      <c r="R156" t="str">
        <f>_xll.BDP("3401 HK Equity","FUND_INCEPT_DT")</f>
        <v>2/10/2025</v>
      </c>
      <c r="S156">
        <f>_xll.BDP("3401 HK Equity","AVG_DAILY_VALUE_TRADED_3M")</f>
        <v>298346</v>
      </c>
      <c r="T156" t="str">
        <f>_xll.BDP("3401 HK Equity","PX596","PX395=HISTORICAL_MARKET_CAP","DY262=D","PY204=N","PX391=20231231","PX392=20231231","DS004=HKD")</f>
        <v>#N/A N/A</v>
      </c>
      <c r="U156" t="str">
        <f>_xll.BDP("3401 HK Equity","PX385","PX395=FUND_FLOW","DY262=D","PY204=N","PX391=20240102","PX392=20240930","DS004=HKD")</f>
        <v>#N/A N/A</v>
      </c>
      <c r="V156">
        <f>_xll.BDP("3401 HK Equity","PX596","PX395=CUR_MKT_CAP","DY262=D","PY204=N","PX391=20240101","DS004=HKD")</f>
        <v>9.6164640000000006</v>
      </c>
      <c r="W156" t="str">
        <f>_xll.BDP("3401 HK Equity","FUND_INCEPT_DT")</f>
        <v>2/10/2025</v>
      </c>
      <c r="X156" t="str">
        <f>_xll.BDP("3401 HK Equity","PX388","PX395=TURNOVER","DY262=D","PY204=N","PX391=20240502","PX392=20240606","DS004=HKD")</f>
        <v>#N/A N/A</v>
      </c>
      <c r="Y156" t="str">
        <f>_xll.BDP("3401 HK Equity","PARENT_COMP_NAME")</f>
        <v>Mirae Asset Global Investments</v>
      </c>
      <c r="Z156" t="str">
        <f>_xll.BDP("3401 HK Equity","NAV_CRNCY")</f>
        <v>HKD</v>
      </c>
      <c r="AA156" t="str">
        <f>_xll.BDP("3401 HK Equity","FUND_GEO_FOCUS")</f>
        <v>Global</v>
      </c>
      <c r="AB156" t="str">
        <f>_xll.BDP("3401 HK Equity","FUND_ASSET_CLASS_FOCUS")</f>
        <v>Equity</v>
      </c>
      <c r="AC156">
        <f>_xll.BDP("3401 HK Equity","PX_LAST")</f>
        <v>102.5</v>
      </c>
      <c r="AD156">
        <f>_xll.BDP("3401 HK Equity","PX388","PX395=TIME_WAVG_BID_ASK_SPREAD_PCT","DY262=D","PY204=N","PX391=20260601","PX392=20260626")</f>
        <v>0.50439545193633828</v>
      </c>
      <c r="AE156">
        <f>_xll.BDP("3401 HK Equity","PX388","PX395=AVERAGE_BID_ASK_SPREAD_%","DY262=D","PY204=N","PX391=20260601","PX392=20260626")</f>
        <v>0.66058170855944165</v>
      </c>
    </row>
    <row r="157" spans="1:31" x14ac:dyDescent="0.25">
      <c r="A157" t="s">
        <v>182</v>
      </c>
      <c r="B157" t="str">
        <f>_xll.BDP("3402 HK Equity","LONG_COMP_NAME")</f>
        <v>Global X G2 Tech ETF</v>
      </c>
      <c r="C157">
        <f>_xll.BDP("3402 HK Equity","PX385","PX395=FUND_FLOW","DY262=D","PY204=N","PX391=20260622","PX392=20260626","DS004=USD")</f>
        <v>0</v>
      </c>
      <c r="D157">
        <f>_xll.BDP("3402 HK Equity","PX388","PX395=TURNOVER","DY262=D","PY204=N","PX391=20260601","PX392=20260626","DS004=HKD")</f>
        <v>276131.55555555556</v>
      </c>
      <c r="E157">
        <f>_xll.BDP("3402 HK Equity","PX388","PX395=TURNOVER","DY262=D","PY204=N","PX391=20250101","PX392=20251231","DS004=HKD")</f>
        <v>159159.0546875</v>
      </c>
      <c r="F157">
        <f>_xll.BDP("3402 HK Equity","PX596","PX395=FUND_TOTAL_ASSETS","DY262=D","PY204=N","PX391=20260626","PX392=20260626","DS004=USD")</f>
        <v>2.1895556317823024</v>
      </c>
      <c r="G157">
        <f>_xll.BDP("3402 HK Equity","PX388","PX395=CUR_MKT_CAP","DY262=D","PY204=N","PX391=20260626","PX392=20260626","DS004=HKD")</f>
        <v>17.105</v>
      </c>
      <c r="H157" t="str">
        <f>_xll.BDP("3402 HK Equity","FUND_LEVERAGE_TYPE")</f>
        <v>#N/A N/A</v>
      </c>
      <c r="I157">
        <f>_xll.BDP("3402 HK Equity","PX388","PX395=TURNOVER","DY262=D","PY204=N","PX391=20260101","PX392=20260131","DS004=HKD")</f>
        <v>57507.71428571429</v>
      </c>
      <c r="J157">
        <v>-1</v>
      </c>
      <c r="K157" t="str">
        <f>_xll.BDP("3402 HK Equity","FUND_INCEPT_DT")</f>
        <v>1/10/2025</v>
      </c>
      <c r="L157" t="str">
        <f>_xll.BDP("3402 HK Equity","PX388","PX395=TURNOVER_EXCH_RATIO","DY262=D","PY204=N","PX391=20251201","PX392=20251210")</f>
        <v>#N/A N/A</v>
      </c>
      <c r="M157">
        <f>_xll.BDP("3402 HK Equity","EQY_SH_OUT")</f>
        <v>0.25</v>
      </c>
      <c r="N157">
        <f>_xll.BDP("3402 HK Equity","EQY_TRR_PCT_YTD")</f>
        <v>-4.28695</v>
      </c>
      <c r="O157">
        <f>_xll.BDP("3402 HK Equity","CHG_PCT_YTD")</f>
        <v>-6.9309649999999996</v>
      </c>
      <c r="P157">
        <f>_xll.BDP("3402 HK Equity","CHG_PCT_1M")</f>
        <v>-9.0405870000000004</v>
      </c>
      <c r="Q157" t="str">
        <f>_xll.BDP("3402 HK Equity","LISTING_DATE")</f>
        <v>1/10/2025</v>
      </c>
      <c r="R157" t="str">
        <f>_xll.BDP("3402 HK Equity","FUND_INCEPT_DT")</f>
        <v>1/10/2025</v>
      </c>
      <c r="S157">
        <f>_xll.BDP("3402 HK Equity","AVG_DAILY_VALUE_TRADED_3M")</f>
        <v>118118.7</v>
      </c>
      <c r="T157" t="str">
        <f>_xll.BDP("3402 HK Equity","PX596","PX395=HISTORICAL_MARKET_CAP","DY262=D","PY204=N","PX391=20231231","PX392=20231231","DS004=HKD")</f>
        <v>#N/A N/A</v>
      </c>
      <c r="U157" t="str">
        <f>_xll.BDP("3402 HK Equity","PX385","PX395=FUND_FLOW","DY262=D","PY204=N","PX391=20240102","PX392=20240930","DS004=HKD")</f>
        <v>#N/A N/A</v>
      </c>
      <c r="V157">
        <f>_xll.BDP("3402 HK Equity","PX596","PX395=CUR_MKT_CAP","DY262=D","PY204=N","PX391=20240101","DS004=HKD")</f>
        <v>22.247999999999998</v>
      </c>
      <c r="W157" t="str">
        <f>_xll.BDP("3402 HK Equity","FUND_INCEPT_DT")</f>
        <v>1/10/2025</v>
      </c>
      <c r="X157" t="str">
        <f>_xll.BDP("3402 HK Equity","PX388","PX395=TURNOVER","DY262=D","PY204=N","PX391=20240502","PX392=20240606","DS004=HKD")</f>
        <v>#N/A N/A</v>
      </c>
      <c r="Y157" t="str">
        <f>_xll.BDP("3402 HK Equity","PARENT_COMP_NAME")</f>
        <v>Mirae Asset Global Investments</v>
      </c>
      <c r="Z157" t="str">
        <f>_xll.BDP("3402 HK Equity","NAV_CRNCY")</f>
        <v>HKD</v>
      </c>
      <c r="AA157" t="str">
        <f>_xll.BDP("3402 HK Equity","FUND_GEO_FOCUS")</f>
        <v>Multi</v>
      </c>
      <c r="AB157" t="str">
        <f>_xll.BDP("3402 HK Equity","FUND_ASSET_CLASS_FOCUS")</f>
        <v>Equity</v>
      </c>
      <c r="AC157">
        <f>_xll.BDP("3402 HK Equity","PX_LAST")</f>
        <v>69.02</v>
      </c>
      <c r="AD157">
        <f>_xll.BDP("3402 HK Equity","PX388","PX395=TIME_WAVG_BID_ASK_SPREAD_PCT","DY262=D","PY204=N","PX391=20260601","PX392=20260626")</f>
        <v>0.6940059713091693</v>
      </c>
      <c r="AE157">
        <f>_xll.BDP("3402 HK Equity","PX388","PX395=AVERAGE_BID_ASK_SPREAD_%","DY262=D","PY204=N","PX391=20260601","PX392=20260626")</f>
        <v>0.76534811761178545</v>
      </c>
    </row>
    <row r="158" spans="1:31" x14ac:dyDescent="0.25">
      <c r="A158" t="s">
        <v>183</v>
      </c>
      <c r="B158" t="str">
        <f>_xll.BDP("3403 HK Equity","LONG_COMP_NAME")</f>
        <v>ChinaAMC HSI ESG ETF</v>
      </c>
      <c r="C158">
        <f>_xll.BDP("3403 HK Equity","PX385","PX395=FUND_FLOW","DY262=D","PY204=N","PX391=20260622","PX392=20260626","DS004=USD")</f>
        <v>0</v>
      </c>
      <c r="D158">
        <f>_xll.BDP("3403 HK Equity","PX388","PX395=TURNOVER","DY262=D","PY204=N","PX391=20260601","PX392=20260626","DS004=HKD")</f>
        <v>18832443.666666664</v>
      </c>
      <c r="E158">
        <f>_xll.BDP("3403 HK Equity","PX388","PX395=TURNOVER","DY262=D","PY204=N","PX391=20250101","PX392=20251231","DS004=HKD")</f>
        <v>43854519.998859666</v>
      </c>
      <c r="F158">
        <f>_xll.BDP("3403 HK Equity","PX596","PX395=FUND_TOTAL_ASSETS","DY262=D","PY204=N","PX391=20260626","PX392=20260626","DS004=USD")</f>
        <v>1183.8117341018349</v>
      </c>
      <c r="G158">
        <f>_xll.BDP("3403 HK Equity","PX388","PX395=CUR_MKT_CAP","DY262=D","PY204=N","PX391=20260626","PX392=20260626","DS004=HKD")</f>
        <v>9285.0500000000011</v>
      </c>
      <c r="H158" t="str">
        <f>_xll.BDP("3403 HK Equity","FUND_LEVERAGE_TYPE")</f>
        <v>#N/A N/A</v>
      </c>
      <c r="I158">
        <f>_xll.BDP("3403 HK Equity","PX388","PX395=TURNOVER","DY262=D","PY204=N","PX391=20260101","PX392=20260131","DS004=HKD")</f>
        <v>39096840.857142858</v>
      </c>
      <c r="J158">
        <v>-1</v>
      </c>
      <c r="K158" t="str">
        <f>_xll.BDP("3403 HK Equity","FUND_INCEPT_DT")</f>
        <v>11/10/2022</v>
      </c>
      <c r="L158" t="str">
        <f>_xll.BDP("3403 HK Equity","PX388","PX395=TURNOVER_EXCH_RATIO","DY262=D","PY204=N","PX391=20251201","PX392=20251210")</f>
        <v>#N/A N/A</v>
      </c>
      <c r="M158">
        <f>_xll.BDP("3403 HK Equity","EQY_SH_OUT")</f>
        <v>199.25</v>
      </c>
      <c r="N158">
        <f>_xll.BDP("3403 HK Equity","EQY_TRR_PCT_YTD")</f>
        <v>-12.24039</v>
      </c>
      <c r="O158">
        <f>_xll.BDP("3403 HK Equity","CHG_PCT_YTD")</f>
        <v>-11.72748</v>
      </c>
      <c r="P158">
        <f>_xll.BDP("3403 HK Equity","CHG_PCT_1M")</f>
        <v>-9.1918830000000007</v>
      </c>
      <c r="Q158" t="str">
        <f>_xll.BDP("3403 HK Equity","LISTING_DATE")</f>
        <v>11/10/2022</v>
      </c>
      <c r="R158" t="str">
        <f>_xll.BDP("3403 HK Equity","FUND_INCEPT_DT")</f>
        <v>11/10/2022</v>
      </c>
      <c r="S158">
        <f>_xll.BDP("3403 HK Equity","AVG_DAILY_VALUE_TRADED_3M")</f>
        <v>8584390</v>
      </c>
      <c r="T158" t="str">
        <f>_xll.BDP("3403 HK Equity","PX596","PX395=HISTORICAL_MARKET_CAP","DY262=D","PY204=N","PX391=20231231","PX392=20231231","DS004=HKD")</f>
        <v>#N/A N/A</v>
      </c>
      <c r="U158">
        <f>_xll.BDP("3403 HK Equity","PX385","PX395=FUND_FLOW","DY262=D","PY204=N","PX391=20240102","PX392=20240930","DS004=HKD")</f>
        <v>696.69718499999999</v>
      </c>
      <c r="V158">
        <f>_xll.BDP("3403 HK Equity","PX596","PX395=CUR_MKT_CAP","DY262=D","PY204=N","PX391=20240101","DS004=HKD")</f>
        <v>10381.39</v>
      </c>
      <c r="W158" t="str">
        <f>_xll.BDP("3403 HK Equity","FUND_INCEPT_DT")</f>
        <v>11/10/2022</v>
      </c>
      <c r="X158">
        <f>_xll.BDP("3403 HK Equity","PX388","PX395=TURNOVER","DY262=D","PY204=N","PX391=20240502","PX392=20240606","DS004=HKD")</f>
        <v>12501871.359999999</v>
      </c>
      <c r="Y158" t="str">
        <f>_xll.BDP("3403 HK Equity","PARENT_COMP_NAME")</f>
        <v>China Asset Management Hong Ko</v>
      </c>
      <c r="Z158" t="str">
        <f>_xll.BDP("3403 HK Equity","NAV_CRNCY")</f>
        <v>HKD</v>
      </c>
      <c r="AA158" t="str">
        <f>_xll.BDP("3403 HK Equity","FUND_GEO_FOCUS")</f>
        <v>Greater China</v>
      </c>
      <c r="AB158" t="str">
        <f>_xll.BDP("3403 HK Equity","FUND_ASSET_CLASS_FOCUS")</f>
        <v>Equity</v>
      </c>
      <c r="AC158">
        <f>_xll.BDP("3403 HK Equity","PX_LAST")</f>
        <v>47.42</v>
      </c>
      <c r="AD158">
        <f>_xll.BDP("3403 HK Equity","PX388","PX395=TIME_WAVG_BID_ASK_SPREAD_PCT","DY262=D","PY204=N","PX391=20260601","PX392=20260626")</f>
        <v>0.22090433458343159</v>
      </c>
      <c r="AE158">
        <f>_xll.BDP("3403 HK Equity","PX388","PX395=AVERAGE_BID_ASK_SPREAD_%","DY262=D","PY204=N","PX391=20260601","PX392=20260626")</f>
        <v>0.23981171467308701</v>
      </c>
    </row>
    <row r="159" spans="1:31" x14ac:dyDescent="0.25">
      <c r="A159" t="s">
        <v>184</v>
      </c>
      <c r="B159" t="str">
        <f>_xll.BDP("3406 HK Equity","LONG_COMP_NAME")</f>
        <v>Ping An Technology Select ETF</v>
      </c>
      <c r="C159">
        <f>_xll.BDP("3406 HK Equity","PX385","PX395=FUND_FLOW","DY262=D","PY204=N","PX391=20260622","PX392=20260626","DS004=USD")</f>
        <v>0</v>
      </c>
      <c r="D159">
        <f>_xll.BDP("3406 HK Equity","PX388","PX395=TURNOVER","DY262=D","PY204=N","PX391=20260601","PX392=20260626","DS004=HKD")</f>
        <v>270087.18421052635</v>
      </c>
      <c r="E159">
        <f>_xll.BDP("3406 HK Equity","PX388","PX395=TURNOVER","DY262=D","PY204=N","PX391=20250101","PX392=20251231","DS004=HKD")</f>
        <v>26757.972222222219</v>
      </c>
      <c r="F159">
        <f>_xll.BDP("3406 HK Equity","PX596","PX395=FUND_TOTAL_ASSETS","DY262=D","PY204=N","PX391=20260626","PX392=20260626","DS004=USD")</f>
        <v>67.425054869231445</v>
      </c>
      <c r="G159">
        <f>_xll.BDP("3406 HK Equity","PX388","PX395=CUR_MKT_CAP","DY262=D","PY204=N","PX391=20260626","PX392=20260626","DS004=HKD")</f>
        <v>528.20500000000004</v>
      </c>
      <c r="H159" t="str">
        <f>_xll.BDP("3406 HK Equity","FUND_LEVERAGE_TYPE")</f>
        <v>#N/A N/A</v>
      </c>
      <c r="I159">
        <f>_xll.BDP("3406 HK Equity","PX388","PX395=TURNOVER","DY262=D","PY204=N","PX391=20260101","PX392=20260131","DS004=HKD")</f>
        <v>83641.25</v>
      </c>
      <c r="J159">
        <v>-1</v>
      </c>
      <c r="K159" t="str">
        <f>_xll.BDP("3406 HK Equity","FUND_INCEPT_DT")</f>
        <v>9/9/2025</v>
      </c>
      <c r="L159" t="str">
        <f>_xll.BDP("3406 HK Equity","PX388","PX395=TURNOVER_EXCH_RATIO","DY262=D","PY204=N","PX391=20251201","PX392=20251210")</f>
        <v>#N/A N/A</v>
      </c>
      <c r="M159">
        <f>_xll.BDP("3406 HK Equity","EQY_SH_OUT")</f>
        <v>37.25</v>
      </c>
      <c r="N159">
        <f>_xll.BDP("3406 HK Equity","EQY_TRR_PCT_YTD")</f>
        <v>-7.5488619999999997</v>
      </c>
      <c r="O159">
        <f>_xll.BDP("3406 HK Equity","CHG_PCT_YTD")</f>
        <v>-8.6489910000000005</v>
      </c>
      <c r="P159">
        <f>_xll.BDP("3406 HK Equity","CHG_PCT_1M")</f>
        <v>-7.7756509999999999</v>
      </c>
      <c r="Q159" t="str">
        <f>_xll.BDP("3406 HK Equity","LISTING_DATE")</f>
        <v>9/9/2025</v>
      </c>
      <c r="R159" t="str">
        <f>_xll.BDP("3406 HK Equity","FUND_INCEPT_DT")</f>
        <v>9/9/2025</v>
      </c>
      <c r="S159">
        <f>_xll.BDP("3406 HK Equity","AVG_DAILY_VALUE_TRADED_3M")</f>
        <v>234715.2</v>
      </c>
      <c r="T159" t="str">
        <f>_xll.BDP("3406 HK Equity","PX596","PX395=HISTORICAL_MARKET_CAP","DY262=D","PY204=N","PX391=20231231","PX392=20231231","DS004=HKD")</f>
        <v>#N/A N/A</v>
      </c>
      <c r="U159" t="str">
        <f>_xll.BDP("3406 HK Equity","PX385","PX395=FUND_FLOW","DY262=D","PY204=N","PX391=20240102","PX392=20240930","DS004=HKD")</f>
        <v>#N/A N/A</v>
      </c>
      <c r="V159">
        <f>_xll.BDP("3406 HK Equity","PX596","PX395=CUR_MKT_CAP","DY262=D","PY204=N","PX391=20240101","DS004=HKD")</f>
        <v>586.08000000000004</v>
      </c>
      <c r="W159" t="str">
        <f>_xll.BDP("3406 HK Equity","FUND_INCEPT_DT")</f>
        <v>9/9/2025</v>
      </c>
      <c r="X159" t="str">
        <f>_xll.BDP("3406 HK Equity","PX388","PX395=TURNOVER","DY262=D","PY204=N","PX391=20240502","PX392=20240606","DS004=HKD")</f>
        <v>#N/A N/A</v>
      </c>
      <c r="Y159" t="str">
        <f>_xll.BDP("3406 HK Equity","PARENT_COMP_NAME")</f>
        <v>Ping An of China Asset Managem</v>
      </c>
      <c r="Z159" t="str">
        <f>_xll.BDP("3406 HK Equity","NAV_CRNCY")</f>
        <v>HKD</v>
      </c>
      <c r="AA159" t="str">
        <f>_xll.BDP("3406 HK Equity","FUND_GEO_FOCUS")</f>
        <v>Global</v>
      </c>
      <c r="AB159" t="str">
        <f>_xll.BDP("3406 HK Equity","FUND_ASSET_CLASS_FOCUS")</f>
        <v>Equity</v>
      </c>
      <c r="AC159">
        <f>_xll.BDP("3406 HK Equity","PX_LAST")</f>
        <v>14.47</v>
      </c>
      <c r="AD159">
        <f>_xll.BDP("3406 HK Equity","PX388","PX395=TIME_WAVG_BID_ASK_SPREAD_PCT","DY262=D","PY204=N","PX391=20260601","PX392=20260626")</f>
        <v>0.41711929576468221</v>
      </c>
      <c r="AE159">
        <f>_xll.BDP("3406 HK Equity","PX388","PX395=AVERAGE_BID_ASK_SPREAD_%","DY262=D","PY204=N","PX391=20260601","PX392=20260626")</f>
        <v>0.67610524696363095</v>
      </c>
    </row>
    <row r="160" spans="1:31" x14ac:dyDescent="0.25">
      <c r="A160" t="s">
        <v>185</v>
      </c>
      <c r="B160" t="str">
        <f>_xll.BDP("3410 HK Equity","LONG_COMP_NAME")</f>
        <v>Hang Seng Japan TOPIX 100 Index ETF</v>
      </c>
      <c r="C160">
        <f>_xll.BDP("3410 HK Equity","PX385","PX395=FUND_FLOW","DY262=D","PY204=N","PX391=20260622","PX392=20260626","DS004=USD")</f>
        <v>0</v>
      </c>
      <c r="D160">
        <f>_xll.BDP("3410 HK Equity","PX388","PX395=TURNOVER","DY262=D","PY204=N","PX391=20260601","PX392=20260626","DS004=HKD")</f>
        <v>359880.97684210533</v>
      </c>
      <c r="E160">
        <f>_xll.BDP("3410 HK Equity","PX388","PX395=TURNOVER","DY262=D","PY204=N","PX391=20250101","PX392=20251231","DS004=HKD")</f>
        <v>413308.96425233647</v>
      </c>
      <c r="F160">
        <f>_xll.BDP("3410 HK Equity","PX596","PX395=FUND_TOTAL_ASSETS","DY262=D","PY204=N","PX391=20260626","PX392=20260626","DS004=USD")</f>
        <v>18.211857931503463</v>
      </c>
      <c r="G160">
        <f>_xll.BDP("3410 HK Equity","PX388","PX395=CUR_MKT_CAP","DY262=D","PY204=N","PX391=20260626","PX392=20260626","DS004=HKD")</f>
        <v>45.588083000000005</v>
      </c>
      <c r="H160" t="str">
        <f>_xll.BDP("3410 HK Equity","FUND_LEVERAGE_TYPE")</f>
        <v>#N/A N/A</v>
      </c>
      <c r="I160">
        <f>_xll.BDP("3410 HK Equity","PX388","PX395=TURNOVER","DY262=D","PY204=N","PX391=20260101","PX392=20260131","DS004=HKD")</f>
        <v>677980.3833333333</v>
      </c>
      <c r="J160">
        <v>-1</v>
      </c>
      <c r="K160" t="str">
        <f>_xll.BDP("3410 HK Equity","FUND_INCEPT_DT")</f>
        <v>7/10/2024</v>
      </c>
      <c r="L160" t="str">
        <f>_xll.BDP("3410 HK Equity","PX388","PX395=TURNOVER_EXCH_RATIO","DY262=D","PY204=N","PX391=20251201","PX392=20251210")</f>
        <v>#N/A N/A</v>
      </c>
      <c r="M160">
        <f>_xll.BDP("3410 HK Equity","EQY_SH_OUT")</f>
        <v>6.6697999999999995</v>
      </c>
      <c r="N160">
        <f>_xll.BDP("3410 HK Equity","EQY_TRR_PCT_YTD")</f>
        <v>17.841560000000001</v>
      </c>
      <c r="O160">
        <f>_xll.BDP("3410 HK Equity","CHG_PCT_YTD")</f>
        <v>10.5093</v>
      </c>
      <c r="P160">
        <f>_xll.BDP("3410 HK Equity","CHG_PCT_1M")</f>
        <v>-1.512969</v>
      </c>
      <c r="Q160" t="str">
        <f>_xll.BDP("3410 HK Equity","LISTING_DATE")</f>
        <v>7/10/2024</v>
      </c>
      <c r="R160" t="str">
        <f>_xll.BDP("3410 HK Equity","FUND_INCEPT_DT")</f>
        <v>7/10/2024</v>
      </c>
      <c r="S160">
        <f>_xll.BDP("3410 HK Equity","AVG_DAILY_VALUE_TRADED_3M")</f>
        <v>448999.4</v>
      </c>
      <c r="T160" t="str">
        <f>_xll.BDP("3410 HK Equity","PX596","PX395=HISTORICAL_MARKET_CAP","DY262=D","PY204=N","PX391=20231231","PX392=20231231","DS004=HKD")</f>
        <v>#N/A N/A</v>
      </c>
      <c r="U160">
        <f>_xll.BDP("3410 HK Equity","PX385","PX395=FUND_FLOW","DY262=D","PY204=N","PX391=20240102","PX392=20240930","DS004=HKD")</f>
        <v>7.4083609227421832</v>
      </c>
      <c r="V160">
        <f>_xll.BDP("3410 HK Equity","PX596","PX395=CUR_MKT_CAP","DY262=D","PY204=N","PX391=20240101","DS004=HKD")</f>
        <v>35.067712999999998</v>
      </c>
      <c r="W160" t="str">
        <f>_xll.BDP("3410 HK Equity","FUND_INCEPT_DT")</f>
        <v>7/10/2024</v>
      </c>
      <c r="X160" t="str">
        <f>_xll.BDP("3410 HK Equity","PX388","PX395=TURNOVER","DY262=D","PY204=N","PX391=20240502","PX392=20240606","DS004=HKD")</f>
        <v>#N/A N/A</v>
      </c>
      <c r="Y160" t="str">
        <f>_xll.BDP("3410 HK Equity","PARENT_COMP_NAME")</f>
        <v>Hang Seng Investment Managemen</v>
      </c>
      <c r="Z160" t="str">
        <f>_xll.BDP("3410 HK Equity","NAV_CRNCY")</f>
        <v>JPY</v>
      </c>
      <c r="AA160" t="str">
        <f>_xll.BDP("3410 HK Equity","FUND_GEO_FOCUS")</f>
        <v>Japan</v>
      </c>
      <c r="AB160" t="str">
        <f>_xll.BDP("3410 HK Equity","FUND_ASSET_CLASS_FOCUS")</f>
        <v>Equity</v>
      </c>
      <c r="AC160">
        <f>_xll.BDP("3410 HK Equity","PX_LAST")</f>
        <v>6.835</v>
      </c>
      <c r="AD160">
        <f>_xll.BDP("3410 HK Equity","PX388","PX395=TIME_WAVG_BID_ASK_SPREAD_PCT","DY262=D","PY204=N","PX391=20260601","PX392=20260626")</f>
        <v>0.51794285390000783</v>
      </c>
      <c r="AE160">
        <f>_xll.BDP("3410 HK Equity","PX388","PX395=AVERAGE_BID_ASK_SPREAD_%","DY262=D","PY204=N","PX391=20260601","PX392=20260626")</f>
        <v>0.57107261925879405</v>
      </c>
    </row>
    <row r="161" spans="1:31" x14ac:dyDescent="0.25">
      <c r="A161" t="s">
        <v>186</v>
      </c>
      <c r="B161" t="str">
        <f>_xll.BDP("3411 HK Equity","LONG_COMP_NAME")</f>
        <v>Premia J.P. Morgan Asia Credit Investment Grade USD Bond ETF</v>
      </c>
      <c r="C161">
        <f>_xll.BDP("3411 HK Equity","PX385","PX395=FUND_FLOW","DY262=D","PY204=N","PX391=20260622","PX392=20260626","DS004=USD")</f>
        <v>0</v>
      </c>
      <c r="D161">
        <f>_xll.BDP("3411 HK Equity","PX388","PX395=TURNOVER","DY262=D","PY204=N","PX391=20260601","PX392=20260626","DS004=HKD")</f>
        <v>37184.5</v>
      </c>
      <c r="E161">
        <f>_xll.BDP("3411 HK Equity","PX388","PX395=TURNOVER","DY262=D","PY204=N","PX391=20250101","PX392=20251231","DS004=HKD")</f>
        <v>376592.46666666667</v>
      </c>
      <c r="F161">
        <f>_xll.BDP("3411 HK Equity","PX596","PX395=FUND_TOTAL_ASSETS","DY262=D","PY204=N","PX391=20260626","PX392=20260626","DS004=USD")</f>
        <v>51.274887450000001</v>
      </c>
      <c r="G161">
        <f>_xll.BDP("3411 HK Equity","PX388","PX395=CUR_MKT_CAP","DY262=D","PY204=N","PX391=20260626","PX392=20260626","DS004=HKD")</f>
        <v>401.185</v>
      </c>
      <c r="H161" t="str">
        <f>_xll.BDP("3411 HK Equity","FUND_LEVERAGE_TYPE")</f>
        <v>#N/A N/A</v>
      </c>
      <c r="I161">
        <f>_xll.BDP("3411 HK Equity","PX388","PX395=TURNOVER","DY262=D","PY204=N","PX391=20260101","PX392=20260131","DS004=HKD")</f>
        <v>215511.66666666666</v>
      </c>
      <c r="J161">
        <v>-1</v>
      </c>
      <c r="K161" t="str">
        <f>_xll.BDP("3411 HK Equity","FUND_INCEPT_DT")</f>
        <v>9/23/2024</v>
      </c>
      <c r="L161" t="str">
        <f>_xll.BDP("3411 HK Equity","PX388","PX395=TURNOVER_EXCH_RATIO","DY262=D","PY204=N","PX391=20251201","PX392=20251210")</f>
        <v>#N/A N/A</v>
      </c>
      <c r="M161">
        <f>_xll.BDP("3411 HK Equity","EQY_SH_OUT")</f>
        <v>5.125</v>
      </c>
      <c r="N161">
        <f>_xll.BDP("3411 HK Equity","EQY_TRR_PCT_YTD")</f>
        <v>1.5943149999999999</v>
      </c>
      <c r="O161">
        <f>_xll.BDP("3411 HK Equity","CHG_PCT_YTD")</f>
        <v>-0.76007400000000003</v>
      </c>
      <c r="P161">
        <f>_xll.BDP("3411 HK Equity","CHG_PCT_1M")</f>
        <v>0.43589739999999999</v>
      </c>
      <c r="Q161" t="str">
        <f>_xll.BDP("3411 HK Equity","LISTING_DATE")</f>
        <v>9/25/2024</v>
      </c>
      <c r="R161" t="str">
        <f>_xll.BDP("3411 HK Equity","FUND_INCEPT_DT")</f>
        <v>9/23/2024</v>
      </c>
      <c r="S161">
        <f>_xll.BDP("3411 HK Equity","AVG_DAILY_VALUE_TRADED_3M")</f>
        <v>51649.25</v>
      </c>
      <c r="T161" t="str">
        <f>_xll.BDP("3411 HK Equity","PX596","PX395=HISTORICAL_MARKET_CAP","DY262=D","PY204=N","PX391=20231231","PX392=20231231","DS004=HKD")</f>
        <v>#N/A N/A</v>
      </c>
      <c r="U161" t="str">
        <f>_xll.BDP("3411 HK Equity","PX385","PX395=FUND_FLOW","DY262=D","PY204=N","PX391=20240102","PX392=20240930","DS004=HKD")</f>
        <v>#N/A N/A</v>
      </c>
      <c r="V161">
        <f>_xll.BDP("3411 HK Equity","PX596","PX395=CUR_MKT_CAP","DY262=D","PY204=N","PX391=20240101","DS004=HKD")</f>
        <v>404.5675</v>
      </c>
      <c r="W161" t="str">
        <f>_xll.BDP("3411 HK Equity","FUND_INCEPT_DT")</f>
        <v>9/23/2024</v>
      </c>
      <c r="X161" t="str">
        <f>_xll.BDP("3411 HK Equity","PX388","PX395=TURNOVER","DY262=D","PY204=N","PX391=20240502","PX392=20240606","DS004=HKD")</f>
        <v>#N/A N/A</v>
      </c>
      <c r="Y161" t="str">
        <f>_xll.BDP("3411 HK Equity","PARENT_COMP_NAME")</f>
        <v>Premia Partners Co Ltd/Hong Ko</v>
      </c>
      <c r="Z161" t="str">
        <f>_xll.BDP("3411 HK Equity","NAV_CRNCY")</f>
        <v>HKD</v>
      </c>
      <c r="AA161" t="str">
        <f>_xll.BDP("3411 HK Equity","FUND_GEO_FOCUS")</f>
        <v>Asian Pacific Region ex Japan</v>
      </c>
      <c r="AB161" t="str">
        <f>_xll.BDP("3411 HK Equity","FUND_ASSET_CLASS_FOCUS")</f>
        <v>Fixed Income</v>
      </c>
      <c r="AC161">
        <f>_xll.BDP("3411 HK Equity","PX_LAST")</f>
        <v>78.34</v>
      </c>
      <c r="AD161">
        <f>_xll.BDP("3411 HK Equity","PX388","PX395=TIME_WAVG_BID_ASK_SPREAD_PCT","DY262=D","PY204=N","PX391=20260601","PX392=20260626")</f>
        <v>0.33576247865232672</v>
      </c>
      <c r="AE161">
        <f>_xll.BDP("3411 HK Equity","PX388","PX395=AVERAGE_BID_ASK_SPREAD_%","DY262=D","PY204=N","PX391=20260601","PX392=20260626")</f>
        <v>0.33838125776358369</v>
      </c>
    </row>
    <row r="162" spans="1:31" x14ac:dyDescent="0.25">
      <c r="A162" t="s">
        <v>187</v>
      </c>
      <c r="B162" t="str">
        <f>_xll.BDP("3412 HK Equity","LONG_COMP_NAME")</f>
        <v>Doo Wealth Selected Digital Payments ETF</v>
      </c>
      <c r="C162">
        <f>_xll.BDP("3412 HK Equity","PX385","PX395=FUND_FLOW","DY262=D","PY204=N","PX391=20260622","PX392=20260626","DS004=USD")</f>
        <v>0</v>
      </c>
      <c r="D162">
        <f>_xll.BDP("3412 HK Equity","PX388","PX395=TURNOVER","DY262=D","PY204=N","PX391=20260601","PX392=20260626","DS004=HKD")</f>
        <v>971.5</v>
      </c>
      <c r="E162">
        <f>_xll.BDP("3412 HK Equity","PX388","PX395=TURNOVER","DY262=D","PY204=N","PX391=20250101","PX392=20251231","DS004=HKD")</f>
        <v>252633.61249999999</v>
      </c>
      <c r="F162">
        <f>_xll.BDP("3412 HK Equity","PX596","PX395=FUND_TOTAL_ASSETS","DY262=D","PY204=N","PX391=20260626","PX392=20260626","DS004=USD")</f>
        <v>0.72834468700985688</v>
      </c>
      <c r="G162">
        <f>_xll.BDP("3412 HK Equity","PX388","PX395=CUR_MKT_CAP","DY262=D","PY204=N","PX391=20260626","PX392=20260626","DS004=HKD")</f>
        <v>5.6579999999999995</v>
      </c>
      <c r="H162" t="str">
        <f>_xll.BDP("3412 HK Equity","FUND_LEVERAGE_TYPE")</f>
        <v>#N/A N/A</v>
      </c>
      <c r="I162" t="str">
        <f>_xll.BDP("3412 HK Equity","PX388","PX395=TURNOVER","DY262=D","PY204=N","PX391=20260101","PX392=20260131","DS004=HKD")</f>
        <v>#N/A N/A</v>
      </c>
      <c r="J162" t="s">
        <v>31</v>
      </c>
      <c r="K162" t="str">
        <f>_xll.BDP("3412 HK Equity","FUND_INCEPT_DT")</f>
        <v>6/19/2024</v>
      </c>
      <c r="L162" t="str">
        <f>_xll.BDP("3412 HK Equity","PX388","PX395=TURNOVER_EXCH_RATIO","DY262=D","PY204=N","PX391=20251201","PX392=20251210")</f>
        <v>#N/A N/A</v>
      </c>
      <c r="M162">
        <f>_xll.BDP("3412 HK Equity","EQY_SH_OUT")</f>
        <v>0.6</v>
      </c>
      <c r="N162">
        <f>_xll.BDP("3412 HK Equity","EQY_TRR_PCT_YTD")</f>
        <v>-2.2955260000000002</v>
      </c>
      <c r="O162">
        <f>_xll.BDP("3412 HK Equity","CHG_PCT_YTD")</f>
        <v>-2.1527430000000001</v>
      </c>
      <c r="P162">
        <f>_xll.BDP("3412 HK Equity","CHG_PCT_1M")</f>
        <v>-2.7508870000000001</v>
      </c>
      <c r="Q162" t="str">
        <f>_xll.BDP("3412 HK Equity","LISTING_DATE")</f>
        <v>6/19/2024</v>
      </c>
      <c r="R162" t="str">
        <f>_xll.BDP("3412 HK Equity","FUND_INCEPT_DT")</f>
        <v>6/19/2024</v>
      </c>
      <c r="S162">
        <f>_xll.BDP("3412 HK Equity","AVG_DAILY_VALUE_TRADED_3M")</f>
        <v>122.7705</v>
      </c>
      <c r="T162" t="str">
        <f>_xll.BDP("3412 HK Equity","PX596","PX395=HISTORICAL_MARKET_CAP","DY262=D","PY204=N","PX391=20231231","PX392=20231231","DS004=HKD")</f>
        <v>#N/A N/A</v>
      </c>
      <c r="U162">
        <f>_xll.BDP("3412 HK Equity","PX385","PX395=FUND_FLOW","DY262=D","PY204=N","PX391=20240102","PX392=20240930","DS004=HKD")</f>
        <v>0</v>
      </c>
      <c r="V162">
        <f>_xll.BDP("3412 HK Equity","PX596","PX395=CUR_MKT_CAP","DY262=D","PY204=N","PX391=20240101","DS004=HKD")</f>
        <v>5.8530000000000006</v>
      </c>
      <c r="W162" t="str">
        <f>_xll.BDP("3412 HK Equity","FUND_INCEPT_DT")</f>
        <v>6/19/2024</v>
      </c>
      <c r="X162" t="str">
        <f>_xll.BDP("3412 HK Equity","PX388","PX395=TURNOVER","DY262=D","PY204=N","PX391=20240502","PX392=20240606","DS004=HKD")</f>
        <v>#N/A N/A</v>
      </c>
      <c r="Y162" t="str">
        <f>_xll.BDP("3412 HK Equity","PARENT_COMP_NAME")</f>
        <v>Doo Financial / Fund Parent</v>
      </c>
      <c r="Z162" t="str">
        <f>_xll.BDP("3412 HK Equity","NAV_CRNCY")</f>
        <v>HKD</v>
      </c>
      <c r="AA162" t="str">
        <f>_xll.BDP("3412 HK Equity","FUND_GEO_FOCUS")</f>
        <v>Global</v>
      </c>
      <c r="AB162" t="str">
        <f>_xll.BDP("3412 HK Equity","FUND_ASSET_CLASS_FOCUS")</f>
        <v>Equity</v>
      </c>
      <c r="AC162">
        <f>_xll.BDP("3412 HK Equity","PX_LAST")</f>
        <v>9.5449999999999999</v>
      </c>
      <c r="AD162">
        <f>_xll.BDP("3412 HK Equity","PX388","PX395=TIME_WAVG_BID_ASK_SPREAD_PCT","DY262=D","PY204=N","PX391=20260601","PX392=20260626")</f>
        <v>0.82548894116314675</v>
      </c>
      <c r="AE162">
        <f>_xll.BDP("3412 HK Equity","PX388","PX395=AVERAGE_BID_ASK_SPREAD_%","DY262=D","PY204=N","PX391=20260601","PX392=20260626")</f>
        <v>0.87400621184071181</v>
      </c>
    </row>
    <row r="163" spans="1:31" x14ac:dyDescent="0.25">
      <c r="A163" t="s">
        <v>188</v>
      </c>
      <c r="B163" t="str">
        <f>_xll.BDP("3413 HK Equity","LONG_COMP_NAME")</f>
        <v>Doo Wealth Selected AI and Automation Active ETF</v>
      </c>
      <c r="C163">
        <f>_xll.BDP("3413 HK Equity","PX385","PX395=FUND_FLOW","DY262=D","PY204=N","PX391=20260622","PX392=20260626","DS004=USD")</f>
        <v>0</v>
      </c>
      <c r="D163">
        <f>_xll.BDP("3413 HK Equity","PX388","PX395=TURNOVER","DY262=D","PY204=N","PX391=20260601","PX392=20260626","DS004=HKD")</f>
        <v>26855.666666666668</v>
      </c>
      <c r="E163">
        <f>_xll.BDP("3413 HK Equity","PX388","PX395=TURNOVER","DY262=D","PY204=N","PX391=20250101","PX392=20251231","DS004=HKD")</f>
        <v>144408.19879518074</v>
      </c>
      <c r="F163">
        <f>_xll.BDP("3413 HK Equity","PX596","PX395=FUND_TOTAL_ASSETS","DY262=D","PY204=N","PX391=20260626","PX392=20260626","DS004=USD")</f>
        <v>1.0164714132694048</v>
      </c>
      <c r="G163">
        <f>_xll.BDP("3413 HK Equity","PX388","PX395=CUR_MKT_CAP","DY262=D","PY204=N","PX391=20260626","PX392=20260626","DS004=HKD")</f>
        <v>8.0149999999999988</v>
      </c>
      <c r="H163" t="str">
        <f>_xll.BDP("3413 HK Equity","FUND_LEVERAGE_TYPE")</f>
        <v>#N/A N/A</v>
      </c>
      <c r="I163">
        <f>_xll.BDP("3413 HK Equity","PX388","PX395=TURNOVER","DY262=D","PY204=N","PX391=20260101","PX392=20260131","DS004=HKD")</f>
        <v>29724.5</v>
      </c>
      <c r="J163">
        <v>-1</v>
      </c>
      <c r="K163" t="str">
        <f>_xll.BDP("3413 HK Equity","FUND_INCEPT_DT")</f>
        <v>6/19/2024</v>
      </c>
      <c r="L163" t="str">
        <f>_xll.BDP("3413 HK Equity","PX388","PX395=TURNOVER_EXCH_RATIO","DY262=D","PY204=N","PX391=20251201","PX392=20251210")</f>
        <v>#N/A N/A</v>
      </c>
      <c r="M163">
        <f>_xll.BDP("3413 HK Equity","EQY_SH_OUT")</f>
        <v>0.7</v>
      </c>
      <c r="N163">
        <f>_xll.BDP("3413 HK Equity","EQY_TRR_PCT_YTD")</f>
        <v>18.532630000000001</v>
      </c>
      <c r="O163">
        <f>_xll.BDP("3413 HK Equity","CHG_PCT_YTD")</f>
        <v>17.980419999999999</v>
      </c>
      <c r="P163">
        <f>_xll.BDP("3413 HK Equity","CHG_PCT_1M")</f>
        <v>-1.6323049999999999</v>
      </c>
      <c r="Q163" t="str">
        <f>_xll.BDP("3413 HK Equity","LISTING_DATE")</f>
        <v>6/19/2024</v>
      </c>
      <c r="R163" t="str">
        <f>_xll.BDP("3413 HK Equity","FUND_INCEPT_DT")</f>
        <v>6/19/2024</v>
      </c>
      <c r="S163">
        <f>_xll.BDP("3413 HK Equity","AVG_DAILY_VALUE_TRADED_3M")</f>
        <v>15216.1</v>
      </c>
      <c r="T163" t="str">
        <f>_xll.BDP("3413 HK Equity","PX596","PX395=HISTORICAL_MARKET_CAP","DY262=D","PY204=N","PX391=20231231","PX392=20231231","DS004=HKD")</f>
        <v>#N/A N/A</v>
      </c>
      <c r="U163">
        <f>_xll.BDP("3413 HK Equity","PX385","PX395=FUND_FLOW","DY262=D","PY204=N","PX391=20240102","PX392=20240930","DS004=HKD")</f>
        <v>0</v>
      </c>
      <c r="V163">
        <f>_xll.BDP("3413 HK Equity","PX596","PX395=CUR_MKT_CAP","DY262=D","PY204=N","PX391=20240101","DS004=HKD")</f>
        <v>6.7934999999999999</v>
      </c>
      <c r="W163" t="str">
        <f>_xll.BDP("3413 HK Equity","FUND_INCEPT_DT")</f>
        <v>6/19/2024</v>
      </c>
      <c r="X163" t="str">
        <f>_xll.BDP("3413 HK Equity","PX388","PX395=TURNOVER","DY262=D","PY204=N","PX391=20240502","PX392=20240606","DS004=HKD")</f>
        <v>#N/A N/A</v>
      </c>
      <c r="Y163" t="str">
        <f>_xll.BDP("3413 HK Equity","PARENT_COMP_NAME")</f>
        <v>Doo Financial / Fund Parent</v>
      </c>
      <c r="Z163" t="str">
        <f>_xll.BDP("3413 HK Equity","NAV_CRNCY")</f>
        <v>HKD</v>
      </c>
      <c r="AA163" t="str">
        <f>_xll.BDP("3413 HK Equity","FUND_GEO_FOCUS")</f>
        <v>Global</v>
      </c>
      <c r="AB163" t="str">
        <f>_xll.BDP("3413 HK Equity","FUND_ASSET_CLASS_FOCUS")</f>
        <v>Equity</v>
      </c>
      <c r="AC163">
        <f>_xll.BDP("3413 HK Equity","PX_LAST")</f>
        <v>11.45</v>
      </c>
      <c r="AD163">
        <f>_xll.BDP("3413 HK Equity","PX388","PX395=TIME_WAVG_BID_ASK_SPREAD_PCT","DY262=D","PY204=N","PX391=20260601","PX392=20260626")</f>
        <v>0.85349139038411437</v>
      </c>
      <c r="AE163">
        <f>_xll.BDP("3413 HK Equity","PX388","PX395=AVERAGE_BID_ASK_SPREAD_%","DY262=D","PY204=N","PX391=20260601","PX392=20260626")</f>
        <v>0.96986531275671639</v>
      </c>
    </row>
    <row r="164" spans="1:31" x14ac:dyDescent="0.25">
      <c r="A164" t="s">
        <v>189</v>
      </c>
      <c r="B164" t="str">
        <f>_xll.BDP("3420 HK Equity","LONG_COMP_NAME")</f>
        <v>Value Partners Fund Series OFC - Value Partners RMB Money Market ETF</v>
      </c>
      <c r="C164">
        <f>_xll.BDP("3420 HK Equity","PX385","PX395=FUND_FLOW","DY262=D","PY204=N","PX391=20260622","PX392=20260626","DS004=USD")</f>
        <v>0</v>
      </c>
      <c r="D164" t="str">
        <f>_xll.BDP("3420 HK Equity","PX388","PX395=TURNOVER","DY262=D","PY204=N","PX391=20260601","PX392=20260626","DS004=HKD")</f>
        <v>#N/A N/A</v>
      </c>
      <c r="E164">
        <f>_xll.BDP("3420 HK Equity","PX388","PX395=TURNOVER","DY262=D","PY204=N","PX391=20250101","PX392=20251231","DS004=HKD")</f>
        <v>204980.09999999998</v>
      </c>
      <c r="F164">
        <f>_xll.BDP("3420 HK Equity","PX596","PX395=FUND_TOTAL_ASSETS","DY262=D","PY204=N","PX391=20260626","PX392=20260626","DS004=USD")</f>
        <v>17.497794766245221</v>
      </c>
      <c r="G164">
        <f>_xll.BDP("3420 HK Equity","PX388","PX395=CUR_MKT_CAP","DY262=D","PY204=N","PX391=20260626","PX392=20260626","DS004=HKD")</f>
        <v>137.70599999999999</v>
      </c>
      <c r="H164" t="str">
        <f>_xll.BDP("3420 HK Equity","FUND_LEVERAGE_TYPE")</f>
        <v>#N/A N/A</v>
      </c>
      <c r="I164">
        <f>_xll.BDP("3420 HK Equity","PX388","PX395=TURNOVER","DY262=D","PY204=N","PX391=20260101","PX392=20260131","DS004=HKD")</f>
        <v>257567.22500000001</v>
      </c>
      <c r="J164">
        <v>-1</v>
      </c>
      <c r="K164" t="str">
        <f>_xll.BDP("3420 HK Equity","FUND_INCEPT_DT")</f>
        <v>10/10/2025</v>
      </c>
      <c r="L164" t="str">
        <f>_xll.BDP("3420 HK Equity","PX388","PX395=TURNOVER_EXCH_RATIO","DY262=D","PY204=N","PX391=20251201","PX392=20251210")</f>
        <v>#N/A N/A</v>
      </c>
      <c r="M164">
        <f>_xll.BDP("3420 HK Equity","EQY_SH_OUT")</f>
        <v>0.11799999999999999</v>
      </c>
      <c r="N164">
        <f>_xll.BDP("3420 HK Equity","EQY_TRR_PCT_YTD")</f>
        <v>4.1075889999999999</v>
      </c>
      <c r="O164">
        <f>_xll.BDP("3420 HK Equity","CHG_PCT_YTD")</f>
        <v>4.345491</v>
      </c>
      <c r="P164">
        <f>_xll.BDP("3420 HK Equity","CHG_PCT_1M")</f>
        <v>0.16737060000000001</v>
      </c>
      <c r="Q164" t="str">
        <f>_xll.BDP("3420 HK Equity","LISTING_DATE")</f>
        <v>10/16/2025</v>
      </c>
      <c r="R164" t="str">
        <f>_xll.BDP("3420 HK Equity","FUND_INCEPT_DT")</f>
        <v>10/10/2025</v>
      </c>
      <c r="S164">
        <f>_xll.BDP("3420 HK Equity","AVG_DAILY_VALUE_TRADED_3M")</f>
        <v>53573.77</v>
      </c>
      <c r="T164" t="str">
        <f>_xll.BDP("3420 HK Equity","PX596","PX395=HISTORICAL_MARKET_CAP","DY262=D","PY204=N","PX391=20231231","PX392=20231231","DS004=HKD")</f>
        <v>#N/A N/A</v>
      </c>
      <c r="U164" t="str">
        <f>_xll.BDP("3420 HK Equity","PX385","PX395=FUND_FLOW","DY262=D","PY204=N","PX391=20240102","PX392=20240930","DS004=HKD")</f>
        <v>#N/A N/A</v>
      </c>
      <c r="V164">
        <f>_xll.BDP("3420 HK Equity","PX596","PX395=CUR_MKT_CAP","DY262=D","PY204=N","PX391=20240101","DS004=HKD")</f>
        <v>129.73440000000002</v>
      </c>
      <c r="W164" t="str">
        <f>_xll.BDP("3420 HK Equity","FUND_INCEPT_DT")</f>
        <v>10/10/2025</v>
      </c>
      <c r="X164" t="str">
        <f>_xll.BDP("3420 HK Equity","PX388","PX395=TURNOVER","DY262=D","PY204=N","PX391=20240502","PX392=20240606","DS004=HKD")</f>
        <v>#N/A N/A</v>
      </c>
      <c r="Y164" t="str">
        <f>_xll.BDP("3420 HK Equity","PARENT_COMP_NAME")</f>
        <v>Value Partners Hong Kong Ltd</v>
      </c>
      <c r="Z164" t="str">
        <f>_xll.BDP("3420 HK Equity","NAV_CRNCY")</f>
        <v>HKD</v>
      </c>
      <c r="AA164" t="str">
        <f>_xll.BDP("3420 HK Equity","FUND_GEO_FOCUS")</f>
        <v>Global</v>
      </c>
      <c r="AB164" t="str">
        <f>_xll.BDP("3420 HK Equity","FUND_ASSET_CLASS_FOCUS")</f>
        <v>Money Market</v>
      </c>
      <c r="AC164">
        <f>_xll.BDP("3420 HK Equity","PX_LAST")</f>
        <v>1167</v>
      </c>
      <c r="AD164">
        <f>_xll.BDP("3420 HK Equity","PX388","PX395=TIME_WAVG_BID_ASK_SPREAD_PCT","DY262=D","PY204=N","PX391=20260601","PX392=20260626")</f>
        <v>0.28634556945501005</v>
      </c>
      <c r="AE164">
        <f>_xll.BDP("3420 HK Equity","PX388","PX395=AVERAGE_BID_ASK_SPREAD_%","DY262=D","PY204=N","PX391=20260601","PX392=20260626")</f>
        <v>0.29906523137905577</v>
      </c>
    </row>
    <row r="165" spans="1:31" x14ac:dyDescent="0.25">
      <c r="A165" t="s">
        <v>190</v>
      </c>
      <c r="B165" t="str">
        <f>_xll.BDP("3421 HK Equity","LONG_COMP_NAME")</f>
        <v>Value Partners Fund Series OFC - Value Partners HKD Money Market ETF</v>
      </c>
      <c r="C165">
        <f>_xll.BDP("3421 HK Equity","PX385","PX395=FUND_FLOW","DY262=D","PY204=N","PX391=20260622","PX392=20260626","DS004=USD")</f>
        <v>0</v>
      </c>
      <c r="D165">
        <f>_xll.BDP("3421 HK Equity","PX388","PX395=TURNOVER","DY262=D","PY204=N","PX391=20260601","PX392=20260626","DS004=HKD")</f>
        <v>1656009.6921052632</v>
      </c>
      <c r="E165">
        <f>_xll.BDP("3421 HK Equity","PX388","PX395=TURNOVER","DY262=D","PY204=N","PX391=20250101","PX392=20251231","DS004=HKD")</f>
        <v>2351131.7166666659</v>
      </c>
      <c r="F165">
        <f>_xll.BDP("3421 HK Equity","PX596","PX395=FUND_TOTAL_ASSETS","DY262=D","PY204=N","PX391=20260626","PX392=20260626","DS004=USD")</f>
        <v>47.262850511980204</v>
      </c>
      <c r="G165">
        <f>_xll.BDP("3421 HK Equity","PX388","PX395=CUR_MKT_CAP","DY262=D","PY204=N","PX391=20260626","PX392=20260626","DS004=HKD")</f>
        <v>370.84319999999997</v>
      </c>
      <c r="H165" t="str">
        <f>_xll.BDP("3421 HK Equity","FUND_LEVERAGE_TYPE")</f>
        <v>#N/A N/A</v>
      </c>
      <c r="I165">
        <f>_xll.BDP("3421 HK Equity","PX388","PX395=TURNOVER","DY262=D","PY204=N","PX391=20260101","PX392=20260131","DS004=HKD")</f>
        <v>72733.933333333334</v>
      </c>
      <c r="J165">
        <v>-1</v>
      </c>
      <c r="K165" t="str">
        <f>_xll.BDP("3421 HK Equity","FUND_INCEPT_DT")</f>
        <v>10/10/2025</v>
      </c>
      <c r="L165" t="str">
        <f>_xll.BDP("3421 HK Equity","PX388","PX395=TURNOVER_EXCH_RATIO","DY262=D","PY204=N","PX391=20251201","PX392=20251210")</f>
        <v>#N/A N/A</v>
      </c>
      <c r="M165">
        <f>_xll.BDP("3421 HK Equity","EQY_SH_OUT")</f>
        <v>0.36399999999999999</v>
      </c>
      <c r="N165">
        <f>_xll.BDP("3421 HK Equity","EQY_TRR_PCT_YTD")</f>
        <v>1.159905</v>
      </c>
      <c r="O165">
        <f>_xll.BDP("3421 HK Equity","CHG_PCT_YTD")</f>
        <v>1.1665989999999999</v>
      </c>
      <c r="P165">
        <f>_xll.BDP("3421 HK Equity","CHG_PCT_1M")</f>
        <v>0.20159070000000001</v>
      </c>
      <c r="Q165" t="str">
        <f>_xll.BDP("3421 HK Equity","LISTING_DATE")</f>
        <v>10/16/2025</v>
      </c>
      <c r="R165" t="str">
        <f>_xll.BDP("3421 HK Equity","FUND_INCEPT_DT")</f>
        <v>10/10/2025</v>
      </c>
      <c r="S165">
        <f>_xll.BDP("3421 HK Equity","AVG_DAILY_VALUE_TRADED_3M")</f>
        <v>609675.69999999995</v>
      </c>
      <c r="T165" t="str">
        <f>_xll.BDP("3421 HK Equity","PX596","PX395=HISTORICAL_MARKET_CAP","DY262=D","PY204=N","PX391=20231231","PX392=20231231","DS004=HKD")</f>
        <v>#N/A N/A</v>
      </c>
      <c r="U165" t="str">
        <f>_xll.BDP("3421 HK Equity","PX385","PX395=FUND_FLOW","DY262=D","PY204=N","PX391=20240102","PX392=20240930","DS004=HKD")</f>
        <v>#N/A N/A</v>
      </c>
      <c r="V165">
        <f>_xll.BDP("3421 HK Equity","PX596","PX395=CUR_MKT_CAP","DY262=D","PY204=N","PX391=20240101","DS004=HKD")</f>
        <v>338.41920000000005</v>
      </c>
      <c r="W165" t="str">
        <f>_xll.BDP("3421 HK Equity","FUND_INCEPT_DT")</f>
        <v>10/10/2025</v>
      </c>
      <c r="X165" t="str">
        <f>_xll.BDP("3421 HK Equity","PX388","PX395=TURNOVER","DY262=D","PY204=N","PX391=20240502","PX392=20240606","DS004=HKD")</f>
        <v>#N/A N/A</v>
      </c>
      <c r="Y165" t="str">
        <f>_xll.BDP("3421 HK Equity","PARENT_COMP_NAME")</f>
        <v>Value Partners Hong Kong Ltd</v>
      </c>
      <c r="Z165" t="str">
        <f>_xll.BDP("3421 HK Equity","NAV_CRNCY")</f>
        <v>HKD</v>
      </c>
      <c r="AA165" t="str">
        <f>_xll.BDP("3421 HK Equity","FUND_GEO_FOCUS")</f>
        <v>Global</v>
      </c>
      <c r="AB165" t="str">
        <f>_xll.BDP("3421 HK Equity","FUND_ASSET_CLASS_FOCUS")</f>
        <v>Money Market</v>
      </c>
      <c r="AC165">
        <f>_xll.BDP("3421 HK Equity","PX_LAST")</f>
        <v>1018.95</v>
      </c>
      <c r="AD165">
        <f>_xll.BDP("3421 HK Equity","PX388","PX395=TIME_WAVG_BID_ASK_SPREAD_PCT","DY262=D","PY204=N","PX391=20260601","PX392=20260626")</f>
        <v>2.9384959229271462E-2</v>
      </c>
      <c r="AE165">
        <f>_xll.BDP("3421 HK Equity","PX388","PX395=AVERAGE_BID_ASK_SPREAD_%","DY262=D","PY204=N","PX391=20260601","PX392=20260626")</f>
        <v>3.1762638724807342E-2</v>
      </c>
    </row>
    <row r="166" spans="1:31" x14ac:dyDescent="0.25">
      <c r="A166" t="s">
        <v>191</v>
      </c>
      <c r="B166" t="str">
        <f>_xll.BDP("3423 HK Equity","LONG_COMP_NAME")</f>
        <v>CMS HANG SENG TECH INDEX ETF</v>
      </c>
      <c r="C166">
        <f>_xll.BDP("3423 HK Equity","PX385","PX395=FUND_FLOW","DY262=D","PY204=N","PX391=20260622","PX392=20260626","DS004=USD")</f>
        <v>0</v>
      </c>
      <c r="D166">
        <f>_xll.BDP("3423 HK Equity","PX388","PX395=TURNOVER","DY262=D","PY204=N","PX391=20260601","PX392=20260626","DS004=HKD")</f>
        <v>1580702.6473684208</v>
      </c>
      <c r="E166">
        <f>_xll.BDP("3423 HK Equity","PX388","PX395=TURNOVER","DY262=D","PY204=N","PX391=20250101","PX392=20251231","DS004=HKD")</f>
        <v>1730001.6045454543</v>
      </c>
      <c r="F166">
        <f>_xll.BDP("3423 HK Equity","PX596","PX395=FUND_TOTAL_ASSETS","DY262=D","PY204=N","PX391=20260626","PX392=20260626","DS004=USD")</f>
        <v>53.540360474872791</v>
      </c>
      <c r="G166">
        <f>_xll.BDP("3423 HK Equity","PX388","PX395=CUR_MKT_CAP","DY262=D","PY204=N","PX391=20260626","PX392=20260626","DS004=HKD")</f>
        <v>419.92500000000001</v>
      </c>
      <c r="H166" t="str">
        <f>_xll.BDP("3423 HK Equity","FUND_LEVERAGE_TYPE")</f>
        <v>#N/A N/A</v>
      </c>
      <c r="I166">
        <f>_xll.BDP("3423 HK Equity","PX388","PX395=TURNOVER","DY262=D","PY204=N","PX391=20260101","PX392=20260131","DS004=HKD")</f>
        <v>3769249.4666666663</v>
      </c>
      <c r="J166">
        <v>-1</v>
      </c>
      <c r="K166" t="str">
        <f>_xll.BDP("3423 HK Equity","FUND_INCEPT_DT")</f>
        <v>3/31/2025</v>
      </c>
      <c r="L166" t="str">
        <f>_xll.BDP("3423 HK Equity","PX388","PX395=TURNOVER_EXCH_RATIO","DY262=D","PY204=N","PX391=20251201","PX392=20251210")</f>
        <v>#N/A N/A</v>
      </c>
      <c r="M166">
        <f>_xll.BDP("3423 HK Equity","EQY_SH_OUT")</f>
        <v>55</v>
      </c>
      <c r="N166">
        <f>_xll.BDP("3423 HK Equity","EQY_TRR_PCT_YTD")</f>
        <v>-22.732009999999999</v>
      </c>
      <c r="O166">
        <f>_xll.BDP("3423 HK Equity","CHG_PCT_YTD")</f>
        <v>-20.12134</v>
      </c>
      <c r="P166">
        <f>_xll.BDP("3423 HK Equity","CHG_PCT_1M")</f>
        <v>-9.6626630000000002</v>
      </c>
      <c r="Q166" t="str">
        <f>_xll.BDP("3423 HK Equity","LISTING_DATE")</f>
        <v>3/31/2025</v>
      </c>
      <c r="R166" t="str">
        <f>_xll.BDP("3423 HK Equity","FUND_INCEPT_DT")</f>
        <v>3/31/2025</v>
      </c>
      <c r="S166">
        <f>_xll.BDP("3423 HK Equity","AVG_DAILY_VALUE_TRADED_3M")</f>
        <v>1426649</v>
      </c>
      <c r="T166" t="str">
        <f>_xll.BDP("3423 HK Equity","PX596","PX395=HISTORICAL_MARKET_CAP","DY262=D","PY204=N","PX391=20231231","PX392=20231231","DS004=HKD")</f>
        <v>#N/A N/A</v>
      </c>
      <c r="U166" t="str">
        <f>_xll.BDP("3423 HK Equity","PX385","PX395=FUND_FLOW","DY262=D","PY204=N","PX391=20240102","PX392=20240930","DS004=HKD")</f>
        <v>#N/A N/A</v>
      </c>
      <c r="V166">
        <f>_xll.BDP("3423 HK Equity","PX596","PX395=CUR_MKT_CAP","DY262=D","PY204=N","PX391=20240101","DS004=HKD")</f>
        <v>249.22800000000001</v>
      </c>
      <c r="W166" t="str">
        <f>_xll.BDP("3423 HK Equity","FUND_INCEPT_DT")</f>
        <v>3/31/2025</v>
      </c>
      <c r="X166" t="str">
        <f>_xll.BDP("3423 HK Equity","PX388","PX395=TURNOVER","DY262=D","PY204=N","PX391=20240502","PX392=20240606","DS004=HKD")</f>
        <v>#N/A N/A</v>
      </c>
      <c r="Y166" t="str">
        <f>_xll.BDP("3423 HK Equity","PARENT_COMP_NAME")</f>
        <v>CMS Asset Management HK Co Ltd</v>
      </c>
      <c r="Z166" t="str">
        <f>_xll.BDP("3423 HK Equity","NAV_CRNCY")</f>
        <v>HKD</v>
      </c>
      <c r="AA166" t="str">
        <f>_xll.BDP("3423 HK Equity","FUND_GEO_FOCUS")</f>
        <v>Hong Kong</v>
      </c>
      <c r="AB166" t="str">
        <f>_xll.BDP("3423 HK Equity","FUND_ASSET_CLASS_FOCUS")</f>
        <v>Equity</v>
      </c>
      <c r="AC166">
        <f>_xll.BDP("3423 HK Equity","PX_LAST")</f>
        <v>7.9</v>
      </c>
      <c r="AD166">
        <f>_xll.BDP("3423 HK Equity","PX388","PX395=TIME_WAVG_BID_ASK_SPREAD_PCT","DY262=D","PY204=N","PX391=20260601","PX392=20260626")</f>
        <v>0.18240927708373453</v>
      </c>
      <c r="AE166">
        <f>_xll.BDP("3423 HK Equity","PX388","PX395=AVERAGE_BID_ASK_SPREAD_%","DY262=D","PY204=N","PX391=20260601","PX392=20260626")</f>
        <v>0.2097673697849598</v>
      </c>
    </row>
    <row r="167" spans="1:31" x14ac:dyDescent="0.25">
      <c r="A167" t="s">
        <v>192</v>
      </c>
      <c r="B167" t="str">
        <f>_xll.BDP("3425 HK Equity","LONG_COMP_NAME")</f>
        <v>MicroBit Ether Spot ETF</v>
      </c>
      <c r="C167">
        <f>_xll.BDP("3425 HK Equity","PX385","PX395=FUND_FLOW","DY262=D","PY204=N","PX391=20260622","PX392=20260626","DS004=USD")</f>
        <v>0</v>
      </c>
      <c r="D167">
        <f>_xll.BDP("3425 HK Equity","PX388","PX395=TURNOVER","DY262=D","PY204=N","PX391=20260601","PX392=20260626","DS004=HKD")</f>
        <v>51031.616666666669</v>
      </c>
      <c r="E167">
        <f>_xll.BDP("3425 HK Equity","PX388","PX395=TURNOVER","DY262=D","PY204=N","PX391=20250101","PX392=20251231","DS004=HKD")</f>
        <v>845859.5843373494</v>
      </c>
      <c r="F167">
        <f>_xll.BDP("3425 HK Equity","PX596","PX395=FUND_TOTAL_ASSETS","DY262=D","PY204=N","PX391=20260626","PX392=20260626","DS004=USD")</f>
        <v>4.1892319999999996</v>
      </c>
      <c r="G167">
        <f>_xll.BDP("3425 HK Equity","PX388","PX395=CUR_MKT_CAP","DY262=D","PY204=N","PX391=20260626","PX392=20260626","DS004=HKD")</f>
        <v>32.900399999999998</v>
      </c>
      <c r="H167" t="str">
        <f>_xll.BDP("3425 HK Equity","FUND_LEVERAGE_TYPE")</f>
        <v>#N/A N/A</v>
      </c>
      <c r="I167">
        <f>_xll.BDP("3425 HK Equity","PX388","PX395=TURNOVER","DY262=D","PY204=N","PX391=20260101","PX392=20260131","DS004=HKD")</f>
        <v>133961.38888888891</v>
      </c>
      <c r="J167">
        <v>-1</v>
      </c>
      <c r="K167" t="str">
        <f>_xll.BDP("3425 HK Equity","FUND_INCEPT_DT")</f>
        <v>8/21/2025</v>
      </c>
      <c r="L167" t="str">
        <f>_xll.BDP("3425 HK Equity","PX388","PX395=TURNOVER_EXCH_RATIO","DY262=D","PY204=N","PX391=20251201","PX392=20251210")</f>
        <v>#N/A N/A</v>
      </c>
      <c r="M167">
        <f>_xll.BDP("3425 HK Equity","EQY_SH_OUT")</f>
        <v>11.1</v>
      </c>
      <c r="N167">
        <f>_xll.BDP("3425 HK Equity","EQY_TRR_PCT_YTD")</f>
        <v>-45.938290000000002</v>
      </c>
      <c r="O167">
        <f>_xll.BDP("3425 HK Equity","CHG_PCT_YTD")</f>
        <v>-45.501379999999997</v>
      </c>
      <c r="P167">
        <f>_xll.BDP("3425 HK Equity","CHG_PCT_1M")</f>
        <v>-20.075559999999999</v>
      </c>
      <c r="Q167" t="str">
        <f>_xll.BDP("3425 HK Equity","LISTING_DATE")</f>
        <v>8/21/2025</v>
      </c>
      <c r="R167" t="str">
        <f>_xll.BDP("3425 HK Equity","FUND_INCEPT_DT")</f>
        <v>8/21/2025</v>
      </c>
      <c r="S167">
        <f>_xll.BDP("3425 HK Equity","AVG_DAILY_VALUE_TRADED_3M")</f>
        <v>77334.45</v>
      </c>
      <c r="T167" t="str">
        <f>_xll.BDP("3425 HK Equity","PX596","PX395=HISTORICAL_MARKET_CAP","DY262=D","PY204=N","PX391=20231231","PX392=20231231","DS004=HKD")</f>
        <v>#N/A N/A</v>
      </c>
      <c r="U167" t="str">
        <f>_xll.BDP("3425 HK Equity","PX385","PX395=FUND_FLOW","DY262=D","PY204=N","PX391=20240102","PX392=20240930","DS004=HKD")</f>
        <v>#N/A N/A</v>
      </c>
      <c r="V167">
        <f>_xll.BDP("3425 HK Equity","PX596","PX395=CUR_MKT_CAP","DY262=D","PY204=N","PX391=20240101","DS004=HKD")</f>
        <v>83.698999999999998</v>
      </c>
      <c r="W167" t="str">
        <f>_xll.BDP("3425 HK Equity","FUND_INCEPT_DT")</f>
        <v>8/21/2025</v>
      </c>
      <c r="X167" t="str">
        <f>_xll.BDP("3425 HK Equity","PX388","PX395=TURNOVER","DY262=D","PY204=N","PX391=20240502","PX392=20240606","DS004=HKD")</f>
        <v>#N/A N/A</v>
      </c>
      <c r="Y167" t="str">
        <f>_xll.BDP("3425 HK Equity","PARENT_COMP_NAME")</f>
        <v>MicroBit Capital Management Lt</v>
      </c>
      <c r="Z167" t="str">
        <f>_xll.BDP("3425 HK Equity","NAV_CRNCY")</f>
        <v>HKD</v>
      </c>
      <c r="AA167" t="str">
        <f>_xll.BDP("3425 HK Equity","FUND_GEO_FOCUS")</f>
        <v>Global</v>
      </c>
      <c r="AB167" t="str">
        <f>_xll.BDP("3425 HK Equity","FUND_ASSET_CLASS_FOCUS")</f>
        <v>Alternative</v>
      </c>
      <c r="AC167">
        <f>_xll.BDP("3425 HK Equity","PX_LAST")</f>
        <v>2.9620000000000002</v>
      </c>
      <c r="AD167">
        <f>_xll.BDP("3425 HK Equity","PX388","PX395=TIME_WAVG_BID_ASK_SPREAD_PCT","DY262=D","PY204=N","PX391=20260601","PX392=20260626")</f>
        <v>0.36337384325658145</v>
      </c>
      <c r="AE167">
        <f>_xll.BDP("3425 HK Equity","PX388","PX395=AVERAGE_BID_ASK_SPREAD_%","DY262=D","PY204=N","PX391=20260601","PX392=20260626")</f>
        <v>0.39613888943335857</v>
      </c>
    </row>
    <row r="168" spans="1:31" x14ac:dyDescent="0.25">
      <c r="A168" t="s">
        <v>193</v>
      </c>
      <c r="B168" t="str">
        <f>_xll.BDP("3426 HK Equity","LONG_COMP_NAME")</f>
        <v>Doo Wealth Selected Web3 ETF</v>
      </c>
      <c r="C168">
        <f>_xll.BDP("3426 HK Equity","PX385","PX395=FUND_FLOW","DY262=D","PY204=N","PX391=20260622","PX392=20260626","DS004=USD")</f>
        <v>0</v>
      </c>
      <c r="D168">
        <f>_xll.BDP("3426 HK Equity","PX388","PX395=TURNOVER","DY262=D","PY204=N","PX391=20260601","PX392=20260626","DS004=HKD")</f>
        <v>2684.5</v>
      </c>
      <c r="E168">
        <f>_xll.BDP("3426 HK Equity","PX388","PX395=TURNOVER","DY262=D","PY204=N","PX391=20250101","PX392=20251231","DS004=HKD")</f>
        <v>250689.97777777771</v>
      </c>
      <c r="F168">
        <f>_xll.BDP("3426 HK Equity","PX596","PX395=FUND_TOTAL_ASSETS","DY262=D","PY204=N","PX391=20260626","PX392=20260626","DS004=USD")</f>
        <v>1.2052337626401091</v>
      </c>
      <c r="G168">
        <f>_xll.BDP("3426 HK Equity","PX388","PX395=CUR_MKT_CAP","DY262=D","PY204=N","PX391=20260626","PX392=20260626","DS004=HKD")</f>
        <v>9.4429999999999996</v>
      </c>
      <c r="H168" t="str">
        <f>_xll.BDP("3426 HK Equity","FUND_LEVERAGE_TYPE")</f>
        <v>#N/A N/A</v>
      </c>
      <c r="I168">
        <f>_xll.BDP("3426 HK Equity","PX388","PX395=TURNOVER","DY262=D","PY204=N","PX391=20260101","PX392=20260131","DS004=HKD")</f>
        <v>19263</v>
      </c>
      <c r="J168">
        <v>-1</v>
      </c>
      <c r="K168" t="str">
        <f>_xll.BDP("3426 HK Equity","FUND_INCEPT_DT")</f>
        <v>6/19/2024</v>
      </c>
      <c r="L168" t="str">
        <f>_xll.BDP("3426 HK Equity","PX388","PX395=TURNOVER_EXCH_RATIO","DY262=D","PY204=N","PX391=20251201","PX392=20251210")</f>
        <v>#N/A N/A</v>
      </c>
      <c r="M168">
        <f>_xll.BDP("3426 HK Equity","EQY_SH_OUT")</f>
        <v>0.7</v>
      </c>
      <c r="N168">
        <f>_xll.BDP("3426 HK Equity","EQY_TRR_PCT_YTD")</f>
        <v>22.656459999999999</v>
      </c>
      <c r="O168">
        <f>_xll.BDP("3426 HK Equity","CHG_PCT_YTD")</f>
        <v>22.39348</v>
      </c>
      <c r="P168">
        <f>_xll.BDP("3426 HK Equity","CHG_PCT_1M")</f>
        <v>-3.2258049999999998</v>
      </c>
      <c r="Q168" t="str">
        <f>_xll.BDP("3426 HK Equity","LISTING_DATE")</f>
        <v>6/19/2024</v>
      </c>
      <c r="R168" t="str">
        <f>_xll.BDP("3426 HK Equity","FUND_INCEPT_DT")</f>
        <v>6/19/2024</v>
      </c>
      <c r="S168">
        <f>_xll.BDP("3426 HK Equity","AVG_DAILY_VALUE_TRADED_3M")</f>
        <v>1593.1969999999999</v>
      </c>
      <c r="T168" t="str">
        <f>_xll.BDP("3426 HK Equity","PX596","PX395=HISTORICAL_MARKET_CAP","DY262=D","PY204=N","PX391=20231231","PX392=20231231","DS004=HKD")</f>
        <v>#N/A N/A</v>
      </c>
      <c r="U168">
        <f>_xll.BDP("3426 HK Equity","PX385","PX395=FUND_FLOW","DY262=D","PY204=N","PX391=20240102","PX392=20240930","DS004=HKD")</f>
        <v>0</v>
      </c>
      <c r="V168">
        <f>_xll.BDP("3426 HK Equity","PX596","PX395=CUR_MKT_CAP","DY262=D","PY204=N","PX391=20240101","DS004=HKD")</f>
        <v>7.7209999999999992</v>
      </c>
      <c r="W168" t="str">
        <f>_xll.BDP("3426 HK Equity","FUND_INCEPT_DT")</f>
        <v>6/19/2024</v>
      </c>
      <c r="X168" t="str">
        <f>_xll.BDP("3426 HK Equity","PX388","PX395=TURNOVER","DY262=D","PY204=N","PX391=20240502","PX392=20240606","DS004=HKD")</f>
        <v>#N/A N/A</v>
      </c>
      <c r="Y168" t="str">
        <f>_xll.BDP("3426 HK Equity","PARENT_COMP_NAME")</f>
        <v>Doo Financial / Fund Parent</v>
      </c>
      <c r="Z168" t="str">
        <f>_xll.BDP("3426 HK Equity","NAV_CRNCY")</f>
        <v>HKD</v>
      </c>
      <c r="AA168" t="str">
        <f>_xll.BDP("3426 HK Equity","FUND_GEO_FOCUS")</f>
        <v>Greater China</v>
      </c>
      <c r="AB168" t="str">
        <f>_xll.BDP("3426 HK Equity","FUND_ASSET_CLASS_FOCUS")</f>
        <v>Equity</v>
      </c>
      <c r="AC168">
        <f>_xll.BDP("3426 HK Equity","PX_LAST")</f>
        <v>13.5</v>
      </c>
      <c r="AD168">
        <f>_xll.BDP("3426 HK Equity","PX388","PX395=TIME_WAVG_BID_ASK_SPREAD_PCT","DY262=D","PY204=N","PX391=20260601","PX392=20260626")</f>
        <v>0.985866175146345</v>
      </c>
      <c r="AE168">
        <f>_xll.BDP("3426 HK Equity","PX388","PX395=AVERAGE_BID_ASK_SPREAD_%","DY262=D","PY204=N","PX391=20260601","PX392=20260626")</f>
        <v>1.0848563996490725</v>
      </c>
    </row>
    <row r="169" spans="1:31" x14ac:dyDescent="0.25">
      <c r="A169" t="s">
        <v>194</v>
      </c>
      <c r="B169" t="str">
        <f>_xll.BDP("3428 HK Equity","LONG_COMP_NAME")</f>
        <v>Global X China Life Franklin HK-US Equity Select ETF</v>
      </c>
      <c r="C169">
        <f>_xll.BDP("3428 HK Equity","PX385","PX395=FUND_FLOW","DY262=D","PY204=N","PX391=20260622","PX392=20260626","DS004=USD")</f>
        <v>0</v>
      </c>
      <c r="D169">
        <f>_xll.BDP("3428 HK Equity","PX388","PX395=TURNOVER","DY262=D","PY204=N","PX391=20260601","PX392=20260626","DS004=HKD")</f>
        <v>95967.35000000002</v>
      </c>
      <c r="E169" t="str">
        <f>_xll.BDP("3428 HK Equity","PX388","PX395=TURNOVER","DY262=D","PY204=N","PX391=20250101","PX392=20251231","DS004=HKD")</f>
        <v>#N/A N/A</v>
      </c>
      <c r="F169">
        <f>_xll.BDP("3428 HK Equity","PX596","PX395=FUND_TOTAL_ASSETS","DY262=D","PY204=N","PX391=20260626","PX392=20260626","DS004=USD")</f>
        <v>106.21724646714526</v>
      </c>
      <c r="G169">
        <f>_xll.BDP("3428 HK Equity","PX388","PX395=CUR_MKT_CAP","DY262=D","PY204=N","PX391=20260626","PX392=20260626","DS004=HKD")</f>
        <v>830.072</v>
      </c>
      <c r="H169" t="str">
        <f>_xll.BDP("3428 HK Equity","FUND_LEVERAGE_TYPE")</f>
        <v>#N/A N/A</v>
      </c>
      <c r="I169" t="str">
        <f>_xll.BDP("3428 HK Equity","PX388","PX395=TURNOVER","DY262=D","PY204=N","PX391=20260101","PX392=20260131","DS004=HKD")</f>
        <v>#N/A N/A</v>
      </c>
      <c r="J169" t="s">
        <v>31</v>
      </c>
      <c r="K169" t="str">
        <f>_xll.BDP("3428 HK Equity","FUND_INCEPT_DT")</f>
        <v>3/27/2026</v>
      </c>
      <c r="L169" t="str">
        <f>_xll.BDP("3428 HK Equity","PX388","PX395=TURNOVER_EXCH_RATIO","DY262=D","PY204=N","PX391=20251201","PX392=20251210")</f>
        <v>#N/A N/A</v>
      </c>
      <c r="M169">
        <f>_xll.BDP("3428 HK Equity","EQY_SH_OUT")</f>
        <v>81.7</v>
      </c>
      <c r="N169" t="str">
        <f>_xll.BDP("3428 HK Equity","EQY_TRR_PCT_YTD")</f>
        <v>#N/A N/A</v>
      </c>
      <c r="O169" t="str">
        <f>_xll.BDP("3428 HK Equity","CHG_PCT_YTD")</f>
        <v>#N/A N/A</v>
      </c>
      <c r="P169">
        <f>_xll.BDP("3428 HK Equity","CHG_PCT_1M")</f>
        <v>-7.7477510000000001</v>
      </c>
      <c r="Q169" t="str">
        <f>_xll.BDP("3428 HK Equity","LISTING_DATE")</f>
        <v>3/30/2026</v>
      </c>
      <c r="R169" t="str">
        <f>_xll.BDP("3428 HK Equity","FUND_INCEPT_DT")</f>
        <v>3/27/2026</v>
      </c>
      <c r="S169" t="str">
        <f>_xll.BDP("3428 HK Equity","AVG_DAILY_VALUE_TRADED_3M")</f>
        <v>#N/A N/A</v>
      </c>
      <c r="T169" t="str">
        <f>_xll.BDP("3428 HK Equity","PX596","PX395=HISTORICAL_MARKET_CAP","DY262=D","PY204=N","PX391=20231231","PX392=20231231","DS004=HKD")</f>
        <v>#N/A N/A</v>
      </c>
      <c r="U169" t="str">
        <f>_xll.BDP("3428 HK Equity","PX385","PX395=FUND_FLOW","DY262=D","PY204=N","PX391=20240102","PX392=20240930","DS004=HKD")</f>
        <v>#N/A N/A</v>
      </c>
      <c r="V169" t="str">
        <f>_xll.BDP("3428 HK Equity","PX596","PX395=CUR_MKT_CAP","DY262=D","PY204=N","PX391=20240101","DS004=HKD")</f>
        <v>#N/A N/A</v>
      </c>
      <c r="W169" t="str">
        <f>_xll.BDP("3428 HK Equity","FUND_INCEPT_DT")</f>
        <v>3/27/2026</v>
      </c>
      <c r="X169" t="str">
        <f>_xll.BDP("3428 HK Equity","PX388","PX395=TURNOVER","DY262=D","PY204=N","PX391=20240502","PX392=20240606","DS004=HKD")</f>
        <v>#N/A N/A</v>
      </c>
      <c r="Y169" t="str">
        <f>_xll.BDP("3428 HK Equity","PARENT_COMP_NAME")</f>
        <v>Mirae Asset Global Investments</v>
      </c>
      <c r="Z169" t="str">
        <f>_xll.BDP("3428 HK Equity","NAV_CRNCY")</f>
        <v>HKD</v>
      </c>
      <c r="AA169" t="str">
        <f>_xll.BDP("3428 HK Equity","FUND_GEO_FOCUS")</f>
        <v>Multi</v>
      </c>
      <c r="AB169" t="str">
        <f>_xll.BDP("3428 HK Equity","FUND_ASSET_CLASS_FOCUS")</f>
        <v>Equity</v>
      </c>
      <c r="AC169">
        <f>_xll.BDP("3428 HK Equity","PX_LAST")</f>
        <v>10.24</v>
      </c>
      <c r="AD169">
        <f>_xll.BDP("3428 HK Equity","PX388","PX395=TIME_WAVG_BID_ASK_SPREAD_PCT","DY262=D","PY204=N","PX391=20260601","PX392=20260626")</f>
        <v>0.67355195184722816</v>
      </c>
      <c r="AE169">
        <f>_xll.BDP("3428 HK Equity","PX388","PX395=AVERAGE_BID_ASK_SPREAD_%","DY262=D","PY204=N","PX391=20260601","PX392=20260626")</f>
        <v>0.72894739185350466</v>
      </c>
    </row>
    <row r="170" spans="1:31" x14ac:dyDescent="0.25">
      <c r="A170" t="s">
        <v>195</v>
      </c>
      <c r="B170" t="str">
        <f>_xll.BDP("3430 HK Equity","LONG_COMP_NAME")</f>
        <v>MicroBit Bitcoin Spot ETF</v>
      </c>
      <c r="C170">
        <f>_xll.BDP("3430 HK Equity","PX385","PX395=FUND_FLOW","DY262=D","PY204=N","PX391=20260622","PX392=20260626","DS004=USD")</f>
        <v>0</v>
      </c>
      <c r="D170">
        <f>_xll.BDP("3430 HK Equity","PX388","PX395=TURNOVER","DY262=D","PY204=N","PX391=20260601","PX392=20260626","DS004=HKD")</f>
        <v>18492.847058823532</v>
      </c>
      <c r="E170">
        <f>_xll.BDP("3430 HK Equity","PX388","PX395=TURNOVER","DY262=D","PY204=N","PX391=20250101","PX392=20251231","DS004=HKD")</f>
        <v>209268.85057471256</v>
      </c>
      <c r="F170">
        <f>_xll.BDP("3430 HK Equity","PX596","PX395=FUND_TOTAL_ASSETS","DY262=D","PY204=N","PX391=20260626","PX392=20260626","DS004=USD")</f>
        <v>160.382813</v>
      </c>
      <c r="G170">
        <f>_xll.BDP("3430 HK Equity","PX388","PX395=CUR_MKT_CAP","DY262=D","PY204=N","PX391=20260626","PX392=20260626","DS004=HKD")</f>
        <v>1252.5408</v>
      </c>
      <c r="H170" t="str">
        <f>_xll.BDP("3430 HK Equity","FUND_LEVERAGE_TYPE")</f>
        <v>#N/A N/A</v>
      </c>
      <c r="I170">
        <f>_xll.BDP("3430 HK Equity","PX388","PX395=TURNOVER","DY262=D","PY204=N","PX391=20260101","PX392=20260131","DS004=HKD")</f>
        <v>60001.1</v>
      </c>
      <c r="J170">
        <v>-1</v>
      </c>
      <c r="K170" t="str">
        <f>_xll.BDP("3430 HK Equity","FUND_INCEPT_DT")</f>
        <v>8/21/2025</v>
      </c>
      <c r="L170" t="str">
        <f>_xll.BDP("3430 HK Equity","PX388","PX395=TURNOVER_EXCH_RATIO","DY262=D","PY204=N","PX391=20251201","PX392=20251210")</f>
        <v>#N/A N/A</v>
      </c>
      <c r="M170">
        <f>_xll.BDP("3430 HK Equity","EQY_SH_OUT")</f>
        <v>305.2</v>
      </c>
      <c r="N170">
        <f>_xll.BDP("3430 HK Equity","EQY_TRR_PCT_YTD")</f>
        <v>-31.465679999999999</v>
      </c>
      <c r="O170">
        <f>_xll.BDP("3430 HK Equity","CHG_PCT_YTD")</f>
        <v>-32.259140000000002</v>
      </c>
      <c r="P170">
        <f>_xll.BDP("3430 HK Equity","CHG_PCT_1M")</f>
        <v>-18.440000000000001</v>
      </c>
      <c r="Q170" t="str">
        <f>_xll.BDP("3430 HK Equity","LISTING_DATE")</f>
        <v>8/21/2025</v>
      </c>
      <c r="R170" t="str">
        <f>_xll.BDP("3430 HK Equity","FUND_INCEPT_DT")</f>
        <v>8/21/2025</v>
      </c>
      <c r="S170">
        <f>_xll.BDP("3430 HK Equity","AVG_DAILY_VALUE_TRADED_3M")</f>
        <v>190151.9</v>
      </c>
      <c r="T170" t="str">
        <f>_xll.BDP("3430 HK Equity","PX596","PX395=HISTORICAL_MARKET_CAP","DY262=D","PY204=N","PX391=20231231","PX392=20231231","DS004=HKD")</f>
        <v>#N/A N/A</v>
      </c>
      <c r="U170" t="str">
        <f>_xll.BDP("3430 HK Equity","PX385","PX395=FUND_FLOW","DY262=D","PY204=N","PX391=20240102","PX392=20240930","DS004=HKD")</f>
        <v>#N/A N/A</v>
      </c>
      <c r="V170">
        <f>_xll.BDP("3430 HK Equity","PX596","PX395=CUR_MKT_CAP","DY262=D","PY204=N","PX391=20240101","DS004=HKD")</f>
        <v>1598.31</v>
      </c>
      <c r="W170" t="str">
        <f>_xll.BDP("3430 HK Equity","FUND_INCEPT_DT")</f>
        <v>8/21/2025</v>
      </c>
      <c r="X170" t="str">
        <f>_xll.BDP("3430 HK Equity","PX388","PX395=TURNOVER","DY262=D","PY204=N","PX391=20240502","PX392=20240606","DS004=HKD")</f>
        <v>#N/A N/A</v>
      </c>
      <c r="Y170" t="str">
        <f>_xll.BDP("3430 HK Equity","PARENT_COMP_NAME")</f>
        <v>MicroBit Capital Management Lt</v>
      </c>
      <c r="Z170" t="str">
        <f>_xll.BDP("3430 HK Equity","NAV_CRNCY")</f>
        <v>HKD</v>
      </c>
      <c r="AA170" t="str">
        <f>_xll.BDP("3430 HK Equity","FUND_GEO_FOCUS")</f>
        <v>Global</v>
      </c>
      <c r="AB170" t="str">
        <f>_xll.BDP("3430 HK Equity","FUND_ASSET_CLASS_FOCUS")</f>
        <v>Alternative</v>
      </c>
      <c r="AC170">
        <f>_xll.BDP("3430 HK Equity","PX_LAST")</f>
        <v>4.0780000000000003</v>
      </c>
      <c r="AD170">
        <f>_xll.BDP("3430 HK Equity","PX388","PX395=TIME_WAVG_BID_ASK_SPREAD_PCT","DY262=D","PY204=N","PX391=20260601","PX392=20260626")</f>
        <v>0.37746439827938805</v>
      </c>
      <c r="AE170">
        <f>_xll.BDP("3430 HK Equity","PX388","PX395=AVERAGE_BID_ASK_SPREAD_%","DY262=D","PY204=N","PX391=20260601","PX392=20260626")</f>
        <v>0.43321358026533335</v>
      </c>
    </row>
    <row r="171" spans="1:31" x14ac:dyDescent="0.25">
      <c r="A171" t="s">
        <v>196</v>
      </c>
      <c r="B171" t="str">
        <f>_xll.BDP("3432 HK Equity","LONG_COMP_NAME")</f>
        <v>CSOP MSCI HK China Connect Select ETF</v>
      </c>
      <c r="C171">
        <f>_xll.BDP("3432 HK Equity","PX385","PX395=FUND_FLOW","DY262=D","PY204=N","PX391=20260622","PX392=20260626","DS004=USD")</f>
        <v>0</v>
      </c>
      <c r="D171">
        <f>_xll.BDP("3432 HK Equity","PX388","PX395=TURNOVER","DY262=D","PY204=N","PX391=20260601","PX392=20260626","DS004=HKD")</f>
        <v>379854.50666666665</v>
      </c>
      <c r="E171">
        <f>_xll.BDP("3432 HK Equity","PX388","PX395=TURNOVER","DY262=D","PY204=N","PX391=20250101","PX392=20251231","DS004=HKD")</f>
        <v>1007160.2218934917</v>
      </c>
      <c r="F171">
        <f>_xll.BDP("3432 HK Equity","PX596","PX395=FUND_TOTAL_ASSETS","DY262=D","PY204=N","PX391=20260626","PX392=20260626","DS004=USD")</f>
        <v>1225.2678251424998</v>
      </c>
      <c r="G171">
        <f>_xll.BDP("3432 HK Equity","PX388","PX395=CUR_MKT_CAP","DY262=D","PY204=N","PX391=20260626","PX392=20260626","DS004=HKD")</f>
        <v>9601.57</v>
      </c>
      <c r="H171" t="str">
        <f>_xll.BDP("3432 HK Equity","FUND_LEVERAGE_TYPE")</f>
        <v>#N/A N/A</v>
      </c>
      <c r="I171">
        <f>_xll.BDP("3432 HK Equity","PX388","PX395=TURNOVER","DY262=D","PY204=N","PX391=20260101","PX392=20260131","DS004=HKD")</f>
        <v>318840.125</v>
      </c>
      <c r="J171">
        <v>-1</v>
      </c>
      <c r="K171" t="str">
        <f>_xll.BDP("3432 HK Equity","FUND_INCEPT_DT")</f>
        <v>7/4/2024</v>
      </c>
      <c r="L171" t="str">
        <f>_xll.BDP("3432 HK Equity","PX388","PX395=TURNOVER_EXCH_RATIO","DY262=D","PY204=N","PX391=20251201","PX392=20251210")</f>
        <v>#N/A N/A</v>
      </c>
      <c r="M171">
        <f>_xll.BDP("3432 HK Equity","EQY_SH_OUT")</f>
        <v>105.05</v>
      </c>
      <c r="N171">
        <f>_xll.BDP("3432 HK Equity","EQY_TRR_PCT_YTD")</f>
        <v>-12.543760000000001</v>
      </c>
      <c r="O171">
        <f>_xll.BDP("3432 HK Equity","CHG_PCT_YTD")</f>
        <v>-10.559010000000001</v>
      </c>
      <c r="P171">
        <f>_xll.BDP("3432 HK Equity","CHG_PCT_1M")</f>
        <v>-5.1094879999999998</v>
      </c>
      <c r="Q171" t="str">
        <f>_xll.BDP("3432 HK Equity","LISTING_DATE")</f>
        <v>7/4/2024</v>
      </c>
      <c r="R171" t="str">
        <f>_xll.BDP("3432 HK Equity","FUND_INCEPT_DT")</f>
        <v>7/4/2024</v>
      </c>
      <c r="S171">
        <f>_xll.BDP("3432 HK Equity","AVG_DAILY_VALUE_TRADED_3M")</f>
        <v>544511.30000000005</v>
      </c>
      <c r="T171" t="str">
        <f>_xll.BDP("3432 HK Equity","PX596","PX395=HISTORICAL_MARKET_CAP","DY262=D","PY204=N","PX391=20231231","PX392=20231231","DS004=HKD")</f>
        <v>#N/A N/A</v>
      </c>
      <c r="U171">
        <f>_xll.BDP("3432 HK Equity","PX385","PX395=FUND_FLOW","DY262=D","PY204=N","PX391=20240102","PX392=20240930","DS004=HKD")</f>
        <v>3.7999800000000032</v>
      </c>
      <c r="V171">
        <f>_xll.BDP("3432 HK Equity","PX596","PX395=CUR_MKT_CAP","DY262=D","PY204=N","PX391=20240101","DS004=HKD")</f>
        <v>10951.622500000001</v>
      </c>
      <c r="W171" t="str">
        <f>_xll.BDP("3432 HK Equity","FUND_INCEPT_DT")</f>
        <v>7/4/2024</v>
      </c>
      <c r="X171" t="str">
        <f>_xll.BDP("3432 HK Equity","PX388","PX395=TURNOVER","DY262=D","PY204=N","PX391=20240502","PX392=20240606","DS004=HKD")</f>
        <v>#N/A N/A</v>
      </c>
      <c r="Y171" t="str">
        <f>_xll.BDP("3432 HK Equity","PARENT_COMP_NAME")</f>
        <v>CSOP Asset Management Ltd/Hong</v>
      </c>
      <c r="Z171" t="str">
        <f>_xll.BDP("3432 HK Equity","NAV_CRNCY")</f>
        <v>HKD</v>
      </c>
      <c r="AA171" t="str">
        <f>_xll.BDP("3432 HK Equity","FUND_GEO_FOCUS")</f>
        <v>China</v>
      </c>
      <c r="AB171" t="str">
        <f>_xll.BDP("3432 HK Equity","FUND_ASSET_CLASS_FOCUS")</f>
        <v>Equity</v>
      </c>
      <c r="AC171">
        <f>_xll.BDP("3432 HK Equity","PX_LAST")</f>
        <v>93.6</v>
      </c>
      <c r="AD171">
        <f>_xll.BDP("3432 HK Equity","PX388","PX395=TIME_WAVG_BID_ASK_SPREAD_PCT","DY262=D","PY204=N","PX391=20260601","PX392=20260626")</f>
        <v>0.33052124285856066</v>
      </c>
      <c r="AE171">
        <f>_xll.BDP("3432 HK Equity","PX388","PX395=AVERAGE_BID_ASK_SPREAD_%","DY262=D","PY204=N","PX391=20260601","PX392=20260626")</f>
        <v>0.46617805389749578</v>
      </c>
    </row>
    <row r="172" spans="1:31" x14ac:dyDescent="0.25">
      <c r="A172" t="s">
        <v>197</v>
      </c>
      <c r="B172" t="str">
        <f>_xll.BDP("3434 HK Equity","LONG_COMP_NAME")</f>
        <v>E Fund HK Wind Digital Technology Index ETF</v>
      </c>
      <c r="C172">
        <f>_xll.BDP("3434 HK Equity","PX385","PX395=FUND_FLOW","DY262=D","PY204=N","PX391=20260622","PX392=20260626","DS004=USD")</f>
        <v>0</v>
      </c>
      <c r="D172">
        <f>_xll.BDP("3434 HK Equity","PX388","PX395=TURNOVER","DY262=D","PY204=N","PX391=20260601","PX392=20260626","DS004=HKD")</f>
        <v>36182.647058823524</v>
      </c>
      <c r="E172" t="str">
        <f>_xll.BDP("3434 HK Equity","PX388","PX395=TURNOVER","DY262=D","PY204=N","PX391=20250101","PX392=20251231","DS004=HKD")</f>
        <v>#N/A N/A</v>
      </c>
      <c r="F172">
        <f>_xll.BDP("3434 HK Equity","PX596","PX395=FUND_TOTAL_ASSETS","DY262=D","PY204=N","PX391=20260626","PX392=20260626","DS004=USD")</f>
        <v>1.1605705563560778</v>
      </c>
      <c r="G172">
        <f>_xll.BDP("3434 HK Equity","PX388","PX395=CUR_MKT_CAP","DY262=D","PY204=N","PX391=20260626","PX392=20260626","DS004=HKD")</f>
        <v>8.8199999999999985</v>
      </c>
      <c r="H172" t="str">
        <f>_xll.BDP("3434 HK Equity","FUND_LEVERAGE_TYPE")</f>
        <v>#N/A N/A</v>
      </c>
      <c r="I172" t="str">
        <f>_xll.BDP("3434 HK Equity","PX388","PX395=TURNOVER","DY262=D","PY204=N","PX391=20260101","PX392=20260131","DS004=HKD")</f>
        <v>#N/A N/A</v>
      </c>
      <c r="J172" t="s">
        <v>31</v>
      </c>
      <c r="K172" t="str">
        <f>_xll.BDP("3434 HK Equity","FUND_INCEPT_DT")</f>
        <v>2/4/2026</v>
      </c>
      <c r="L172" t="str">
        <f>_xll.BDP("3434 HK Equity","PX388","PX395=TURNOVER_EXCH_RATIO","DY262=D","PY204=N","PX391=20251201","PX392=20251210")</f>
        <v>#N/A N/A</v>
      </c>
      <c r="M172">
        <f>_xll.BDP("3434 HK Equity","EQY_SH_OUT")</f>
        <v>0.7</v>
      </c>
      <c r="N172" t="str">
        <f>_xll.BDP("3434 HK Equity","EQY_TRR_PCT_YTD")</f>
        <v>#N/A N/A</v>
      </c>
      <c r="O172" t="str">
        <f>_xll.BDP("3434 HK Equity","CHG_PCT_YTD")</f>
        <v>#N/A N/A</v>
      </c>
      <c r="P172">
        <f>_xll.BDP("3434 HK Equity","CHG_PCT_1M")</f>
        <v>-10.616440000000001</v>
      </c>
      <c r="Q172" t="str">
        <f>_xll.BDP("3434 HK Equity","LISTING_DATE")</f>
        <v>2/6/2026</v>
      </c>
      <c r="R172" t="str">
        <f>_xll.BDP("3434 HK Equity","FUND_INCEPT_DT")</f>
        <v>2/4/2026</v>
      </c>
      <c r="S172">
        <f>_xll.BDP("3434 HK Equity","AVG_DAILY_VALUE_TRADED_3M")</f>
        <v>79963.539999999994</v>
      </c>
      <c r="T172" t="str">
        <f>_xll.BDP("3434 HK Equity","PX596","PX395=HISTORICAL_MARKET_CAP","DY262=D","PY204=N","PX391=20231231","PX392=20231231","DS004=HKD")</f>
        <v>#N/A N/A</v>
      </c>
      <c r="U172" t="str">
        <f>_xll.BDP("3434 HK Equity","PX385","PX395=FUND_FLOW","DY262=D","PY204=N","PX391=20240102","PX392=20240930","DS004=HKD")</f>
        <v>#N/A N/A</v>
      </c>
      <c r="V172" t="str">
        <f>_xll.BDP("3434 HK Equity","PX596","PX395=CUR_MKT_CAP","DY262=D","PY204=N","PX391=20240101","DS004=HKD")</f>
        <v>#N/A N/A</v>
      </c>
      <c r="W172" t="str">
        <f>_xll.BDP("3434 HK Equity","FUND_INCEPT_DT")</f>
        <v>2/4/2026</v>
      </c>
      <c r="X172" t="str">
        <f>_xll.BDP("3434 HK Equity","PX388","PX395=TURNOVER","DY262=D","PY204=N","PX391=20240502","PX392=20240606","DS004=HKD")</f>
        <v>#N/A N/A</v>
      </c>
      <c r="Y172" t="str">
        <f>_xll.BDP("3434 HK Equity","PARENT_COMP_NAME")</f>
        <v>E Fund Management Hong Kong Co</v>
      </c>
      <c r="Z172" t="str">
        <f>_xll.BDP("3434 HK Equity","NAV_CRNCY")</f>
        <v>HKD</v>
      </c>
      <c r="AA172" t="str">
        <f>_xll.BDP("3434 HK Equity","FUND_GEO_FOCUS")</f>
        <v>Global</v>
      </c>
      <c r="AB172" t="str">
        <f>_xll.BDP("3434 HK Equity","FUND_ASSET_CLASS_FOCUS")</f>
        <v>Equity</v>
      </c>
      <c r="AC172">
        <f>_xll.BDP("3434 HK Equity","PX_LAST")</f>
        <v>13.05</v>
      </c>
      <c r="AD172">
        <f>_xll.BDP("3434 HK Equity","PX388","PX395=TIME_WAVG_BID_ASK_SPREAD_PCT","DY262=D","PY204=N","PX391=20260601","PX392=20260626")</f>
        <v>0.63784412795969037</v>
      </c>
      <c r="AE172">
        <f>_xll.BDP("3434 HK Equity","PX388","PX395=AVERAGE_BID_ASK_SPREAD_%","DY262=D","PY204=N","PX391=20260601","PX392=20260626")</f>
        <v>0.8933759462574995</v>
      </c>
    </row>
    <row r="173" spans="1:31" x14ac:dyDescent="0.25">
      <c r="A173" t="s">
        <v>198</v>
      </c>
      <c r="B173" t="str">
        <f>_xll.BDP("3435 HK Equity","LONG_COMP_NAME")</f>
        <v>HANG SENG CMS BLOOMBERG US TREASURY 7-10 YEAR INDEX ETF - HKD Counter</v>
      </c>
      <c r="C173">
        <f>_xll.BDP("3435 HK Equity","PX385","PX395=FUND_FLOW","DY262=D","PY204=N","PX391=20260622","PX392=20260626","DS004=USD")</f>
        <v>0</v>
      </c>
      <c r="D173">
        <f>_xll.BDP("3435 HK Equity","PX388","PX395=TURNOVER","DY262=D","PY204=N","PX391=20260601","PX392=20260626","DS004=HKD")</f>
        <v>647871</v>
      </c>
      <c r="E173">
        <f>_xll.BDP("3435 HK Equity","PX388","PX395=TURNOVER","DY262=D","PY204=N","PX391=20250101","PX392=20251231","DS004=HKD")</f>
        <v>412355.54079999996</v>
      </c>
      <c r="F173">
        <f>_xll.BDP("3435 HK Equity","PX596","PX395=FUND_TOTAL_ASSETS","DY262=D","PY204=N","PX391=20260626","PX392=20260626","DS004=USD")</f>
        <v>25.038949339999999</v>
      </c>
      <c r="G173">
        <f>_xll.BDP("3435 HK Equity","PX388","PX395=CUR_MKT_CAP","DY262=D","PY204=N","PX391=20260626","PX392=20260626","DS004=HKD")</f>
        <v>102.114</v>
      </c>
      <c r="H173" t="str">
        <f>_xll.BDP("3435 HK Equity","FUND_LEVERAGE_TYPE")</f>
        <v>#N/A N/A</v>
      </c>
      <c r="I173">
        <f>_xll.BDP("3435 HK Equity","PX388","PX395=TURNOVER","DY262=D","PY204=N","PX391=20260101","PX392=20260131","DS004=HKD")</f>
        <v>466375.64285714272</v>
      </c>
      <c r="J173">
        <v>-1</v>
      </c>
      <c r="K173" t="str">
        <f>_xll.BDP("3435 HK Equity","FUND_INCEPT_DT")</f>
        <v>9/12/2024</v>
      </c>
      <c r="L173" t="str">
        <f>_xll.BDP("3435 HK Equity","PX388","PX395=TURNOVER_EXCH_RATIO","DY262=D","PY204=N","PX391=20251201","PX392=20251210")</f>
        <v>#N/A N/A</v>
      </c>
      <c r="M173">
        <f>_xll.BDP("3435 HK Equity","EQY_SH_OUT")</f>
        <v>1.3499999999999999</v>
      </c>
      <c r="N173">
        <f>_xll.BDP("3435 HK Equity","EQY_TRR_PCT_YTD")</f>
        <v>-0.1212934</v>
      </c>
      <c r="O173">
        <f>_xll.BDP("3435 HK Equity","CHG_PCT_YTD")</f>
        <v>-1.5360579999999999</v>
      </c>
      <c r="P173">
        <f>_xll.BDP("3435 HK Equity","CHG_PCT_1M")</f>
        <v>0.79957230000000001</v>
      </c>
      <c r="Q173" t="str">
        <f>_xll.BDP("3435 HK Equity","LISTING_DATE")</f>
        <v>9/16/2024</v>
      </c>
      <c r="R173" t="str">
        <f>_xll.BDP("3435 HK Equity","FUND_INCEPT_DT")</f>
        <v>9/12/2024</v>
      </c>
      <c r="S173">
        <f>_xll.BDP("3435 HK Equity","AVG_DAILY_VALUE_TRADED_3M")</f>
        <v>377702.40000000002</v>
      </c>
      <c r="T173" t="str">
        <f>_xll.BDP("3435 HK Equity","PX596","PX395=HISTORICAL_MARKET_CAP","DY262=D","PY204=N","PX391=20231231","PX392=20231231","DS004=HKD")</f>
        <v>#N/A N/A</v>
      </c>
      <c r="U173">
        <f>_xll.BDP("3435 HK Equity","PX385","PX395=FUND_FLOW","DY262=D","PY204=N","PX391=20240102","PX392=20240930","DS004=HKD")</f>
        <v>15.461920759999996</v>
      </c>
      <c r="V173">
        <f>_xll.BDP("3435 HK Equity","PX596","PX395=CUR_MKT_CAP","DY262=D","PY204=N","PX391=20240101","DS004=HKD")</f>
        <v>92.183999999999983</v>
      </c>
      <c r="W173" t="str">
        <f>_xll.BDP("3435 HK Equity","FUND_INCEPT_DT")</f>
        <v>9/12/2024</v>
      </c>
      <c r="X173" t="str">
        <f>_xll.BDP("3435 HK Equity","PX388","PX395=TURNOVER","DY262=D","PY204=N","PX391=20240502","PX392=20240606","DS004=HKD")</f>
        <v>#N/A N/A</v>
      </c>
      <c r="Y173" t="str">
        <f>_xll.BDP("3435 HK Equity","PARENT_COMP_NAME")</f>
        <v>Hang Seng Investment Managemen</v>
      </c>
      <c r="Z173" t="str">
        <f>_xll.BDP("3435 HK Equity","NAV_CRNCY")</f>
        <v>USD</v>
      </c>
      <c r="AA173" t="str">
        <f>_xll.BDP("3435 HK Equity","FUND_GEO_FOCUS")</f>
        <v>U.S.</v>
      </c>
      <c r="AB173" t="str">
        <f>_xll.BDP("3435 HK Equity","FUND_ASSET_CLASS_FOCUS")</f>
        <v>Fixed Income</v>
      </c>
      <c r="AC173">
        <f>_xll.BDP("3435 HK Equity","PX_LAST")</f>
        <v>75.64</v>
      </c>
      <c r="AD173">
        <f>_xll.BDP("3435 HK Equity","PX388","PX395=TIME_WAVG_BID_ASK_SPREAD_PCT","DY262=D","PY204=N","PX391=20260601","PX392=20260626")</f>
        <v>9.9952092065296844E-2</v>
      </c>
      <c r="AE173">
        <f>_xll.BDP("3435 HK Equity","PX388","PX395=AVERAGE_BID_ASK_SPREAD_%","DY262=D","PY204=N","PX391=20260601","PX392=20260626")</f>
        <v>0.21782852532114541</v>
      </c>
    </row>
    <row r="174" spans="1:31" x14ac:dyDescent="0.25">
      <c r="A174" t="s">
        <v>199</v>
      </c>
      <c r="B174" t="str">
        <f>_xll.BDP("3436 HK Equity","LONG_COMP_NAME")</f>
        <v>HANG SENG CMS BLOOMBERG US TREASURY 1-3 YEAR INDEX ETF - HKD Counter</v>
      </c>
      <c r="C174">
        <f>_xll.BDP("3436 HK Equity","PX385","PX395=FUND_FLOW","DY262=D","PY204=N","PX391=20260622","PX392=20260626","DS004=USD")</f>
        <v>0</v>
      </c>
      <c r="D174">
        <f>_xll.BDP("3436 HK Equity","PX388","PX395=TURNOVER","DY262=D","PY204=N","PX391=20260601","PX392=20260626","DS004=HKD")</f>
        <v>306968.08888888889</v>
      </c>
      <c r="E174">
        <f>_xll.BDP("3436 HK Equity","PX388","PX395=TURNOVER","DY262=D","PY204=N","PX391=20250101","PX392=20251231","DS004=HKD")</f>
        <v>516704.3648000001</v>
      </c>
      <c r="F174">
        <f>_xll.BDP("3436 HK Equity","PX596","PX395=FUND_TOTAL_ASSETS","DY262=D","PY204=N","PX391=20260626","PX392=20260626","DS004=USD")</f>
        <v>24.141853560000001</v>
      </c>
      <c r="G174">
        <f>_xll.BDP("3436 HK Equity","PX388","PX395=CUR_MKT_CAP","DY262=D","PY204=N","PX391=20260626","PX392=20260626","DS004=HKD")</f>
        <v>93.335999999999999</v>
      </c>
      <c r="H174" t="str">
        <f>_xll.BDP("3436 HK Equity","FUND_LEVERAGE_TYPE")</f>
        <v>#N/A N/A</v>
      </c>
      <c r="I174">
        <f>_xll.BDP("3436 HK Equity","PX388","PX395=TURNOVER","DY262=D","PY204=N","PX391=20260101","PX392=20260131","DS004=HKD")</f>
        <v>276992.90476190473</v>
      </c>
      <c r="J174">
        <v>-1</v>
      </c>
      <c r="K174" t="str">
        <f>_xll.BDP("3436 HK Equity","FUND_INCEPT_DT")</f>
        <v>9/12/2024</v>
      </c>
      <c r="L174" t="str">
        <f>_xll.BDP("3436 HK Equity","PX388","PX395=TURNOVER_EXCH_RATIO","DY262=D","PY204=N","PX391=20251201","PX392=20251210")</f>
        <v>#N/A N/A</v>
      </c>
      <c r="M174">
        <f>_xll.BDP("3436 HK Equity","EQY_SH_OUT")</f>
        <v>1.2</v>
      </c>
      <c r="N174">
        <f>_xll.BDP("3436 HK Equity","EQY_TRR_PCT_YTD")</f>
        <v>0.36090129999999998</v>
      </c>
      <c r="O174">
        <f>_xll.BDP("3436 HK Equity","CHG_PCT_YTD")</f>
        <v>-0.76549789999999995</v>
      </c>
      <c r="P174">
        <f>_xll.BDP("3436 HK Equity","CHG_PCT_1M")</f>
        <v>0.102964</v>
      </c>
      <c r="Q174" t="str">
        <f>_xll.BDP("3436 HK Equity","LISTING_DATE")</f>
        <v>9/16/2024</v>
      </c>
      <c r="R174" t="str">
        <f>_xll.BDP("3436 HK Equity","FUND_INCEPT_DT")</f>
        <v>9/12/2024</v>
      </c>
      <c r="S174">
        <f>_xll.BDP("3436 HK Equity","AVG_DAILY_VALUE_TRADED_3M")</f>
        <v>463436.79999999999</v>
      </c>
      <c r="T174" t="str">
        <f>_xll.BDP("3436 HK Equity","PX596","PX395=HISTORICAL_MARKET_CAP","DY262=D","PY204=N","PX391=20231231","PX392=20231231","DS004=HKD")</f>
        <v>#N/A N/A</v>
      </c>
      <c r="U174">
        <f>_xll.BDP("3436 HK Equity","PX385","PX395=FUND_FLOW","DY262=D","PY204=N","PX391=20240102","PX392=20240930","DS004=HKD")</f>
        <v>0</v>
      </c>
      <c r="V174">
        <f>_xll.BDP("3436 HK Equity","PX596","PX395=CUR_MKT_CAP","DY262=D","PY204=N","PX391=20240101","DS004=HKD")</f>
        <v>78.38</v>
      </c>
      <c r="W174" t="str">
        <f>_xll.BDP("3436 HK Equity","FUND_INCEPT_DT")</f>
        <v>9/12/2024</v>
      </c>
      <c r="X174" t="str">
        <f>_xll.BDP("3436 HK Equity","PX388","PX395=TURNOVER","DY262=D","PY204=N","PX391=20240502","PX392=20240606","DS004=HKD")</f>
        <v>#N/A N/A</v>
      </c>
      <c r="Y174" t="str">
        <f>_xll.BDP("3436 HK Equity","PARENT_COMP_NAME")</f>
        <v>Hang Seng Investment Managemen</v>
      </c>
      <c r="Z174" t="str">
        <f>_xll.BDP("3436 HK Equity","NAV_CRNCY")</f>
        <v>USD</v>
      </c>
      <c r="AA174" t="str">
        <f>_xll.BDP("3436 HK Equity","FUND_GEO_FOCUS")</f>
        <v>U.S.</v>
      </c>
      <c r="AB174" t="str">
        <f>_xll.BDP("3436 HK Equity","FUND_ASSET_CLASS_FOCUS")</f>
        <v>Fixed Income</v>
      </c>
      <c r="AC174">
        <f>_xll.BDP("3436 HK Equity","PX_LAST")</f>
        <v>77.78</v>
      </c>
      <c r="AD174">
        <f>_xll.BDP("3436 HK Equity","PX388","PX395=TIME_WAVG_BID_ASK_SPREAD_PCT","DY262=D","PY204=N","PX391=20260601","PX392=20260626")</f>
        <v>7.3837938242737822E-2</v>
      </c>
      <c r="AE174">
        <f>_xll.BDP("3436 HK Equity","PX388","PX395=AVERAGE_BID_ASK_SPREAD_%","DY262=D","PY204=N","PX391=20260601","PX392=20260626")</f>
        <v>8.4112970485002186E-2</v>
      </c>
    </row>
    <row r="175" spans="1:31" x14ac:dyDescent="0.25">
      <c r="A175" t="s">
        <v>200</v>
      </c>
      <c r="B175" t="str">
        <f>_xll.BDP("3440 HK Equity","LONG_COMP_NAME")</f>
        <v>Global X US Treasury 0-3 Month ETF</v>
      </c>
      <c r="C175">
        <f>_xll.BDP("3440 HK Equity","PX385","PX395=FUND_FLOW","DY262=D","PY204=N","PX391=20260622","PX392=20260626","DS004=USD")</f>
        <v>0</v>
      </c>
      <c r="D175">
        <f>_xll.BDP("3440 HK Equity","PX388","PX395=TURNOVER","DY262=D","PY204=N","PX391=20260601","PX392=20260626","DS004=HKD")</f>
        <v>1717945.3157894732</v>
      </c>
      <c r="E175">
        <f>_xll.BDP("3440 HK Equity","PX388","PX395=TURNOVER","DY262=D","PY204=N","PX391=20250101","PX392=20251231","DS004=HKD")</f>
        <v>458709.83300469461</v>
      </c>
      <c r="F175">
        <f>_xll.BDP("3440 HK Equity","PX596","PX395=FUND_TOTAL_ASSETS","DY262=D","PY204=N","PX391=20260626","PX392=20260626","DS004=USD")</f>
        <v>33.191667673199774</v>
      </c>
      <c r="G175">
        <f>_xll.BDP("3440 HK Equity","PX388","PX395=CUR_MKT_CAP","DY262=D","PY204=N","PX391=20260626","PX392=20260626","DS004=HKD")</f>
        <v>260.88960000000003</v>
      </c>
      <c r="H175" t="str">
        <f>_xll.BDP("3440 HK Equity","FUND_LEVERAGE_TYPE")</f>
        <v>#N/A N/A</v>
      </c>
      <c r="I175">
        <f>_xll.BDP("3440 HK Equity","PX388","PX395=TURNOVER","DY262=D","PY204=N","PX391=20260101","PX392=20260131","DS004=HKD")</f>
        <v>328164.12952380948</v>
      </c>
      <c r="J175">
        <v>-1</v>
      </c>
      <c r="K175" t="str">
        <f>_xll.BDP("3440 HK Equity","FUND_INCEPT_DT")</f>
        <v>12/13/2024</v>
      </c>
      <c r="L175" t="str">
        <f>_xll.BDP("3440 HK Equity","PX388","PX395=TURNOVER_EXCH_RATIO","DY262=D","PY204=N","PX391=20251201","PX392=20251210")</f>
        <v>#N/A N/A</v>
      </c>
      <c r="M175">
        <f>_xll.BDP("3440 HK Equity","EQY_SH_OUT")</f>
        <v>4.74</v>
      </c>
      <c r="N175">
        <f>_xll.BDP("3440 HK Equity","EQY_TRR_PCT_YTD")</f>
        <v>2.470761</v>
      </c>
      <c r="O175">
        <f>_xll.BDP("3440 HK Equity","CHG_PCT_YTD")</f>
        <v>0.62248460000000005</v>
      </c>
      <c r="P175">
        <f>_xll.BDP("3440 HK Equity","CHG_PCT_1M")</f>
        <v>-1.1155120000000001</v>
      </c>
      <c r="Q175" t="str">
        <f>_xll.BDP("3440 HK Equity","LISTING_DATE")</f>
        <v>12/13/2024</v>
      </c>
      <c r="R175" t="str">
        <f>_xll.BDP("3440 HK Equity","FUND_INCEPT_DT")</f>
        <v>12/13/2024</v>
      </c>
      <c r="S175">
        <f>_xll.BDP("3440 HK Equity","AVG_DAILY_VALUE_TRADED_3M")</f>
        <v>2164068</v>
      </c>
      <c r="T175" t="str">
        <f>_xll.BDP("3440 HK Equity","PX596","PX395=HISTORICAL_MARKET_CAP","DY262=D","PY204=N","PX391=20231231","PX392=20231231","DS004=HKD")</f>
        <v>#N/A N/A</v>
      </c>
      <c r="U175" t="str">
        <f>_xll.BDP("3440 HK Equity","PX385","PX395=FUND_FLOW","DY262=D","PY204=N","PX391=20240102","PX392=20240930","DS004=HKD")</f>
        <v>#N/A N/A</v>
      </c>
      <c r="V175">
        <f>_xll.BDP("3440 HK Equity","PX596","PX395=CUR_MKT_CAP","DY262=D","PY204=N","PX391=20240101","DS004=HKD")</f>
        <v>116.34059999999999</v>
      </c>
      <c r="W175" t="str">
        <f>_xll.BDP("3440 HK Equity","FUND_INCEPT_DT")</f>
        <v>12/13/2024</v>
      </c>
      <c r="X175" t="str">
        <f>_xll.BDP("3440 HK Equity","PX388","PX395=TURNOVER","DY262=D","PY204=N","PX391=20240502","PX392=20240606","DS004=HKD")</f>
        <v>#N/A N/A</v>
      </c>
      <c r="Y175" t="str">
        <f>_xll.BDP("3440 HK Equity","PARENT_COMP_NAME")</f>
        <v>Mirae Asset Global Investments</v>
      </c>
      <c r="Z175" t="str">
        <f>_xll.BDP("3440 HK Equity","NAV_CRNCY")</f>
        <v>HKD</v>
      </c>
      <c r="AA175" t="str">
        <f>_xll.BDP("3440 HK Equity","FUND_GEO_FOCUS")</f>
        <v>U.S.</v>
      </c>
      <c r="AB175" t="str">
        <f>_xll.BDP("3440 HK Equity","FUND_ASSET_CLASS_FOCUS")</f>
        <v>Fixed Income</v>
      </c>
      <c r="AC175">
        <f>_xll.BDP("3440 HK Equity","PX_LAST")</f>
        <v>54.96</v>
      </c>
      <c r="AD175">
        <f>_xll.BDP("3440 HK Equity","PX388","PX395=TIME_WAVG_BID_ASK_SPREAD_PCT","DY262=D","PY204=N","PX391=20260601","PX392=20260626")</f>
        <v>0.22082997500522478</v>
      </c>
      <c r="AE175">
        <f>_xll.BDP("3440 HK Equity","PX388","PX395=AVERAGE_BID_ASK_SPREAD_%","DY262=D","PY204=N","PX391=20260601","PX392=20260626")</f>
        <v>0.27744439731601978</v>
      </c>
    </row>
    <row r="176" spans="1:31" x14ac:dyDescent="0.25">
      <c r="A176" t="s">
        <v>201</v>
      </c>
      <c r="B176" t="str">
        <f>_xll.BDP("3442 HK Equity","LONG_COMP_NAME")</f>
        <v>CSOP Hang Seng HK-US TECH ETF</v>
      </c>
      <c r="C176">
        <f>_xll.BDP("3442 HK Equity","PX385","PX395=FUND_FLOW","DY262=D","PY204=N","PX391=20260622","PX392=20260626","DS004=USD")</f>
        <v>0</v>
      </c>
      <c r="D176">
        <f>_xll.BDP("3442 HK Equity","PX388","PX395=TURNOVER","DY262=D","PY204=N","PX391=20260601","PX392=20260626","DS004=HKD")</f>
        <v>9651190.1052631568</v>
      </c>
      <c r="E176">
        <f>_xll.BDP("3442 HK Equity","PX388","PX395=TURNOVER","DY262=D","PY204=N","PX391=20250101","PX392=20251231","DS004=HKD")</f>
        <v>4840425.5872093029</v>
      </c>
      <c r="F176">
        <f>_xll.BDP("3442 HK Equity","PX596","PX395=FUND_TOTAL_ASSETS","DY262=D","PY204=N","PX391=20260626","PX392=20260626","DS004=USD")</f>
        <v>75.470296418051262</v>
      </c>
      <c r="G176">
        <f>_xll.BDP("3442 HK Equity","PX388","PX395=CUR_MKT_CAP","DY262=D","PY204=N","PX391=20260626","PX392=20260626","DS004=HKD")</f>
        <v>586.4425</v>
      </c>
      <c r="H176" t="str">
        <f>_xll.BDP("3442 HK Equity","FUND_LEVERAGE_TYPE")</f>
        <v>#N/A N/A</v>
      </c>
      <c r="I176">
        <f>_xll.BDP("3442 HK Equity","PX388","PX395=TURNOVER","DY262=D","PY204=N","PX391=20260101","PX392=20260131","DS004=HKD")</f>
        <v>4221218.1428571427</v>
      </c>
      <c r="J176">
        <v>-1</v>
      </c>
      <c r="K176" t="str">
        <f>_xll.BDP("3442 HK Equity","FUND_INCEPT_DT")</f>
        <v>3/31/2025</v>
      </c>
      <c r="L176" t="str">
        <f>_xll.BDP("3442 HK Equity","PX388","PX395=TURNOVER_EXCH_RATIO","DY262=D","PY204=N","PX391=20251201","PX392=20251210")</f>
        <v>#N/A N/A</v>
      </c>
      <c r="M176">
        <f>_xll.BDP("3442 HK Equity","EQY_SH_OUT")</f>
        <v>80.5</v>
      </c>
      <c r="N176">
        <f>_xll.BDP("3442 HK Equity","EQY_TRR_PCT_YTD")</f>
        <v>-15.513109999999999</v>
      </c>
      <c r="O176">
        <f>_xll.BDP("3442 HK Equity","CHG_PCT_YTD")</f>
        <v>-16.1435</v>
      </c>
      <c r="P176">
        <f>_xll.BDP("3442 HK Equity","CHG_PCT_1M")</f>
        <v>-11.583920000000001</v>
      </c>
      <c r="Q176" t="str">
        <f>_xll.BDP("3442 HK Equity","LISTING_DATE")</f>
        <v>3/31/2025</v>
      </c>
      <c r="R176" t="str">
        <f>_xll.BDP("3442 HK Equity","FUND_INCEPT_DT")</f>
        <v>3/31/2025</v>
      </c>
      <c r="S176">
        <f>_xll.BDP("3442 HK Equity","AVG_DAILY_VALUE_TRADED_3M")</f>
        <v>4722697</v>
      </c>
      <c r="T176" t="str">
        <f>_xll.BDP("3442 HK Equity","PX596","PX395=HISTORICAL_MARKET_CAP","DY262=D","PY204=N","PX391=20231231","PX392=20231231","DS004=HKD")</f>
        <v>#N/A N/A</v>
      </c>
      <c r="U176" t="str">
        <f>_xll.BDP("3442 HK Equity","PX385","PX395=FUND_FLOW","DY262=D","PY204=N","PX391=20240102","PX392=20240930","DS004=HKD")</f>
        <v>#N/A N/A</v>
      </c>
      <c r="V176">
        <f>_xll.BDP("3442 HK Equity","PX596","PX395=CUR_MKT_CAP","DY262=D","PY204=N","PX391=20240101","DS004=HKD")</f>
        <v>762.66</v>
      </c>
      <c r="W176" t="str">
        <f>_xll.BDP("3442 HK Equity","FUND_INCEPT_DT")</f>
        <v>3/31/2025</v>
      </c>
      <c r="X176" t="str">
        <f>_xll.BDP("3442 HK Equity","PX388","PX395=TURNOVER","DY262=D","PY204=N","PX391=20240502","PX392=20240606","DS004=HKD")</f>
        <v>#N/A N/A</v>
      </c>
      <c r="Y176" t="str">
        <f>_xll.BDP("3442 HK Equity","PARENT_COMP_NAME")</f>
        <v>CSOP Asset Management Ltd/Hong</v>
      </c>
      <c r="Z176" t="str">
        <f>_xll.BDP("3442 HK Equity","NAV_CRNCY")</f>
        <v>HKD</v>
      </c>
      <c r="AA176" t="str">
        <f>_xll.BDP("3442 HK Equity","FUND_GEO_FOCUS")</f>
        <v>Multi</v>
      </c>
      <c r="AB176" t="str">
        <f>_xll.BDP("3442 HK Equity","FUND_ASSET_CLASS_FOCUS")</f>
        <v>Equity</v>
      </c>
      <c r="AC176">
        <f>_xll.BDP("3442 HK Equity","PX_LAST")</f>
        <v>7.48</v>
      </c>
      <c r="AD176">
        <f>_xll.BDP("3442 HK Equity","PX388","PX395=TIME_WAVG_BID_ASK_SPREAD_PCT","DY262=D","PY204=N","PX391=20260601","PX392=20260626")</f>
        <v>0.14071312112093443</v>
      </c>
      <c r="AE176">
        <f>_xll.BDP("3442 HK Equity","PX388","PX395=AVERAGE_BID_ASK_SPREAD_%","DY262=D","PY204=N","PX391=20260601","PX392=20260626")</f>
        <v>0.17492301287614787</v>
      </c>
    </row>
    <row r="177" spans="1:31" x14ac:dyDescent="0.25">
      <c r="A177" t="s">
        <v>202</v>
      </c>
      <c r="B177" t="str">
        <f>_xll.BDP("3444 HK Equity","LONG_COMP_NAME")</f>
        <v>HANG SENG FTSE HONG KONG EQUITY ETF</v>
      </c>
      <c r="C177">
        <f>_xll.BDP("3444 HK Equity","PX385","PX395=FUND_FLOW","DY262=D","PY204=N","PX391=20260622","PX392=20260626","DS004=USD")</f>
        <v>0</v>
      </c>
      <c r="D177">
        <f>_xll.BDP("3444 HK Equity","PX388","PX395=TURNOVER","DY262=D","PY204=N","PX391=20260601","PX392=20260626","DS004=HKD")</f>
        <v>12330.75</v>
      </c>
      <c r="E177" t="str">
        <f>_xll.BDP("3444 HK Equity","PX388","PX395=TURNOVER","DY262=D","PY204=N","PX391=20250101","PX392=20251231","DS004=HKD")</f>
        <v>#N/A N/A</v>
      </c>
      <c r="F177">
        <f>_xll.BDP("3444 HK Equity","PX596","PX395=FUND_TOTAL_ASSETS","DY262=D","PY204=N","PX391=20260626","PX392=20260626","DS004=USD")</f>
        <v>10.79571843766338</v>
      </c>
      <c r="G177">
        <f>_xll.BDP("3444 HK Equity","PX388","PX395=CUR_MKT_CAP","DY262=D","PY204=N","PX391=20260626","PX392=20260626","DS004=HKD")</f>
        <v>84.734999999999999</v>
      </c>
      <c r="H177" t="str">
        <f>_xll.BDP("3444 HK Equity","FUND_LEVERAGE_TYPE")</f>
        <v>#N/A N/A</v>
      </c>
      <c r="I177" t="str">
        <f>_xll.BDP("3444 HK Equity","PX388","PX395=TURNOVER","DY262=D","PY204=N","PX391=20260101","PX392=20260131","DS004=HKD")</f>
        <v>#N/A N/A</v>
      </c>
      <c r="J177" t="s">
        <v>31</v>
      </c>
      <c r="K177" t="str">
        <f>_xll.BDP("3444 HK Equity","FUND_INCEPT_DT")</f>
        <v>5/13/2026</v>
      </c>
      <c r="L177" t="str">
        <f>_xll.BDP("3444 HK Equity","PX388","PX395=TURNOVER_EXCH_RATIO","DY262=D","PY204=N","PX391=20251201","PX392=20251210")</f>
        <v>#N/A N/A</v>
      </c>
      <c r="M177">
        <f>_xll.BDP("3444 HK Equity","EQY_SH_OUT")</f>
        <v>12.6</v>
      </c>
      <c r="N177" t="str">
        <f>_xll.BDP("3444 HK Equity","EQY_TRR_PCT_YTD")</f>
        <v>#N/A N/A</v>
      </c>
      <c r="O177" t="str">
        <f>_xll.BDP("3444 HK Equity","CHG_PCT_YTD")</f>
        <v>#N/A N/A</v>
      </c>
      <c r="P177">
        <f>_xll.BDP("3444 HK Equity","CHG_PCT_1M")</f>
        <v>-7.4223999999999997</v>
      </c>
      <c r="Q177" t="str">
        <f>_xll.BDP("3444 HK Equity","LISTING_DATE")</f>
        <v>5/15/2026</v>
      </c>
      <c r="R177" t="str">
        <f>_xll.BDP("3444 HK Equity","FUND_INCEPT_DT")</f>
        <v>5/13/2026</v>
      </c>
      <c r="S177" t="str">
        <f>_xll.BDP("3444 HK Equity","AVG_DAILY_VALUE_TRADED_3M")</f>
        <v>#N/A N/A</v>
      </c>
      <c r="T177" t="str">
        <f>_xll.BDP("3444 HK Equity","PX596","PX395=HISTORICAL_MARKET_CAP","DY262=D","PY204=N","PX391=20231231","PX392=20231231","DS004=HKD")</f>
        <v>#N/A N/A</v>
      </c>
      <c r="U177" t="str">
        <f>_xll.BDP("3444 HK Equity","PX385","PX395=FUND_FLOW","DY262=D","PY204=N","PX391=20240102","PX392=20240930","DS004=HKD")</f>
        <v>#N/A N/A</v>
      </c>
      <c r="V177" t="str">
        <f>_xll.BDP("3444 HK Equity","PX596","PX395=CUR_MKT_CAP","DY262=D","PY204=N","PX391=20240101","DS004=HKD")</f>
        <v>#N/A N/A</v>
      </c>
      <c r="W177" t="str">
        <f>_xll.BDP("3444 HK Equity","FUND_INCEPT_DT")</f>
        <v>5/13/2026</v>
      </c>
      <c r="X177" t="str">
        <f>_xll.BDP("3444 HK Equity","PX388","PX395=TURNOVER","DY262=D","PY204=N","PX391=20240502","PX392=20240606","DS004=HKD")</f>
        <v>#N/A N/A</v>
      </c>
      <c r="Y177" t="str">
        <f>_xll.BDP("3444 HK Equity","PARENT_COMP_NAME")</f>
        <v>Hang Seng Investment Managemen</v>
      </c>
      <c r="Z177" t="str">
        <f>_xll.BDP("3444 HK Equity","NAV_CRNCY")</f>
        <v>HKD</v>
      </c>
      <c r="AA177" t="str">
        <f>_xll.BDP("3444 HK Equity","FUND_GEO_FOCUS")</f>
        <v>Hong Kong</v>
      </c>
      <c r="AB177" t="str">
        <f>_xll.BDP("3444 HK Equity","FUND_ASSET_CLASS_FOCUS")</f>
        <v>Equity</v>
      </c>
      <c r="AC177">
        <f>_xll.BDP("3444 HK Equity","PX_LAST")</f>
        <v>6.86</v>
      </c>
      <c r="AD177">
        <f>_xll.BDP("3444 HK Equity","PX388","PX395=TIME_WAVG_BID_ASK_SPREAD_PCT","DY262=D","PY204=N","PX391=20260601","PX392=20260626")</f>
        <v>0.42725111091335899</v>
      </c>
      <c r="AE177">
        <f>_xll.BDP("3444 HK Equity","PX388","PX395=AVERAGE_BID_ASK_SPREAD_%","DY262=D","PY204=N","PX391=20260601","PX392=20260626")</f>
        <v>0.4580126695418229</v>
      </c>
    </row>
    <row r="178" spans="1:31" x14ac:dyDescent="0.25">
      <c r="A178" t="s">
        <v>203</v>
      </c>
      <c r="B178" t="str">
        <f>_xll.BDP("3447 HK Equity","LONG_COMP_NAME")</f>
        <v>CSOP ETF Series II -CSOP FTSE Asia Pacific Select REITs ETF</v>
      </c>
      <c r="C178">
        <f>_xll.BDP("3447 HK Equity","PX385","PX395=FUND_FLOW","DY262=D","PY204=N","PX391=20260622","PX392=20260626","DS004=USD")</f>
        <v>0</v>
      </c>
      <c r="D178">
        <f>_xll.BDP("3447 HK Equity","PX388","PX395=TURNOVER","DY262=D","PY204=N","PX391=20260601","PX392=20260626","DS004=HKD")</f>
        <v>270046.5</v>
      </c>
      <c r="E178">
        <f>_xll.BDP("3447 HK Equity","PX388","PX395=TURNOVER","DY262=D","PY204=N","PX391=20250101","PX392=20251231","DS004=HKD")</f>
        <v>77284.981746031684</v>
      </c>
      <c r="F178">
        <f>_xll.BDP("3447 HK Equity","PX596","PX395=FUND_TOTAL_ASSETS","DY262=D","PY204=N","PX391=20260626","PX392=20260626","DS004=USD")</f>
        <v>16.084643159999999</v>
      </c>
      <c r="G178">
        <f>_xll.BDP("3447 HK Equity","PX388","PX395=CUR_MKT_CAP","DY262=D","PY204=N","PX391=20260626","PX392=20260626","DS004=HKD")</f>
        <v>125.92</v>
      </c>
      <c r="H178" t="str">
        <f>_xll.BDP("3447 HK Equity","FUND_LEVERAGE_TYPE")</f>
        <v>#N/A N/A</v>
      </c>
      <c r="I178">
        <f>_xll.BDP("3447 HK Equity","PX388","PX395=TURNOVER","DY262=D","PY204=N","PX391=20260101","PX392=20260131","DS004=HKD")</f>
        <v>5077.125</v>
      </c>
      <c r="J178">
        <v>-1</v>
      </c>
      <c r="K178" t="str">
        <f>_xll.BDP("3447 HK Equity","FUND_INCEPT_DT")</f>
        <v>5/13/2025</v>
      </c>
      <c r="L178" t="str">
        <f>_xll.BDP("3447 HK Equity","PX388","PX395=TURNOVER_EXCH_RATIO","DY262=D","PY204=N","PX391=20251201","PX392=20251210")</f>
        <v>#N/A N/A</v>
      </c>
      <c r="M178">
        <f>_xll.BDP("3447 HK Equity","EQY_SH_OUT")</f>
        <v>16</v>
      </c>
      <c r="N178">
        <f>_xll.BDP("3447 HK Equity","EQY_TRR_PCT_YTD")</f>
        <v>-5.2355159999999996</v>
      </c>
      <c r="O178">
        <f>_xll.BDP("3447 HK Equity","CHG_PCT_YTD")</f>
        <v>-6.4765300000000003</v>
      </c>
      <c r="P178">
        <f>_xll.BDP("3447 HK Equity","CHG_PCT_1M")</f>
        <v>-0.37974799999999997</v>
      </c>
      <c r="Q178" t="str">
        <f>_xll.BDP("3447 HK Equity","LISTING_DATE")</f>
        <v>5/13/2025</v>
      </c>
      <c r="R178" t="str">
        <f>_xll.BDP("3447 HK Equity","FUND_INCEPT_DT")</f>
        <v>5/13/2025</v>
      </c>
      <c r="S178">
        <f>_xll.BDP("3447 HK Equity","AVG_DAILY_VALUE_TRADED_3M")</f>
        <v>22836.43</v>
      </c>
      <c r="T178" t="str">
        <f>_xll.BDP("3447 HK Equity","PX596","PX395=HISTORICAL_MARKET_CAP","DY262=D","PY204=N","PX391=20231231","PX392=20231231","DS004=HKD")</f>
        <v>#N/A N/A</v>
      </c>
      <c r="U178" t="str">
        <f>_xll.BDP("3447 HK Equity","PX385","PX395=FUND_FLOW","DY262=D","PY204=N","PX391=20240102","PX392=20240930","DS004=HKD")</f>
        <v>#N/A N/A</v>
      </c>
      <c r="V178">
        <f>_xll.BDP("3447 HK Equity","PX596","PX395=CUR_MKT_CAP","DY262=D","PY204=N","PX391=20240101","DS004=HKD")</f>
        <v>134.63999999999999</v>
      </c>
      <c r="W178" t="str">
        <f>_xll.BDP("3447 HK Equity","FUND_INCEPT_DT")</f>
        <v>5/13/2025</v>
      </c>
      <c r="X178" t="str">
        <f>_xll.BDP("3447 HK Equity","PX388","PX395=TURNOVER","DY262=D","PY204=N","PX391=20240502","PX392=20240606","DS004=HKD")</f>
        <v>#N/A N/A</v>
      </c>
      <c r="Y178" t="str">
        <f>_xll.BDP("3447 HK Equity","PARENT_COMP_NAME")</f>
        <v>CSOP Asset Management Ltd/Hong</v>
      </c>
      <c r="Z178" t="str">
        <f>_xll.BDP("3447 HK Equity","NAV_CRNCY")</f>
        <v>USD</v>
      </c>
      <c r="AA178" t="str">
        <f>_xll.BDP("3447 HK Equity","FUND_GEO_FOCUS")</f>
        <v>Multi</v>
      </c>
      <c r="AB178" t="str">
        <f>_xll.BDP("3447 HK Equity","FUND_ASSET_CLASS_FOCUS")</f>
        <v>Real Estate</v>
      </c>
      <c r="AC178">
        <f>_xll.BDP("3447 HK Equity","PX_LAST")</f>
        <v>7.87</v>
      </c>
      <c r="AD178">
        <f>_xll.BDP("3447 HK Equity","PX388","PX395=TIME_WAVG_BID_ASK_SPREAD_PCT","DY262=D","PY204=N","PX391=20260601","PX392=20260626")</f>
        <v>1.4223470788586805</v>
      </c>
      <c r="AE178">
        <f>_xll.BDP("3447 HK Equity","PX388","PX395=AVERAGE_BID_ASK_SPREAD_%","DY262=D","PY204=N","PX391=20260601","PX392=20260626")</f>
        <v>1.4822023015009791</v>
      </c>
    </row>
    <row r="179" spans="1:31" x14ac:dyDescent="0.25">
      <c r="A179" t="s">
        <v>204</v>
      </c>
      <c r="B179" t="str">
        <f>_xll.BDP("3448 HK Equity","LONG_COMP_NAME")</f>
        <v>Global X China Core Tech ETF</v>
      </c>
      <c r="C179">
        <f>_xll.BDP("3448 HK Equity","PX385","PX395=FUND_FLOW","DY262=D","PY204=N","PX391=20260622","PX392=20260626","DS004=USD")</f>
        <v>0</v>
      </c>
      <c r="D179">
        <f>_xll.BDP("3448 HK Equity","PX388","PX395=TURNOVER","DY262=D","PY204=N","PX391=20260601","PX392=20260626","DS004=HKD")</f>
        <v>2448661.0052631577</v>
      </c>
      <c r="E179">
        <f>_xll.BDP("3448 HK Equity","PX388","PX395=TURNOVER","DY262=D","PY204=N","PX391=20250101","PX392=20251231","DS004=HKD")</f>
        <v>7531111.766942149</v>
      </c>
      <c r="F179">
        <f>_xll.BDP("3448 HK Equity","PX596","PX395=FUND_TOTAL_ASSETS","DY262=D","PY204=N","PX391=20260626","PX392=20260626","DS004=USD")</f>
        <v>43.272819383838502</v>
      </c>
      <c r="G179">
        <f>_xll.BDP("3448 HK Equity","PX388","PX395=CUR_MKT_CAP","DY262=D","PY204=N","PX391=20260626","PX392=20260626","DS004=HKD")</f>
        <v>338.03999999999996</v>
      </c>
      <c r="H179" t="str">
        <f>_xll.BDP("3448 HK Equity","FUND_LEVERAGE_TYPE")</f>
        <v>#N/A N/A</v>
      </c>
      <c r="I179">
        <f>_xll.BDP("3448 HK Equity","PX388","PX395=TURNOVER","DY262=D","PY204=N","PX391=20260101","PX392=20260131","DS004=HKD")</f>
        <v>21008000.614285707</v>
      </c>
      <c r="J179">
        <v>-1</v>
      </c>
      <c r="K179" t="str">
        <f>_xll.BDP("3448 HK Equity","FUND_INCEPT_DT")</f>
        <v>7/9/2025</v>
      </c>
      <c r="L179" t="str">
        <f>_xll.BDP("3448 HK Equity","PX388","PX395=TURNOVER_EXCH_RATIO","DY262=D","PY204=N","PX391=20251201","PX392=20251210")</f>
        <v>#N/A N/A</v>
      </c>
      <c r="M179">
        <f>_xll.BDP("3448 HK Equity","EQY_SH_OUT")</f>
        <v>2.4</v>
      </c>
      <c r="N179">
        <f>_xll.BDP("3448 HK Equity","EQY_TRR_PCT_YTD")</f>
        <v>31.747979999999998</v>
      </c>
      <c r="O179">
        <f>_xll.BDP("3448 HK Equity","CHG_PCT_YTD")</f>
        <v>28.375389999999999</v>
      </c>
      <c r="P179">
        <f>_xll.BDP("3448 HK Equity","CHG_PCT_1M")</f>
        <v>3.9799229999999999</v>
      </c>
      <c r="Q179" t="str">
        <f>_xll.BDP("3448 HK Equity","LISTING_DATE")</f>
        <v>7/9/2025</v>
      </c>
      <c r="R179" t="str">
        <f>_xll.BDP("3448 HK Equity","FUND_INCEPT_DT")</f>
        <v>7/9/2025</v>
      </c>
      <c r="S179">
        <f>_xll.BDP("3448 HK Equity","AVG_DAILY_VALUE_TRADED_3M")</f>
        <v>2704419</v>
      </c>
      <c r="T179" t="str">
        <f>_xll.BDP("3448 HK Equity","PX596","PX395=HISTORICAL_MARKET_CAP","DY262=D","PY204=N","PX391=20231231","PX392=20231231","DS004=HKD")</f>
        <v>#N/A N/A</v>
      </c>
      <c r="U179" t="str">
        <f>_xll.BDP("3448 HK Equity","PX385","PX395=FUND_FLOW","DY262=D","PY204=N","PX391=20240102","PX392=20240930","DS004=HKD")</f>
        <v>#N/A N/A</v>
      </c>
      <c r="V179">
        <f>_xll.BDP("3448 HK Equity","PX596","PX395=CUR_MKT_CAP","DY262=D","PY204=N","PX391=20240101","DS004=HKD")</f>
        <v>666.40500000000009</v>
      </c>
      <c r="W179" t="str">
        <f>_xll.BDP("3448 HK Equity","FUND_INCEPT_DT")</f>
        <v>7/9/2025</v>
      </c>
      <c r="X179" t="str">
        <f>_xll.BDP("3448 HK Equity","PX388","PX395=TURNOVER","DY262=D","PY204=N","PX391=20240502","PX392=20240606","DS004=HKD")</f>
        <v>#N/A N/A</v>
      </c>
      <c r="Y179" t="str">
        <f>_xll.BDP("3448 HK Equity","PARENT_COMP_NAME")</f>
        <v>Mirae Asset Global Investments</v>
      </c>
      <c r="Z179" t="str">
        <f>_xll.BDP("3448 HK Equity","NAV_CRNCY")</f>
        <v>HKD</v>
      </c>
      <c r="AA179" t="str">
        <f>_xll.BDP("3448 HK Equity","FUND_GEO_FOCUS")</f>
        <v>China</v>
      </c>
      <c r="AB179" t="str">
        <f>_xll.BDP("3448 HK Equity","FUND_ASSET_CLASS_FOCUS")</f>
        <v>Equity</v>
      </c>
      <c r="AC179">
        <f>_xll.BDP("3448 HK Equity","PX_LAST")</f>
        <v>145</v>
      </c>
      <c r="AD179">
        <f>_xll.BDP("3448 HK Equity","PX388","PX395=TIME_WAVG_BID_ASK_SPREAD_PCT","DY262=D","PY204=N","PX391=20260601","PX392=20260626")</f>
        <v>0.39559137797485644</v>
      </c>
      <c r="AE179">
        <f>_xll.BDP("3448 HK Equity","PX388","PX395=AVERAGE_BID_ASK_SPREAD_%","DY262=D","PY204=N","PX391=20260601","PX392=20260626")</f>
        <v>0.46780774126363978</v>
      </c>
    </row>
    <row r="180" spans="1:31" x14ac:dyDescent="0.25">
      <c r="A180" t="s">
        <v>205</v>
      </c>
      <c r="B180" t="str">
        <f>_xll.BDP("3450 HK Equity","LONG_COMP_NAME")</f>
        <v>Global X US Treasury 3-5 Year ETF</v>
      </c>
      <c r="C180">
        <f>_xll.BDP("3450 HK Equity","PX385","PX395=FUND_FLOW","DY262=D","PY204=N","PX391=20260622","PX392=20260626","DS004=USD")</f>
        <v>0</v>
      </c>
      <c r="D180">
        <f>_xll.BDP("3450 HK Equity","PX388","PX395=TURNOVER","DY262=D","PY204=N","PX391=20260601","PX392=20260626","DS004=HKD")</f>
        <v>244457.875</v>
      </c>
      <c r="E180">
        <f>_xll.BDP("3450 HK Equity","PX388","PX395=TURNOVER","DY262=D","PY204=N","PX391=20250101","PX392=20251231","DS004=HKD")</f>
        <v>1977108.512428571</v>
      </c>
      <c r="F180">
        <f>_xll.BDP("3450 HK Equity","PX596","PX395=FUND_TOTAL_ASSETS","DY262=D","PY204=N","PX391=20260626","PX392=20260626","DS004=USD")</f>
        <v>46.939588717307856</v>
      </c>
      <c r="G180">
        <f>_xll.BDP("3450 HK Equity","PX388","PX395=CUR_MKT_CAP","DY262=D","PY204=N","PX391=20260626","PX392=20260626","DS004=HKD")</f>
        <v>368.03159999999997</v>
      </c>
      <c r="H180" t="str">
        <f>_xll.BDP("3450 HK Equity","FUND_LEVERAGE_TYPE")</f>
        <v>#N/A N/A</v>
      </c>
      <c r="I180">
        <f>_xll.BDP("3450 HK Equity","PX388","PX395=TURNOVER","DY262=D","PY204=N","PX391=20260101","PX392=20260131","DS004=HKD")</f>
        <v>564443.19999999995</v>
      </c>
      <c r="J180">
        <v>-1</v>
      </c>
      <c r="K180" t="str">
        <f>_xll.BDP("3450 HK Equity","FUND_INCEPT_DT")</f>
        <v>7/11/2024</v>
      </c>
      <c r="L180" t="str">
        <f>_xll.BDP("3450 HK Equity","PX388","PX395=TURNOVER_EXCH_RATIO","DY262=D","PY204=N","PX391=20251201","PX392=20251210")</f>
        <v>#N/A N/A</v>
      </c>
      <c r="M180">
        <f>_xll.BDP("3450 HK Equity","EQY_SH_OUT")</f>
        <v>6.66</v>
      </c>
      <c r="N180">
        <f>_xll.BDP("3450 HK Equity","EQY_TRR_PCT_YTD")</f>
        <v>0.65592830000000002</v>
      </c>
      <c r="O180">
        <f>_xll.BDP("3450 HK Equity","CHG_PCT_YTD")</f>
        <v>-0.32200630000000002</v>
      </c>
      <c r="P180">
        <f>_xll.BDP("3450 HK Equity","CHG_PCT_1M")</f>
        <v>-0.17914669999999999</v>
      </c>
      <c r="Q180" t="str">
        <f>_xll.BDP("3450 HK Equity","LISTING_DATE")</f>
        <v>7/11/2024</v>
      </c>
      <c r="R180" t="str">
        <f>_xll.BDP("3450 HK Equity","FUND_INCEPT_DT")</f>
        <v>7/11/2024</v>
      </c>
      <c r="S180">
        <f>_xll.BDP("3450 HK Equity","AVG_DAILY_VALUE_TRADED_3M")</f>
        <v>337215.2</v>
      </c>
      <c r="T180" t="str">
        <f>_xll.BDP("3450 HK Equity","PX596","PX395=HISTORICAL_MARKET_CAP","DY262=D","PY204=N","PX391=20231231","PX392=20231231","DS004=HKD")</f>
        <v>#N/A N/A</v>
      </c>
      <c r="U180">
        <f>_xll.BDP("3450 HK Equity","PX385","PX395=FUND_FLOW","DY262=D","PY204=N","PX391=20240102","PX392=20240930","DS004=HKD")</f>
        <v>345.27328649999998</v>
      </c>
      <c r="V180">
        <f>_xll.BDP("3450 HK Equity","PX596","PX395=CUR_MKT_CAP","DY262=D","PY204=N","PX391=20240101","DS004=HKD")</f>
        <v>495.55349999999999</v>
      </c>
      <c r="W180" t="str">
        <f>_xll.BDP("3450 HK Equity","FUND_INCEPT_DT")</f>
        <v>7/11/2024</v>
      </c>
      <c r="X180" t="str">
        <f>_xll.BDP("3450 HK Equity","PX388","PX395=TURNOVER","DY262=D","PY204=N","PX391=20240502","PX392=20240606","DS004=HKD")</f>
        <v>#N/A N/A</v>
      </c>
      <c r="Y180" t="str">
        <f>_xll.BDP("3450 HK Equity","PARENT_COMP_NAME")</f>
        <v>Mirae Asset Global Investments</v>
      </c>
      <c r="Z180" t="str">
        <f>_xll.BDP("3450 HK Equity","NAV_CRNCY")</f>
        <v>HKD</v>
      </c>
      <c r="AA180" t="str">
        <f>_xll.BDP("3450 HK Equity","FUND_GEO_FOCUS")</f>
        <v>U.S.</v>
      </c>
      <c r="AB180" t="str">
        <f>_xll.BDP("3450 HK Equity","FUND_ASSET_CLASS_FOCUS")</f>
        <v>Fixed Income</v>
      </c>
      <c r="AC180">
        <f>_xll.BDP("3450 HK Equity","PX_LAST")</f>
        <v>55.72</v>
      </c>
      <c r="AD180">
        <f>_xll.BDP("3450 HK Equity","PX388","PX395=TIME_WAVG_BID_ASK_SPREAD_PCT","DY262=D","PY204=N","PX391=20260601","PX392=20260626")</f>
        <v>0.39589508367957593</v>
      </c>
      <c r="AE180">
        <f>_xll.BDP("3450 HK Equity","PX388","PX395=AVERAGE_BID_ASK_SPREAD_%","DY262=D","PY204=N","PX391=20260601","PX392=20260626")</f>
        <v>0.57975797989682321</v>
      </c>
    </row>
    <row r="181" spans="1:31" x14ac:dyDescent="0.25">
      <c r="A181" t="s">
        <v>206</v>
      </c>
      <c r="B181" t="str">
        <f>_xll.BDP("3454 HK Equity","LONG_COMP_NAME")</f>
        <v>CSOP MAG Seven ETF</v>
      </c>
      <c r="C181">
        <f>_xll.BDP("3454 HK Equity","PX385","PX395=FUND_FLOW","DY262=D","PY204=N","PX391=20260622","PX392=20260626","DS004=USD")</f>
        <v>0</v>
      </c>
      <c r="D181">
        <f>_xll.BDP("3454 HK Equity","PX388","PX395=TURNOVER","DY262=D","PY204=N","PX391=20260601","PX392=20260626","DS004=HKD")</f>
        <v>4583989.1578947371</v>
      </c>
      <c r="E181">
        <f>_xll.BDP("3454 HK Equity","PX388","PX395=TURNOVER","DY262=D","PY204=N","PX391=20250101","PX392=20251231","DS004=HKD")</f>
        <v>1319605.5213821132</v>
      </c>
      <c r="F181">
        <f>_xll.BDP("3454 HK Equity","PX596","PX395=FUND_TOTAL_ASSETS","DY262=D","PY204=N","PX391=20260626","PX392=20260626","DS004=USD")</f>
        <v>13.24623931</v>
      </c>
      <c r="G181">
        <f>_xll.BDP("3454 HK Equity","PX388","PX395=CUR_MKT_CAP","DY262=D","PY204=N","PX391=20260626","PX392=20260626","DS004=HKD")</f>
        <v>102.00999999999999</v>
      </c>
      <c r="H181" t="str">
        <f>_xll.BDP("3454 HK Equity","FUND_LEVERAGE_TYPE")</f>
        <v>#N/A N/A</v>
      </c>
      <c r="I181">
        <f>_xll.BDP("3454 HK Equity","PX388","PX395=TURNOVER","DY262=D","PY204=N","PX391=20260101","PX392=20260131","DS004=HKD")</f>
        <v>1267264.5238095238</v>
      </c>
      <c r="J181">
        <v>-1</v>
      </c>
      <c r="K181" t="str">
        <f>_xll.BDP("3454 HK Equity","FUND_INCEPT_DT")</f>
        <v>11/6/2024</v>
      </c>
      <c r="L181" t="str">
        <f>_xll.BDP("3454 HK Equity","PX388","PX395=TURNOVER_EXCH_RATIO","DY262=D","PY204=N","PX391=20251201","PX392=20251210")</f>
        <v>#N/A N/A</v>
      </c>
      <c r="M181">
        <f>_xll.BDP("3454 HK Equity","EQY_SH_OUT")</f>
        <v>10.1</v>
      </c>
      <c r="N181">
        <f>_xll.BDP("3454 HK Equity","EQY_TRR_PCT_YTD")</f>
        <v>-7.4649299999999998</v>
      </c>
      <c r="O181">
        <f>_xll.BDP("3454 HK Equity","CHG_PCT_YTD")</f>
        <v>-4.8446030000000002</v>
      </c>
      <c r="P181">
        <f>_xll.BDP("3454 HK Equity","CHG_PCT_1M")</f>
        <v>-11.404260000000001</v>
      </c>
      <c r="Q181" t="str">
        <f>_xll.BDP("3454 HK Equity","LISTING_DATE")</f>
        <v>11/6/2024</v>
      </c>
      <c r="R181" t="str">
        <f>_xll.BDP("3454 HK Equity","FUND_INCEPT_DT")</f>
        <v>11/6/2024</v>
      </c>
      <c r="S181">
        <f>_xll.BDP("3454 HK Equity","AVG_DAILY_VALUE_TRADED_3M")</f>
        <v>3007218</v>
      </c>
      <c r="T181" t="str">
        <f>_xll.BDP("3454 HK Equity","PX596","PX395=HISTORICAL_MARKET_CAP","DY262=D","PY204=N","PX391=20231231","PX392=20231231","DS004=HKD")</f>
        <v>#N/A N/A</v>
      </c>
      <c r="U181" t="str">
        <f>_xll.BDP("3454 HK Equity","PX385","PX395=FUND_FLOW","DY262=D","PY204=N","PX391=20240102","PX392=20240930","DS004=HKD")</f>
        <v>#N/A N/A</v>
      </c>
      <c r="V181">
        <f>_xll.BDP("3454 HK Equity","PX596","PX395=CUR_MKT_CAP","DY262=D","PY204=N","PX391=20240101","DS004=HKD")</f>
        <v>110.49399999999999</v>
      </c>
      <c r="W181" t="str">
        <f>_xll.BDP("3454 HK Equity","FUND_INCEPT_DT")</f>
        <v>11/6/2024</v>
      </c>
      <c r="X181" t="str">
        <f>_xll.BDP("3454 HK Equity","PX388","PX395=TURNOVER","DY262=D","PY204=N","PX391=20240502","PX392=20240606","DS004=HKD")</f>
        <v>#N/A N/A</v>
      </c>
      <c r="Y181" t="str">
        <f>_xll.BDP("3454 HK Equity","PARENT_COMP_NAME")</f>
        <v>CSOP Asset Management Ltd/Hong</v>
      </c>
      <c r="Z181" t="str">
        <f>_xll.BDP("3454 HK Equity","NAV_CRNCY")</f>
        <v>USD</v>
      </c>
      <c r="AA181" t="str">
        <f>_xll.BDP("3454 HK Equity","FUND_GEO_FOCUS")</f>
        <v>U.S.</v>
      </c>
      <c r="AB181" t="str">
        <f>_xll.BDP("3454 HK Equity","FUND_ASSET_CLASS_FOCUS")</f>
        <v>Equity</v>
      </c>
      <c r="AC181">
        <f>_xll.BDP("3454 HK Equity","PX_LAST")</f>
        <v>10.41</v>
      </c>
      <c r="AD181">
        <f>_xll.BDP("3454 HK Equity","PX388","PX395=TIME_WAVG_BID_ASK_SPREAD_PCT","DY262=D","PY204=N","PX391=20260601","PX392=20260626")</f>
        <v>0.20396464937554831</v>
      </c>
      <c r="AE181">
        <f>_xll.BDP("3454 HK Equity","PX388","PX395=AVERAGE_BID_ASK_SPREAD_%","DY262=D","PY204=N","PX391=20260601","PX392=20260626")</f>
        <v>0.25499399651011567</v>
      </c>
    </row>
    <row r="182" spans="1:31" x14ac:dyDescent="0.25">
      <c r="A182" t="s">
        <v>207</v>
      </c>
      <c r="B182" t="str">
        <f>_xll.BDP("3457 HK Equity","LONG_COMP_NAME")</f>
        <v>Taikang Hong Kong HKD Money Market ETF</v>
      </c>
      <c r="C182">
        <f>_xll.BDP("3457 HK Equity","PX385","PX395=FUND_FLOW","DY262=D","PY204=N","PX391=20260622","PX392=20260626","DS004=USD")</f>
        <v>0</v>
      </c>
      <c r="D182">
        <f>_xll.BDP("3457 HK Equity","PX388","PX395=TURNOVER","DY262=D","PY204=N","PX391=20260601","PX392=20260626","DS004=HKD")</f>
        <v>99546.368421052641</v>
      </c>
      <c r="E182" t="str">
        <f>_xll.BDP("3457 HK Equity","PX388","PX395=TURNOVER","DY262=D","PY204=N","PX391=20250101","PX392=20251231","DS004=HKD")</f>
        <v>#N/A N/A</v>
      </c>
      <c r="F182">
        <f>_xll.BDP("3457 HK Equity","PX596","PX395=FUND_TOTAL_ASSETS","DY262=D","PY204=N","PX391=20260626","PX392=20260626","DS004=USD")</f>
        <v>63.35614645566875</v>
      </c>
      <c r="G182">
        <f>_xll.BDP("3457 HK Equity","PX388","PX395=CUR_MKT_CAP","DY262=D","PY204=N","PX391=20260626","PX392=20260626","DS004=HKD")</f>
        <v>6.5584999999999996</v>
      </c>
      <c r="H182" t="str">
        <f>_xll.BDP("3457 HK Equity","FUND_LEVERAGE_TYPE")</f>
        <v>#N/A N/A</v>
      </c>
      <c r="I182">
        <f>_xll.BDP("3457 HK Equity","PX388","PX395=TURNOVER","DY262=D","PY204=N","PX391=20260101","PX392=20260131","DS004=HKD")</f>
        <v>5002.5</v>
      </c>
      <c r="J182">
        <v>-0.99</v>
      </c>
      <c r="K182" t="str">
        <f>_xll.BDP("3457 HK Equity","FUND_INCEPT_DT")</f>
        <v>1/29/2026</v>
      </c>
      <c r="L182" t="str">
        <f>_xll.BDP("3457 HK Equity","PX388","PX395=TURNOVER_EXCH_RATIO","DY262=D","PY204=N","PX391=20251201","PX392=20251210")</f>
        <v>#N/A N/A</v>
      </c>
      <c r="M182">
        <f>_xll.BDP("3457 HK Equity","EQY_SH_OUT")</f>
        <v>6.4999999999999997E-3</v>
      </c>
      <c r="N182" t="str">
        <f>_xll.BDP("3457 HK Equity","EQY_TRR_PCT_YTD")</f>
        <v>#N/A N/A</v>
      </c>
      <c r="O182" t="str">
        <f>_xll.BDP("3457 HK Equity","CHG_PCT_YTD")</f>
        <v>#N/A N/A</v>
      </c>
      <c r="P182">
        <f>_xll.BDP("3457 HK Equity","CHG_PCT_1M")</f>
        <v>0.24826219999999999</v>
      </c>
      <c r="Q182" t="str">
        <f>_xll.BDP("3457 HK Equity","LISTING_DATE")</f>
        <v>1/29/2026</v>
      </c>
      <c r="R182" t="str">
        <f>_xll.BDP("3457 HK Equity","FUND_INCEPT_DT")</f>
        <v>1/29/2026</v>
      </c>
      <c r="S182">
        <f>_xll.BDP("3457 HK Equity","AVG_DAILY_VALUE_TRADED_3M")</f>
        <v>220414.6</v>
      </c>
      <c r="T182" t="str">
        <f>_xll.BDP("3457 HK Equity","PX596","PX395=HISTORICAL_MARKET_CAP","DY262=D","PY204=N","PX391=20231231","PX392=20231231","DS004=HKD")</f>
        <v>#N/A N/A</v>
      </c>
      <c r="U182" t="str">
        <f>_xll.BDP("3457 HK Equity","PX385","PX395=FUND_FLOW","DY262=D","PY204=N","PX391=20240102","PX392=20240930","DS004=HKD")</f>
        <v>#N/A N/A</v>
      </c>
      <c r="V182" t="str">
        <f>_xll.BDP("3457 HK Equity","PX596","PX395=CUR_MKT_CAP","DY262=D","PY204=N","PX391=20240101","DS004=HKD")</f>
        <v>#N/A N/A</v>
      </c>
      <c r="W182" t="str">
        <f>_xll.BDP("3457 HK Equity","FUND_INCEPT_DT")</f>
        <v>1/29/2026</v>
      </c>
      <c r="X182" t="str">
        <f>_xll.BDP("3457 HK Equity","PX388","PX395=TURNOVER","DY262=D","PY204=N","PX391=20240502","PX392=20240606","DS004=HKD")</f>
        <v>#N/A N/A</v>
      </c>
      <c r="Y182" t="str">
        <f>_xll.BDP("3457 HK Equity","PARENT_COMP_NAME")</f>
        <v>Taikang Asset Management Hong</v>
      </c>
      <c r="Z182" t="str">
        <f>_xll.BDP("3457 HK Equity","NAV_CRNCY")</f>
        <v>HKD</v>
      </c>
      <c r="AA182" t="str">
        <f>_xll.BDP("3457 HK Equity","FUND_GEO_FOCUS")</f>
        <v>Global</v>
      </c>
      <c r="AB182" t="str">
        <f>_xll.BDP("3457 HK Equity","FUND_ASSET_CLASS_FOCUS")</f>
        <v>Money Market</v>
      </c>
      <c r="AC182">
        <f>_xll.BDP("3457 HK Equity","PX_LAST")</f>
        <v>1009.5</v>
      </c>
      <c r="AD182">
        <f>_xll.BDP("3457 HK Equity","PX388","PX395=TIME_WAVG_BID_ASK_SPREAD_PCT","DY262=D","PY204=N","PX391=20260601","PX392=20260626")</f>
        <v>0.13116054019274234</v>
      </c>
      <c r="AE182">
        <f>_xll.BDP("3457 HK Equity","PX388","PX395=AVERAGE_BID_ASK_SPREAD_%","DY262=D","PY204=N","PX391=20260601","PX392=20260626")</f>
        <v>0.13831672792961158</v>
      </c>
    </row>
    <row r="183" spans="1:31" x14ac:dyDescent="0.25">
      <c r="A183" t="s">
        <v>208</v>
      </c>
      <c r="B183" t="str">
        <f>_xll.BDP("3469 HK Equity","LONG_COMP_NAME")</f>
        <v>CSOP Hang Seng Stock Connect High Dividend ETF</v>
      </c>
      <c r="C183">
        <f>_xll.BDP("3469 HK Equity","PX385","PX395=FUND_FLOW","DY262=D","PY204=N","PX391=20260622","PX392=20260626","DS004=USD")</f>
        <v>0</v>
      </c>
      <c r="D183">
        <f>_xll.BDP("3469 HK Equity","PX388","PX395=TURNOVER","DY262=D","PY204=N","PX391=20260601","PX392=20260626","DS004=HKD")</f>
        <v>172304.32631578948</v>
      </c>
      <c r="E183">
        <f>_xll.BDP("3469 HK Equity","PX388","PX395=TURNOVER","DY262=D","PY204=N","PX391=20250101","PX392=20251231","DS004=HKD")</f>
        <v>66775.017127659594</v>
      </c>
      <c r="F183">
        <f>_xll.BDP("3469 HK Equity","PX596","PX395=FUND_TOTAL_ASSETS","DY262=D","PY204=N","PX391=20260626","PX392=20260626","DS004=USD")</f>
        <v>83.964859331046526</v>
      </c>
      <c r="G183">
        <f>_xll.BDP("3469 HK Equity","PX388","PX395=CUR_MKT_CAP","DY262=D","PY204=N","PX391=20260626","PX392=20260626","DS004=HKD")</f>
        <v>657.36</v>
      </c>
      <c r="H183" t="str">
        <f>_xll.BDP("3469 HK Equity","FUND_LEVERAGE_TYPE")</f>
        <v>#N/A N/A</v>
      </c>
      <c r="I183">
        <f>_xll.BDP("3469 HK Equity","PX388","PX395=TURNOVER","DY262=D","PY204=N","PX391=20260101","PX392=20260131","DS004=HKD")</f>
        <v>273711.4411764706</v>
      </c>
      <c r="J183">
        <v>-1</v>
      </c>
      <c r="K183" t="str">
        <f>_xll.BDP("3469 HK Equity","FUND_INCEPT_DT")</f>
        <v>9/30/2025</v>
      </c>
      <c r="L183" t="str">
        <f>_xll.BDP("3469 HK Equity","PX388","PX395=TURNOVER_EXCH_RATIO","DY262=D","PY204=N","PX391=20251201","PX392=20251210")</f>
        <v>#N/A N/A</v>
      </c>
      <c r="M183">
        <f>_xll.BDP("3469 HK Equity","EQY_SH_OUT")</f>
        <v>88</v>
      </c>
      <c r="N183">
        <f>_xll.BDP("3469 HK Equity","EQY_TRR_PCT_YTD")</f>
        <v>-7.5743910000000003</v>
      </c>
      <c r="O183">
        <f>_xll.BDP("3469 HK Equity","CHG_PCT_YTD")</f>
        <v>-7.2749649999999999</v>
      </c>
      <c r="P183">
        <f>_xll.BDP("3469 HK Equity","CHG_PCT_1M")</f>
        <v>-9.9401240000000008</v>
      </c>
      <c r="Q183" t="str">
        <f>_xll.BDP("3469 HK Equity","LISTING_DATE")</f>
        <v>9/30/2025</v>
      </c>
      <c r="R183" t="str">
        <f>_xll.BDP("3469 HK Equity","FUND_INCEPT_DT")</f>
        <v>9/30/2025</v>
      </c>
      <c r="S183">
        <f>_xll.BDP("3469 HK Equity","AVG_DAILY_VALUE_TRADED_3M")</f>
        <v>187847.9</v>
      </c>
      <c r="T183" t="str">
        <f>_xll.BDP("3469 HK Equity","PX596","PX395=HISTORICAL_MARKET_CAP","DY262=D","PY204=N","PX391=20231231","PX392=20231231","DS004=HKD")</f>
        <v>#N/A N/A</v>
      </c>
      <c r="U183" t="str">
        <f>_xll.BDP("3469 HK Equity","PX385","PX395=FUND_FLOW","DY262=D","PY204=N","PX391=20240102","PX392=20240930","DS004=HKD")</f>
        <v>#N/A N/A</v>
      </c>
      <c r="V183">
        <f>_xll.BDP("3469 HK Equity","PX596","PX395=CUR_MKT_CAP","DY262=D","PY204=N","PX391=20240101","DS004=HKD")</f>
        <v>863.71499999999992</v>
      </c>
      <c r="W183" t="str">
        <f>_xll.BDP("3469 HK Equity","FUND_INCEPT_DT")</f>
        <v>9/30/2025</v>
      </c>
      <c r="X183" t="str">
        <f>_xll.BDP("3469 HK Equity","PX388","PX395=TURNOVER","DY262=D","PY204=N","PX391=20240502","PX392=20240606","DS004=HKD")</f>
        <v>#N/A N/A</v>
      </c>
      <c r="Y183" t="str">
        <f>_xll.BDP("3469 HK Equity","PARENT_COMP_NAME")</f>
        <v>CSOP Asset Management Ltd/Hong</v>
      </c>
      <c r="Z183" t="str">
        <f>_xll.BDP("3469 HK Equity","NAV_CRNCY")</f>
        <v>HKD</v>
      </c>
      <c r="AA183" t="str">
        <f>_xll.BDP("3469 HK Equity","FUND_GEO_FOCUS")</f>
        <v>Hong Kong</v>
      </c>
      <c r="AB183" t="str">
        <f>_xll.BDP("3469 HK Equity","FUND_ASSET_CLASS_FOCUS")</f>
        <v>Equity</v>
      </c>
      <c r="AC183">
        <f>_xll.BDP("3469 HK Equity","PX_LAST")</f>
        <v>7.52</v>
      </c>
      <c r="AD183">
        <f>_xll.BDP("3469 HK Equity","PX388","PX395=TIME_WAVG_BID_ASK_SPREAD_PCT","DY262=D","PY204=N","PX391=20260601","PX392=20260626")</f>
        <v>0.56052617879312039</v>
      </c>
      <c r="AE183">
        <f>_xll.BDP("3469 HK Equity","PX388","PX395=AVERAGE_BID_ASK_SPREAD_%","DY262=D","PY204=N","PX391=20260601","PX392=20260626")</f>
        <v>0.72096027435936749</v>
      </c>
    </row>
    <row r="184" spans="1:31" x14ac:dyDescent="0.25">
      <c r="A184" t="s">
        <v>209</v>
      </c>
      <c r="B184" t="str">
        <f>_xll.BDP("3470 HK Equity","LONG_COMP_NAME")</f>
        <v>Global X FTSE Greater China ETF</v>
      </c>
      <c r="C184">
        <f>_xll.BDP("3470 HK Equity","PX385","PX395=FUND_FLOW","DY262=D","PY204=N","PX391=20260622","PX392=20260626","DS004=USD")</f>
        <v>0</v>
      </c>
      <c r="D184">
        <f>_xll.BDP("3470 HK Equity","PX388","PX395=TURNOVER","DY262=D","PY204=N","PX391=20260601","PX392=20260626","DS004=HKD")</f>
        <v>2714803.6</v>
      </c>
      <c r="E184">
        <f>_xll.BDP("3470 HK Equity","PX388","PX395=TURNOVER","DY262=D","PY204=N","PX391=20250101","PX392=20251231","DS004=HKD")</f>
        <v>314546.7</v>
      </c>
      <c r="F184">
        <f>_xll.BDP("3470 HK Equity","PX596","PX395=FUND_TOTAL_ASSETS","DY262=D","PY204=N","PX391=20260626","PX392=20260626","DS004=USD")</f>
        <v>479.8042406613024</v>
      </c>
      <c r="G184">
        <f>_xll.BDP("3470 HK Equity","PX388","PX395=CUR_MKT_CAP","DY262=D","PY204=N","PX391=20260626","PX392=20260626","DS004=HKD")</f>
        <v>3765.5279999999993</v>
      </c>
      <c r="H184" t="str">
        <f>_xll.BDP("3470 HK Equity","FUND_LEVERAGE_TYPE")</f>
        <v>#N/A N/A</v>
      </c>
      <c r="I184">
        <f>_xll.BDP("3470 HK Equity","PX388","PX395=TURNOVER","DY262=D","PY204=N","PX391=20260101","PX392=20260131","DS004=HKD")</f>
        <v>48315.142857142855</v>
      </c>
      <c r="J184">
        <v>-0.99</v>
      </c>
      <c r="K184" t="str">
        <f>_xll.BDP("3470 HK Equity","FUND_INCEPT_DT")</f>
        <v>3/28/2025</v>
      </c>
      <c r="L184" t="str">
        <f>_xll.BDP("3470 HK Equity","PX388","PX395=TURNOVER_EXCH_RATIO","DY262=D","PY204=N","PX391=20251201","PX392=20251210")</f>
        <v>#N/A N/A</v>
      </c>
      <c r="M184">
        <f>_xll.BDP("3470 HK Equity","EQY_SH_OUT")</f>
        <v>46.8</v>
      </c>
      <c r="N184">
        <f>_xll.BDP("3470 HK Equity","EQY_TRR_PCT_YTD")</f>
        <v>12.76679</v>
      </c>
      <c r="O184">
        <f>_xll.BDP("3470 HK Equity","CHG_PCT_YTD")</f>
        <v>11.17151</v>
      </c>
      <c r="P184">
        <f>_xll.BDP("3470 HK Equity","CHG_PCT_1M")</f>
        <v>-4.1481089999999998</v>
      </c>
      <c r="Q184" t="str">
        <f>_xll.BDP("3470 HK Equity","LISTING_DATE")</f>
        <v>3/28/2025</v>
      </c>
      <c r="R184" t="str">
        <f>_xll.BDP("3470 HK Equity","FUND_INCEPT_DT")</f>
        <v>3/28/2025</v>
      </c>
      <c r="S184">
        <f>_xll.BDP("3470 HK Equity","AVG_DAILY_VALUE_TRADED_3M")</f>
        <v>516945.7</v>
      </c>
      <c r="T184" t="str">
        <f>_xll.BDP("3470 HK Equity","PX596","PX395=HISTORICAL_MARKET_CAP","DY262=D","PY204=N","PX391=20231231","PX392=20231231","DS004=HKD")</f>
        <v>#N/A N/A</v>
      </c>
      <c r="U184" t="str">
        <f>_xll.BDP("3470 HK Equity","PX385","PX395=FUND_FLOW","DY262=D","PY204=N","PX391=20240102","PX392=20240930","DS004=HKD")</f>
        <v>#N/A N/A</v>
      </c>
      <c r="V184">
        <f>_xll.BDP("3470 HK Equity","PX596","PX395=CUR_MKT_CAP","DY262=D","PY204=N","PX391=20240101","DS004=HKD")</f>
        <v>3296.3839999999996</v>
      </c>
      <c r="W184" t="str">
        <f>_xll.BDP("3470 HK Equity","FUND_INCEPT_DT")</f>
        <v>3/28/2025</v>
      </c>
      <c r="X184" t="str">
        <f>_xll.BDP("3470 HK Equity","PX388","PX395=TURNOVER","DY262=D","PY204=N","PX391=20240502","PX392=20240606","DS004=HKD")</f>
        <v>#N/A N/A</v>
      </c>
      <c r="Y184" t="str">
        <f>_xll.BDP("3470 HK Equity","PARENT_COMP_NAME")</f>
        <v>Mirae Asset Global Investments</v>
      </c>
      <c r="Z184" t="str">
        <f>_xll.BDP("3470 HK Equity","NAV_CRNCY")</f>
        <v>HKD</v>
      </c>
      <c r="AA184" t="str">
        <f>_xll.BDP("3470 HK Equity","FUND_GEO_FOCUS")</f>
        <v>Multi</v>
      </c>
      <c r="AB184" t="str">
        <f>_xll.BDP("3470 HK Equity","FUND_ASSET_CLASS_FOCUS")</f>
        <v>Equity</v>
      </c>
      <c r="AC184">
        <f>_xll.BDP("3470 HK Equity","PX_LAST")</f>
        <v>81.8</v>
      </c>
      <c r="AD184">
        <f>_xll.BDP("3470 HK Equity","PX388","PX395=TIME_WAVG_BID_ASK_SPREAD_PCT","DY262=D","PY204=N","PX391=20260601","PX392=20260626")</f>
        <v>0.62935007305094903</v>
      </c>
      <c r="AE184">
        <f>_xll.BDP("3470 HK Equity","PX388","PX395=AVERAGE_BID_ASK_SPREAD_%","DY262=D","PY204=N","PX391=20260601","PX392=20260626")</f>
        <v>0.74939261153777181</v>
      </c>
    </row>
    <row r="185" spans="1:31" x14ac:dyDescent="0.25">
      <c r="A185" t="s">
        <v>210</v>
      </c>
      <c r="B185" t="str">
        <f>_xll.BDP("3471 HK Equity","LONG_COMP_NAME")</f>
        <v>ChinaAMC HKD Digital Money Market Fund/ETF</v>
      </c>
      <c r="C185">
        <f>_xll.BDP("3471 HK Equity","PX385","PX395=FUND_FLOW","DY262=D","PY204=N","PX391=20260622","PX392=20260626","DS004=USD")</f>
        <v>0</v>
      </c>
      <c r="D185">
        <f>_xll.BDP("3471 HK Equity","PX388","PX395=TURNOVER","DY262=D","PY204=N","PX391=20260601","PX392=20260626","DS004=HKD")</f>
        <v>84803.123684210543</v>
      </c>
      <c r="E185">
        <f>_xll.BDP("3471 HK Equity","PX388","PX395=TURNOVER","DY262=D","PY204=N","PX391=20250101","PX392=20251231","DS004=HKD")</f>
        <v>54899.357142857138</v>
      </c>
      <c r="F185">
        <f>_xll.BDP("3471 HK Equity","PX596","PX395=FUND_TOTAL_ASSETS","DY262=D","PY204=N","PX391=20260626","PX392=20260626","DS004=USD")</f>
        <v>97.247786796903867</v>
      </c>
      <c r="G185">
        <f>_xll.BDP("3471 HK Equity","PX388","PX395=CUR_MKT_CAP","DY262=D","PY204=N","PX391=20260626","PX392=20260626","DS004=HKD")</f>
        <v>42.501900000000006</v>
      </c>
      <c r="H185" t="str">
        <f>_xll.BDP("3471 HK Equity","FUND_LEVERAGE_TYPE")</f>
        <v>#N/A N/A</v>
      </c>
      <c r="I185">
        <f>_xll.BDP("3471 HK Equity","PX388","PX395=TURNOVER","DY262=D","PY204=N","PX391=20260101","PX392=20260131","DS004=HKD")</f>
        <v>14664.135714285714</v>
      </c>
      <c r="J185">
        <v>-0.99</v>
      </c>
      <c r="K185" t="str">
        <f>_xll.BDP("3471 HK Equity","FUND_INCEPT_DT")</f>
        <v>11/27/2025</v>
      </c>
      <c r="L185" t="str">
        <f>_xll.BDP("3471 HK Equity","PX388","PX395=TURNOVER_EXCH_RATIO","DY262=D","PY204=N","PX391=20251201","PX392=20251210")</f>
        <v>#N/A N/A</v>
      </c>
      <c r="M185">
        <f>_xll.BDP("3471 HK Equity","EQY_SH_OUT")</f>
        <v>4.1999999999999996E-2</v>
      </c>
      <c r="N185">
        <f>_xll.BDP("3471 HK Equity","EQY_TRR_PCT_YTD")</f>
        <v>0.95016</v>
      </c>
      <c r="O185">
        <f>_xll.BDP("3471 HK Equity","CHG_PCT_YTD")</f>
        <v>0.93271360000000003</v>
      </c>
      <c r="P185">
        <f>_xll.BDP("3471 HK Equity","CHG_PCT_1M")</f>
        <v>0.1583833</v>
      </c>
      <c r="Q185" t="str">
        <f>_xll.BDP("3471 HK Equity","LISTING_DATE")</f>
        <v>11/28/2025</v>
      </c>
      <c r="R185" t="str">
        <f>_xll.BDP("3471 HK Equity","FUND_INCEPT_DT")</f>
        <v>11/27/2025</v>
      </c>
      <c r="S185">
        <f>_xll.BDP("3471 HK Equity","AVG_DAILY_VALUE_TRADED_3M")</f>
        <v>72008.710000000006</v>
      </c>
      <c r="T185" t="str">
        <f>_xll.BDP("3471 HK Equity","PX596","PX395=HISTORICAL_MARKET_CAP","DY262=D","PY204=N","PX391=20231231","PX392=20231231","DS004=HKD")</f>
        <v>#N/A N/A</v>
      </c>
      <c r="U185" t="str">
        <f>_xll.BDP("3471 HK Equity","PX385","PX395=FUND_FLOW","DY262=D","PY204=N","PX391=20240102","PX392=20240930","DS004=HKD")</f>
        <v>#N/A N/A</v>
      </c>
      <c r="V185">
        <f>_xll.BDP("3471 HK Equity","PX596","PX395=CUR_MKT_CAP","DY262=D","PY204=N","PX391=20240101","DS004=HKD")</f>
        <v>26.564924999999999</v>
      </c>
      <c r="W185" t="str">
        <f>_xll.BDP("3471 HK Equity","FUND_INCEPT_DT")</f>
        <v>11/27/2025</v>
      </c>
      <c r="X185" t="str">
        <f>_xll.BDP("3471 HK Equity","PX388","PX395=TURNOVER","DY262=D","PY204=N","PX391=20240502","PX392=20240606","DS004=HKD")</f>
        <v>#N/A N/A</v>
      </c>
      <c r="Y185" t="str">
        <f>_xll.BDP("3471 HK Equity","PARENT_COMP_NAME")</f>
        <v>China Asset Management Hong Ko</v>
      </c>
      <c r="Z185" t="str">
        <f>_xll.BDP("3471 HK Equity","NAV_CRNCY")</f>
        <v>HKD</v>
      </c>
      <c r="AA185" t="str">
        <f>_xll.BDP("3471 HK Equity","FUND_GEO_FOCUS")</f>
        <v>Global</v>
      </c>
      <c r="AB185" t="str">
        <f>_xll.BDP("3471 HK Equity","FUND_ASSET_CLASS_FOCUS")</f>
        <v>Money Market</v>
      </c>
      <c r="AC185">
        <f>_xll.BDP("3471 HK Equity","PX_LAST")</f>
        <v>1011.8</v>
      </c>
      <c r="AD185">
        <f>_xll.BDP("3471 HK Equity","PX388","PX395=TIME_WAVG_BID_ASK_SPREAD_PCT","DY262=D","PY204=N","PX391=20260601","PX392=20260626")</f>
        <v>2.0271174949176216E-2</v>
      </c>
      <c r="AE185">
        <f>_xll.BDP("3471 HK Equity","PX388","PX395=AVERAGE_BID_ASK_SPREAD_%","DY262=D","PY204=N","PX391=20260601","PX392=20260626")</f>
        <v>1.9016966503891446E-2</v>
      </c>
    </row>
    <row r="186" spans="1:31" x14ac:dyDescent="0.25">
      <c r="A186" t="s">
        <v>211</v>
      </c>
      <c r="B186" t="str">
        <f>_xll.BDP("3473 HK Equity","LONG_COMP_NAME")</f>
        <v>CSOP FTSE Asia Tech Index ETF</v>
      </c>
      <c r="C186">
        <f>_xll.BDP("3473 HK Equity","PX385","PX395=FUND_FLOW","DY262=D","PY204=N","PX391=20260622","PX392=20260626","DS004=USD")</f>
        <v>0</v>
      </c>
      <c r="D186">
        <f>_xll.BDP("3473 HK Equity","PX388","PX395=TURNOVER","DY262=D","PY204=N","PX391=20260601","PX392=20260626","DS004=HKD")</f>
        <v>63612.333333333336</v>
      </c>
      <c r="E186" t="str">
        <f>_xll.BDP("3473 HK Equity","PX388","PX395=TURNOVER","DY262=D","PY204=N","PX391=20250101","PX392=20251231","DS004=HKD")</f>
        <v>#N/A N/A</v>
      </c>
      <c r="F186">
        <f>_xll.BDP("3473 HK Equity","PX596","PX395=FUND_TOTAL_ASSETS","DY262=D","PY204=N","PX391=20260626","PX392=20260626","DS004=USD")</f>
        <v>108.16432745183049</v>
      </c>
      <c r="G186">
        <f>_xll.BDP("3473 HK Equity","PX388","PX395=CUR_MKT_CAP","DY262=D","PY204=N","PX391=20260626","PX392=20260626","DS004=HKD")</f>
        <v>851.98</v>
      </c>
      <c r="H186" t="str">
        <f>_xll.BDP("3473 HK Equity","FUND_LEVERAGE_TYPE")</f>
        <v>#N/A N/A</v>
      </c>
      <c r="I186" t="str">
        <f>_xll.BDP("3473 HK Equity","PX388","PX395=TURNOVER","DY262=D","PY204=N","PX391=20260101","PX392=20260131","DS004=HKD")</f>
        <v>#N/A N/A</v>
      </c>
      <c r="J186" t="s">
        <v>31</v>
      </c>
      <c r="K186" t="str">
        <f>_xll.BDP("3473 HK Equity","FUND_INCEPT_DT")</f>
        <v>3/27/2026</v>
      </c>
      <c r="L186" t="str">
        <f>_xll.BDP("3473 HK Equity","PX388","PX395=TURNOVER_EXCH_RATIO","DY262=D","PY204=N","PX391=20251201","PX392=20251210")</f>
        <v>#N/A N/A</v>
      </c>
      <c r="M186">
        <f>_xll.BDP("3473 HK Equity","EQY_SH_OUT")</f>
        <v>82</v>
      </c>
      <c r="N186" t="str">
        <f>_xll.BDP("3473 HK Equity","EQY_TRR_PCT_YTD")</f>
        <v>#N/A N/A</v>
      </c>
      <c r="O186" t="str">
        <f>_xll.BDP("3473 HK Equity","CHG_PCT_YTD")</f>
        <v>#N/A N/A</v>
      </c>
      <c r="P186">
        <f>_xll.BDP("3473 HK Equity","CHG_PCT_1M")</f>
        <v>9.6433119999999997E-2</v>
      </c>
      <c r="Q186" t="str">
        <f>_xll.BDP("3473 HK Equity","LISTING_DATE")</f>
        <v>3/30/2026</v>
      </c>
      <c r="R186" t="str">
        <f>_xll.BDP("3473 HK Equity","FUND_INCEPT_DT")</f>
        <v>3/27/2026</v>
      </c>
      <c r="S186" t="str">
        <f>_xll.BDP("3473 HK Equity","AVG_DAILY_VALUE_TRADED_3M")</f>
        <v>#N/A N/A</v>
      </c>
      <c r="T186" t="str">
        <f>_xll.BDP("3473 HK Equity","PX596","PX395=HISTORICAL_MARKET_CAP","DY262=D","PY204=N","PX391=20231231","PX392=20231231","DS004=HKD")</f>
        <v>#N/A N/A</v>
      </c>
      <c r="U186" t="str">
        <f>_xll.BDP("3473 HK Equity","PX385","PX395=FUND_FLOW","DY262=D","PY204=N","PX391=20240102","PX392=20240930","DS004=HKD")</f>
        <v>#N/A N/A</v>
      </c>
      <c r="V186" t="str">
        <f>_xll.BDP("3473 HK Equity","PX596","PX395=CUR_MKT_CAP","DY262=D","PY204=N","PX391=20240101","DS004=HKD")</f>
        <v>#N/A N/A</v>
      </c>
      <c r="W186" t="str">
        <f>_xll.BDP("3473 HK Equity","FUND_INCEPT_DT")</f>
        <v>3/27/2026</v>
      </c>
      <c r="X186" t="str">
        <f>_xll.BDP("3473 HK Equity","PX388","PX395=TURNOVER","DY262=D","PY204=N","PX391=20240502","PX392=20240606","DS004=HKD")</f>
        <v>#N/A N/A</v>
      </c>
      <c r="Y186" t="str">
        <f>_xll.BDP("3473 HK Equity","PARENT_COMP_NAME")</f>
        <v>CSOP Asset Management Ltd/Hong</v>
      </c>
      <c r="Z186" t="str">
        <f>_xll.BDP("3473 HK Equity","NAV_CRNCY")</f>
        <v>HKD</v>
      </c>
      <c r="AA186" t="str">
        <f>_xll.BDP("3473 HK Equity","FUND_GEO_FOCUS")</f>
        <v>Hong Kong</v>
      </c>
      <c r="AB186" t="str">
        <f>_xll.BDP("3473 HK Equity","FUND_ASSET_CLASS_FOCUS")</f>
        <v>Equity</v>
      </c>
      <c r="AC186">
        <f>_xll.BDP("3473 HK Equity","PX_LAST")</f>
        <v>10.38</v>
      </c>
      <c r="AD186">
        <f>_xll.BDP("3473 HK Equity","PX388","PX395=TIME_WAVG_BID_ASK_SPREAD_PCT","DY262=D","PY204=N","PX391=20260601","PX392=20260626")</f>
        <v>0.5641009498310926</v>
      </c>
      <c r="AE186">
        <f>_xll.BDP("3473 HK Equity","PX388","PX395=AVERAGE_BID_ASK_SPREAD_%","DY262=D","PY204=N","PX391=20260601","PX392=20260626")</f>
        <v>0.59612726860874365</v>
      </c>
    </row>
    <row r="187" spans="1:31" x14ac:dyDescent="0.25">
      <c r="A187" t="s">
        <v>212</v>
      </c>
      <c r="B187" t="str">
        <f>_xll.BDP("3476 HK Equity","LONG_COMP_NAME")</f>
        <v>Hang Seng JPMorgan US Equity Premium Income Active ETF</v>
      </c>
      <c r="C187">
        <f>_xll.BDP("3476 HK Equity","PX385","PX395=FUND_FLOW","DY262=D","PY204=N","PX391=20260622","PX392=20260626","DS004=USD")</f>
        <v>0</v>
      </c>
      <c r="D187">
        <f>_xll.BDP("3476 HK Equity","PX388","PX395=TURNOVER","DY262=D","PY204=N","PX391=20260601","PX392=20260626","DS004=HKD")</f>
        <v>1287995.652631579</v>
      </c>
      <c r="E187">
        <f>_xll.BDP("3476 HK Equity","PX388","PX395=TURNOVER","DY262=D","PY204=N","PX391=20250101","PX392=20251231","DS004=HKD")</f>
        <v>3305940.9388429746</v>
      </c>
      <c r="F187">
        <f>_xll.BDP("3476 HK Equity","PX596","PX395=FUND_TOTAL_ASSETS","DY262=D","PY204=N","PX391=20260626","PX392=20260626","DS004=USD")</f>
        <v>41.442406890000001</v>
      </c>
      <c r="G187">
        <f>_xll.BDP("3476 HK Equity","PX388","PX395=CUR_MKT_CAP","DY262=D","PY204=N","PX391=20260626","PX392=20260626","DS004=HKD")</f>
        <v>255.25799999999998</v>
      </c>
      <c r="H187" t="str">
        <f>_xll.BDP("3476 HK Equity","FUND_LEVERAGE_TYPE")</f>
        <v>#N/A N/A</v>
      </c>
      <c r="I187">
        <f>_xll.BDP("3476 HK Equity","PX388","PX395=TURNOVER","DY262=D","PY204=N","PX391=20260101","PX392=20260131","DS004=HKD")</f>
        <v>1543058.6857142856</v>
      </c>
      <c r="J187">
        <v>-1</v>
      </c>
      <c r="K187" t="str">
        <f>_xll.BDP("3476 HK Equity","FUND_INCEPT_DT")</f>
        <v>7/7/2025</v>
      </c>
      <c r="L187" t="str">
        <f>_xll.BDP("3476 HK Equity","PX388","PX395=TURNOVER_EXCH_RATIO","DY262=D","PY204=N","PX391=20251201","PX392=20251210")</f>
        <v>#N/A N/A</v>
      </c>
      <c r="M187">
        <f>_xll.BDP("3476 HK Equity","EQY_SH_OUT")</f>
        <v>17.399999999999999</v>
      </c>
      <c r="N187">
        <f>_xll.BDP("3476 HK Equity","EQY_TRR_PCT_YTD")</f>
        <v>0.52004989999999995</v>
      </c>
      <c r="O187">
        <f>_xll.BDP("3476 HK Equity","CHG_PCT_YTD")</f>
        <v>-1.3280240000000001</v>
      </c>
      <c r="P187">
        <f>_xll.BDP("3476 HK Equity","CHG_PCT_1M")</f>
        <v>0.20229320000000001</v>
      </c>
      <c r="Q187" t="str">
        <f>_xll.BDP("3476 HK Equity","LISTING_DATE")</f>
        <v>7/9/2025</v>
      </c>
      <c r="R187" t="str">
        <f>_xll.BDP("3476 HK Equity","FUND_INCEPT_DT")</f>
        <v>7/7/2025</v>
      </c>
      <c r="S187">
        <f>_xll.BDP("3476 HK Equity","AVG_DAILY_VALUE_TRADED_3M")</f>
        <v>1358950</v>
      </c>
      <c r="T187" t="str">
        <f>_xll.BDP("3476 HK Equity","PX596","PX395=HISTORICAL_MARKET_CAP","DY262=D","PY204=N","PX391=20231231","PX392=20231231","DS004=HKD")</f>
        <v>#N/A N/A</v>
      </c>
      <c r="U187" t="str">
        <f>_xll.BDP("3476 HK Equity","PX385","PX395=FUND_FLOW","DY262=D","PY204=N","PX391=20240102","PX392=20240930","DS004=HKD")</f>
        <v>#N/A N/A</v>
      </c>
      <c r="V187">
        <f>_xll.BDP("3476 HK Equity","PX596","PX395=CUR_MKT_CAP","DY262=D","PY204=N","PX391=20240101","DS004=HKD")</f>
        <v>231.92400000000001</v>
      </c>
      <c r="W187" t="str">
        <f>_xll.BDP("3476 HK Equity","FUND_INCEPT_DT")</f>
        <v>7/7/2025</v>
      </c>
      <c r="X187" t="str">
        <f>_xll.BDP("3476 HK Equity","PX388","PX395=TURNOVER","DY262=D","PY204=N","PX391=20240502","PX392=20240606","DS004=HKD")</f>
        <v>#N/A N/A</v>
      </c>
      <c r="Y187" t="str">
        <f>_xll.BDP("3476 HK Equity","PARENT_COMP_NAME")</f>
        <v>Hang Seng Investment Managemen</v>
      </c>
      <c r="Z187" t="str">
        <f>_xll.BDP("3476 HK Equity","NAV_CRNCY")</f>
        <v>USD</v>
      </c>
      <c r="AA187" t="str">
        <f>_xll.BDP("3476 HK Equity","FUND_GEO_FOCUS")</f>
        <v>U.S.</v>
      </c>
      <c r="AB187" t="str">
        <f>_xll.BDP("3476 HK Equity","FUND_ASSET_CLASS_FOCUS")</f>
        <v>Equity</v>
      </c>
      <c r="AC187">
        <f>_xll.BDP("3476 HK Equity","PX_LAST")</f>
        <v>14.86</v>
      </c>
      <c r="AD187">
        <f>_xll.BDP("3476 HK Equity","PX388","PX395=TIME_WAVG_BID_ASK_SPREAD_PCT","DY262=D","PY204=N","PX391=20260601","PX392=20260626")</f>
        <v>0.22711418946462156</v>
      </c>
      <c r="AE187">
        <f>_xll.BDP("3476 HK Equity","PX388","PX395=AVERAGE_BID_ASK_SPREAD_%","DY262=D","PY204=N","PX391=20260601","PX392=20260626")</f>
        <v>0.27529004995303091</v>
      </c>
    </row>
    <row r="188" spans="1:31" x14ac:dyDescent="0.25">
      <c r="A188" t="s">
        <v>213</v>
      </c>
      <c r="B188" t="str">
        <f>_xll.BDP("3477 HK Equity","LONG_COMP_NAME")</f>
        <v>Ping An East-West Select ETF</v>
      </c>
      <c r="C188">
        <f>_xll.BDP("3477 HK Equity","PX385","PX395=FUND_FLOW","DY262=D","PY204=N","PX391=20260622","PX392=20260626","DS004=USD")</f>
        <v>0</v>
      </c>
      <c r="D188">
        <f>_xll.BDP("3477 HK Equity","PX388","PX395=TURNOVER","DY262=D","PY204=N","PX391=20260601","PX392=20260626","DS004=HKD")</f>
        <v>160834.76470588235</v>
      </c>
      <c r="E188">
        <f>_xll.BDP("3477 HK Equity","PX388","PX395=TURNOVER","DY262=D","PY204=N","PX391=20250101","PX392=20251231","DS004=HKD")</f>
        <v>7520.2499999999991</v>
      </c>
      <c r="F188">
        <f>_xll.BDP("3477 HK Equity","PX596","PX395=FUND_TOTAL_ASSETS","DY262=D","PY204=N","PX391=20260626","PX392=20260626","DS004=USD")</f>
        <v>76.875997903622732</v>
      </c>
      <c r="G188">
        <f>_xll.BDP("3477 HK Equity","PX388","PX395=CUR_MKT_CAP","DY262=D","PY204=N","PX391=20260626","PX392=20260626","DS004=HKD")</f>
        <v>603.1</v>
      </c>
      <c r="H188" t="str">
        <f>_xll.BDP("3477 HK Equity","FUND_LEVERAGE_TYPE")</f>
        <v>#N/A N/A</v>
      </c>
      <c r="I188">
        <f>_xll.BDP("3477 HK Equity","PX388","PX395=TURNOVER","DY262=D","PY204=N","PX391=20260101","PX392=20260131","DS004=HKD")</f>
        <v>4225</v>
      </c>
      <c r="J188">
        <v>-0.98</v>
      </c>
      <c r="K188" t="str">
        <f>_xll.BDP("3477 HK Equity","FUND_INCEPT_DT")</f>
        <v>9/9/2025</v>
      </c>
      <c r="L188" t="str">
        <f>_xll.BDP("3477 HK Equity","PX388","PX395=TURNOVER_EXCH_RATIO","DY262=D","PY204=N","PX391=20251201","PX392=20251210")</f>
        <v>#N/A N/A</v>
      </c>
      <c r="M188">
        <f>_xll.BDP("3477 HK Equity","EQY_SH_OUT")</f>
        <v>37</v>
      </c>
      <c r="N188">
        <f>_xll.BDP("3477 HK Equity","EQY_TRR_PCT_YTD")</f>
        <v>-0.71897200000000006</v>
      </c>
      <c r="O188">
        <f>_xll.BDP("3477 HK Equity","CHG_PCT_YTD")</f>
        <v>-1.0197959999999999</v>
      </c>
      <c r="P188">
        <f>_xll.BDP("3477 HK Equity","CHG_PCT_1M")</f>
        <v>-5.9829020000000002</v>
      </c>
      <c r="Q188" t="str">
        <f>_xll.BDP("3477 HK Equity","LISTING_DATE")</f>
        <v>9/9/2025</v>
      </c>
      <c r="R188" t="str">
        <f>_xll.BDP("3477 HK Equity","FUND_INCEPT_DT")</f>
        <v>9/9/2025</v>
      </c>
      <c r="S188">
        <f>_xll.BDP("3477 HK Equity","AVG_DAILY_VALUE_TRADED_3M")</f>
        <v>76296.800000000003</v>
      </c>
      <c r="T188" t="str">
        <f>_xll.BDP("3477 HK Equity","PX596","PX395=HISTORICAL_MARKET_CAP","DY262=D","PY204=N","PX391=20231231","PX392=20231231","DS004=HKD")</f>
        <v>#N/A N/A</v>
      </c>
      <c r="U188" t="str">
        <f>_xll.BDP("3477 HK Equity","PX385","PX395=FUND_FLOW","DY262=D","PY204=N","PX391=20240102","PX392=20240930","DS004=HKD")</f>
        <v>#N/A N/A</v>
      </c>
      <c r="V188">
        <f>_xll.BDP("3477 HK Equity","PX596","PX395=CUR_MKT_CAP","DY262=D","PY204=N","PX391=20240101","DS004=HKD")</f>
        <v>616.79000000000008</v>
      </c>
      <c r="W188" t="str">
        <f>_xll.BDP("3477 HK Equity","FUND_INCEPT_DT")</f>
        <v>9/9/2025</v>
      </c>
      <c r="X188" t="str">
        <f>_xll.BDP("3477 HK Equity","PX388","PX395=TURNOVER","DY262=D","PY204=N","PX391=20240502","PX392=20240606","DS004=HKD")</f>
        <v>#N/A N/A</v>
      </c>
      <c r="Y188" t="str">
        <f>_xll.BDP("3477 HK Equity","PARENT_COMP_NAME")</f>
        <v>Ping An of China Asset Managem</v>
      </c>
      <c r="Z188" t="str">
        <f>_xll.BDP("3477 HK Equity","NAV_CRNCY")</f>
        <v>HKD</v>
      </c>
      <c r="AA188" t="str">
        <f>_xll.BDP("3477 HK Equity","FUND_GEO_FOCUS")</f>
        <v>Multi</v>
      </c>
      <c r="AB188" t="str">
        <f>_xll.BDP("3477 HK Equity","FUND_ASSET_CLASS_FOCUS")</f>
        <v>Equity</v>
      </c>
      <c r="AC188">
        <f>_xll.BDP("3477 HK Equity","PX_LAST")</f>
        <v>16.5</v>
      </c>
      <c r="AD188">
        <f>_xll.BDP("3477 HK Equity","PX388","PX395=TIME_WAVG_BID_ASK_SPREAD_PCT","DY262=D","PY204=N","PX391=20260601","PX392=20260626")</f>
        <v>0.37912540278237328</v>
      </c>
      <c r="AE188">
        <f>_xll.BDP("3477 HK Equity","PX388","PX395=AVERAGE_BID_ASK_SPREAD_%","DY262=D","PY204=N","PX391=20260601","PX392=20260626")</f>
        <v>0.44413731887836255</v>
      </c>
    </row>
    <row r="189" spans="1:31" x14ac:dyDescent="0.25">
      <c r="A189" t="s">
        <v>214</v>
      </c>
      <c r="B189" t="str">
        <f>_xll.BDP("3478 HK Equity","LONG_COMP_NAME")</f>
        <v>Premia BOCHK Saudi Arabia Government Sukuk ETF</v>
      </c>
      <c r="C189">
        <f>_xll.BDP("3478 HK Equity","PX385","PX395=FUND_FLOW","DY262=D","PY204=N","PX391=20260622","PX392=20260626","DS004=USD")</f>
        <v>0</v>
      </c>
      <c r="D189">
        <f>_xll.BDP("3478 HK Equity","PX388","PX395=TURNOVER","DY262=D","PY204=N","PX391=20260601","PX392=20260626","DS004=HKD")</f>
        <v>53695</v>
      </c>
      <c r="E189">
        <f>_xll.BDP("3478 HK Equity","PX388","PX395=TURNOVER","DY262=D","PY204=N","PX391=20250101","PX392=20251231","DS004=HKD")</f>
        <v>88817.985507246383</v>
      </c>
      <c r="F189" t="str">
        <f>_xll.BDP("3478 HK Equity","PX596","PX395=FUND_TOTAL_ASSETS","DY262=D","PY204=N","PX391=20260626","PX392=20260626","DS004=USD")</f>
        <v>#N/A N/A</v>
      </c>
      <c r="G189">
        <f>_xll.BDP("3478 HK Equity","PX388","PX395=CUR_MKT_CAP","DY262=D","PY204=N","PX391=20260626","PX392=20260626","DS004=HKD")</f>
        <v>179.22</v>
      </c>
      <c r="H189" t="str">
        <f>_xll.BDP("3478 HK Equity","FUND_LEVERAGE_TYPE")</f>
        <v>#N/A N/A</v>
      </c>
      <c r="I189">
        <f>_xll.BDP("3478 HK Equity","PX388","PX395=TURNOVER","DY262=D","PY204=N","PX391=20260101","PX392=20260131","DS004=HKD")</f>
        <v>71791</v>
      </c>
      <c r="J189" t="s">
        <v>31</v>
      </c>
      <c r="K189" t="str">
        <f>_xll.BDP("3478 HK Equity","FUND_INCEPT_DT")</f>
        <v>5/27/2025</v>
      </c>
      <c r="L189" t="str">
        <f>_xll.BDP("3478 HK Equity","PX388","PX395=TURNOVER_EXCH_RATIO","DY262=D","PY204=N","PX391=20251201","PX392=20251210")</f>
        <v>#N/A N/A</v>
      </c>
      <c r="M189">
        <f>_xll.BDP("3478 HK Equity","EQY_SH_OUT")</f>
        <v>2.1749999999999998</v>
      </c>
      <c r="N189">
        <f>_xll.BDP("3478 HK Equity","EQY_TRR_PCT_YTD")</f>
        <v>1.127192</v>
      </c>
      <c r="O189">
        <f>_xll.BDP("3478 HK Equity","CHG_PCT_YTD")</f>
        <v>-0.31378299999999998</v>
      </c>
      <c r="P189">
        <f>_xll.BDP("3478 HK Equity","CHG_PCT_1M")</f>
        <v>0.85469899999999999</v>
      </c>
      <c r="Q189" t="str">
        <f>_xll.BDP("3478 HK Equity","LISTING_DATE")</f>
        <v>5/29/2025</v>
      </c>
      <c r="R189" t="str">
        <f>_xll.BDP("3478 HK Equity","FUND_INCEPT_DT")</f>
        <v>5/27/2025</v>
      </c>
      <c r="S189">
        <f>_xll.BDP("3478 HK Equity","AVG_DAILY_VALUE_TRADED_3M")</f>
        <v>4468.7539999999999</v>
      </c>
      <c r="T189" t="str">
        <f>_xll.BDP("3478 HK Equity","PX596","PX395=HISTORICAL_MARKET_CAP","DY262=D","PY204=N","PX391=20231231","PX392=20231231","DS004=HKD")</f>
        <v>#N/A N/A</v>
      </c>
      <c r="U189" t="str">
        <f>_xll.BDP("3478 HK Equity","PX385","PX395=FUND_FLOW","DY262=D","PY204=N","PX391=20240102","PX392=20240930","DS004=HKD")</f>
        <v>#N/A N/A</v>
      </c>
      <c r="V189">
        <f>_xll.BDP("3478 HK Equity","PX596","PX395=CUR_MKT_CAP","DY262=D","PY204=N","PX391=20240101","DS004=HKD")</f>
        <v>176.07749999999999</v>
      </c>
      <c r="W189" t="str">
        <f>_xll.BDP("3478 HK Equity","FUND_INCEPT_DT")</f>
        <v>5/27/2025</v>
      </c>
      <c r="X189" t="str">
        <f>_xll.BDP("3478 HK Equity","PX388","PX395=TURNOVER","DY262=D","PY204=N","PX391=20240502","PX392=20240606","DS004=HKD")</f>
        <v>#N/A N/A</v>
      </c>
      <c r="Y189" t="str">
        <f>_xll.BDP("3478 HK Equity","PARENT_COMP_NAME")</f>
        <v>Premia Partners Co Ltd/Hong Ko</v>
      </c>
      <c r="Z189" t="str">
        <f>_xll.BDP("3478 HK Equity","NAV_CRNCY")</f>
        <v>SAR</v>
      </c>
      <c r="AA189" t="str">
        <f>_xll.BDP("3478 HK Equity","FUND_GEO_FOCUS")</f>
        <v>Saudi Arabia</v>
      </c>
      <c r="AB189" t="str">
        <f>_xll.BDP("3478 HK Equity","FUND_ASSET_CLASS_FOCUS")</f>
        <v>Fixed Income</v>
      </c>
      <c r="AC189">
        <f>_xll.BDP("3478 HK Equity","PX_LAST")</f>
        <v>82.6</v>
      </c>
      <c r="AD189">
        <f>_xll.BDP("3478 HK Equity","PX388","PX395=TIME_WAVG_BID_ASK_SPREAD_PCT","DY262=D","PY204=N","PX391=20260601","PX392=20260626")</f>
        <v>0.85071573122429878</v>
      </c>
      <c r="AE189">
        <f>_xll.BDP("3478 HK Equity","PX388","PX395=AVERAGE_BID_ASK_SPREAD_%","DY262=D","PY204=N","PX391=20260601","PX392=20260626")</f>
        <v>1.0313763153592668</v>
      </c>
    </row>
    <row r="190" spans="1:31" x14ac:dyDescent="0.25">
      <c r="A190" t="s">
        <v>215</v>
      </c>
      <c r="B190" t="str">
        <f>_xll.BDP("3480 HK Equity","LONG_COMP_NAME")</f>
        <v>Value Partners Fund Series OFC - Value Partners USD Money Market ETF</v>
      </c>
      <c r="C190">
        <f>_xll.BDP("3480 HK Equity","PX385","PX395=FUND_FLOW","DY262=D","PY204=N","PX391=20260622","PX392=20260626","DS004=USD")</f>
        <v>0</v>
      </c>
      <c r="D190" t="str">
        <f>_xll.BDP("3480 HK Equity","PX388","PX395=TURNOVER","DY262=D","PY204=N","PX391=20260601","PX392=20260626","DS004=HKD")</f>
        <v>#N/A N/A</v>
      </c>
      <c r="E190">
        <f>_xll.BDP("3480 HK Equity","PX388","PX395=TURNOVER","DY262=D","PY204=N","PX391=20250101","PX392=20251231","DS004=HKD")</f>
        <v>13018.633333333333</v>
      </c>
      <c r="F190">
        <f>_xll.BDP("3480 HK Equity","PX596","PX395=FUND_TOTAL_ASSETS","DY262=D","PY204=N","PX391=20260626","PX392=20260626","DS004=USD")</f>
        <v>16.68</v>
      </c>
      <c r="G190">
        <f>_xll.BDP("3480 HK Equity","PX388","PX395=CUR_MKT_CAP","DY262=D","PY204=N","PX391=20260626","PX392=20260626","DS004=HKD")</f>
        <v>128.56480000000002</v>
      </c>
      <c r="H190" t="str">
        <f>_xll.BDP("3480 HK Equity","FUND_LEVERAGE_TYPE")</f>
        <v>#N/A N/A</v>
      </c>
      <c r="I190" t="str">
        <f>_xll.BDP("3480 HK Equity","PX388","PX395=TURNOVER","DY262=D","PY204=N","PX391=20260101","PX392=20260131","DS004=HKD")</f>
        <v>#N/A N/A</v>
      </c>
      <c r="J190" t="s">
        <v>31</v>
      </c>
      <c r="K190" t="str">
        <f>_xll.BDP("3480 HK Equity","FUND_INCEPT_DT")</f>
        <v>10/10/2025</v>
      </c>
      <c r="L190" t="str">
        <f>_xll.BDP("3480 HK Equity","PX388","PX395=TURNOVER_EXCH_RATIO","DY262=D","PY204=N","PX391=20251201","PX392=20251210")</f>
        <v>#N/A N/A</v>
      </c>
      <c r="M190">
        <f>_xll.BDP("3480 HK Equity","EQY_SH_OUT")</f>
        <v>1.6E-2</v>
      </c>
      <c r="N190">
        <f>_xll.BDP("3480 HK Equity","EQY_TRR_PCT_YTD")</f>
        <v>2.5583420000000001</v>
      </c>
      <c r="O190">
        <f>_xll.BDP("3480 HK Equity","CHG_PCT_YTD")</f>
        <v>2.4296630000000001</v>
      </c>
      <c r="P190">
        <f>_xll.BDP("3480 HK Equity","CHG_PCT_1M")</f>
        <v>0.27955039999999998</v>
      </c>
      <c r="Q190" t="str">
        <f>_xll.BDP("3480 HK Equity","LISTING_DATE")</f>
        <v>10/16/2025</v>
      </c>
      <c r="R190" t="str">
        <f>_xll.BDP("3480 HK Equity","FUND_INCEPT_DT")</f>
        <v>10/10/2025</v>
      </c>
      <c r="S190" t="str">
        <f>_xll.BDP("3480 HK Equity","AVG_DAILY_VALUE_TRADED_3M")</f>
        <v>#N/A N/A</v>
      </c>
      <c r="T190" t="str">
        <f>_xll.BDP("3480 HK Equity","PX596","PX395=HISTORICAL_MARKET_CAP","DY262=D","PY204=N","PX391=20231231","PX392=20231231","DS004=HKD")</f>
        <v>#N/A N/A</v>
      </c>
      <c r="U190" t="str">
        <f>_xll.BDP("3480 HK Equity","PX385","PX395=FUND_FLOW","DY262=D","PY204=N","PX391=20240102","PX392=20240930","DS004=HKD")</f>
        <v>#N/A N/A</v>
      </c>
      <c r="V190">
        <f>_xll.BDP("3480 HK Equity","PX596","PX395=CUR_MKT_CAP","DY262=D","PY204=N","PX391=20240101","DS004=HKD")</f>
        <v>125.51519999999999</v>
      </c>
      <c r="W190" t="str">
        <f>_xll.BDP("3480 HK Equity","FUND_INCEPT_DT")</f>
        <v>10/10/2025</v>
      </c>
      <c r="X190" t="str">
        <f>_xll.BDP("3480 HK Equity","PX388","PX395=TURNOVER","DY262=D","PY204=N","PX391=20240502","PX392=20240606","DS004=HKD")</f>
        <v>#N/A N/A</v>
      </c>
      <c r="Y190" t="str">
        <f>_xll.BDP("3480 HK Equity","PARENT_COMP_NAME")</f>
        <v>Value Partners Hong Kong Ltd</v>
      </c>
      <c r="Z190" t="str">
        <f>_xll.BDP("3480 HK Equity","NAV_CRNCY")</f>
        <v>HKD</v>
      </c>
      <c r="AA190" t="str">
        <f>_xll.BDP("3480 HK Equity","FUND_GEO_FOCUS")</f>
        <v>Global</v>
      </c>
      <c r="AB190" t="str">
        <f>_xll.BDP("3480 HK Equity","FUND_ASSET_CLASS_FOCUS")</f>
        <v>Money Market</v>
      </c>
      <c r="AC190">
        <f>_xll.BDP("3480 HK Equity","PX_LAST")</f>
        <v>8035.3</v>
      </c>
      <c r="AD190">
        <f>_xll.BDP("3480 HK Equity","PX388","PX395=TIME_WAVG_BID_ASK_SPREAD_PCT","DY262=D","PY204=N","PX391=20260601","PX392=20260626")</f>
        <v>0.19340891121192422</v>
      </c>
      <c r="AE190">
        <f>_xll.BDP("3480 HK Equity","PX388","PX395=AVERAGE_BID_ASK_SPREAD_%","DY262=D","PY204=N","PX391=20260601","PX392=20260626")</f>
        <v>0.19959193856619611</v>
      </c>
    </row>
    <row r="191" spans="1:31" x14ac:dyDescent="0.25">
      <c r="A191" t="s">
        <v>216</v>
      </c>
      <c r="B191" t="str">
        <f>_xll.BDP("3486 HK Equity","LONG_COMP_NAME")</f>
        <v>E Fund HK Solactive Asia Semiconductor Select Index ETF</v>
      </c>
      <c r="C191">
        <f>_xll.BDP("3486 HK Equity","PX385","PX395=FUND_FLOW","DY262=D","PY204=N","PX391=20260622","PX392=20260626","DS004=USD")</f>
        <v>0</v>
      </c>
      <c r="D191">
        <f>_xll.BDP("3486 HK Equity","PX388","PX395=TURNOVER","DY262=D","PY204=N","PX391=20260601","PX392=20260626","DS004=HKD")</f>
        <v>14736754.105263157</v>
      </c>
      <c r="E191" t="str">
        <f>_xll.BDP("3486 HK Equity","PX388","PX395=TURNOVER","DY262=D","PY204=N","PX391=20250101","PX392=20251231","DS004=HKD")</f>
        <v>#N/A N/A</v>
      </c>
      <c r="F191">
        <f>_xll.BDP("3486 HK Equity","PX596","PX395=FUND_TOTAL_ASSETS","DY262=D","PY204=N","PX391=20260626","PX392=20260626","DS004=USD")</f>
        <v>26.90820234886063</v>
      </c>
      <c r="G191">
        <f>_xll.BDP("3486 HK Equity","PX388","PX395=CUR_MKT_CAP","DY262=D","PY204=N","PX391=20260626","PX392=20260626","DS004=HKD")</f>
        <v>213.28</v>
      </c>
      <c r="H191" t="str">
        <f>_xll.BDP("3486 HK Equity","FUND_LEVERAGE_TYPE")</f>
        <v>#N/A N/A</v>
      </c>
      <c r="I191" t="str">
        <f>_xll.BDP("3486 HK Equity","PX388","PX395=TURNOVER","DY262=D","PY204=N","PX391=20260101","PX392=20260131","DS004=HKD")</f>
        <v>#N/A N/A</v>
      </c>
      <c r="J191" t="s">
        <v>31</v>
      </c>
      <c r="K191" t="str">
        <f>_xll.BDP("3486 HK Equity","FUND_INCEPT_DT")</f>
        <v>3/24/2026</v>
      </c>
      <c r="L191" t="str">
        <f>_xll.BDP("3486 HK Equity","PX388","PX395=TURNOVER_EXCH_RATIO","DY262=D","PY204=N","PX391=20251201","PX392=20251210")</f>
        <v>#N/A N/A</v>
      </c>
      <c r="M191">
        <f>_xll.BDP("3486 HK Equity","EQY_SH_OUT")</f>
        <v>8.6</v>
      </c>
      <c r="N191" t="str">
        <f>_xll.BDP("3486 HK Equity","EQY_TRR_PCT_YTD")</f>
        <v>#N/A N/A</v>
      </c>
      <c r="O191" t="str">
        <f>_xll.BDP("3486 HK Equity","CHG_PCT_YTD")</f>
        <v>#N/A N/A</v>
      </c>
      <c r="P191">
        <f>_xll.BDP("3486 HK Equity","CHG_PCT_1M")</f>
        <v>7.8699779999999997</v>
      </c>
      <c r="Q191" t="str">
        <f>_xll.BDP("3486 HK Equity","LISTING_DATE")</f>
        <v>3/26/2026</v>
      </c>
      <c r="R191" t="str">
        <f>_xll.BDP("3486 HK Equity","FUND_INCEPT_DT")</f>
        <v>3/24/2026</v>
      </c>
      <c r="S191">
        <f>_xll.BDP("3486 HK Equity","AVG_DAILY_VALUE_TRADED_3M")</f>
        <v>11382600</v>
      </c>
      <c r="T191" t="str">
        <f>_xll.BDP("3486 HK Equity","PX596","PX395=HISTORICAL_MARKET_CAP","DY262=D","PY204=N","PX391=20231231","PX392=20231231","DS004=HKD")</f>
        <v>#N/A N/A</v>
      </c>
      <c r="U191" t="str">
        <f>_xll.BDP("3486 HK Equity","PX385","PX395=FUND_FLOW","DY262=D","PY204=N","PX391=20240102","PX392=20240930","DS004=HKD")</f>
        <v>#N/A N/A</v>
      </c>
      <c r="V191" t="str">
        <f>_xll.BDP("3486 HK Equity","PX596","PX395=CUR_MKT_CAP","DY262=D","PY204=N","PX391=20240101","DS004=HKD")</f>
        <v>#N/A N/A</v>
      </c>
      <c r="W191" t="str">
        <f>_xll.BDP("3486 HK Equity","FUND_INCEPT_DT")</f>
        <v>3/24/2026</v>
      </c>
      <c r="X191" t="str">
        <f>_xll.BDP("3486 HK Equity","PX388","PX395=TURNOVER","DY262=D","PY204=N","PX391=20240502","PX392=20240606","DS004=HKD")</f>
        <v>#N/A N/A</v>
      </c>
      <c r="Y191" t="str">
        <f>_xll.BDP("3486 HK Equity","PARENT_COMP_NAME")</f>
        <v>E Fund Management Hong Kong Co</v>
      </c>
      <c r="Z191" t="str">
        <f>_xll.BDP("3486 HK Equity","NAV_CRNCY")</f>
        <v>HKD</v>
      </c>
      <c r="AA191" t="str">
        <f>_xll.BDP("3486 HK Equity","FUND_GEO_FOCUS")</f>
        <v>Asian Pacific Region</v>
      </c>
      <c r="AB191" t="str">
        <f>_xll.BDP("3486 HK Equity","FUND_ASSET_CLASS_FOCUS")</f>
        <v>Equity</v>
      </c>
      <c r="AC191">
        <f>_xll.BDP("3486 HK Equity","PX_LAST")</f>
        <v>25.22</v>
      </c>
      <c r="AD191">
        <f>_xll.BDP("3486 HK Equity","PX388","PX395=TIME_WAVG_BID_ASK_SPREAD_PCT","DY262=D","PY204=N","PX391=20260601","PX392=20260626")</f>
        <v>0.21565574130723006</v>
      </c>
      <c r="AE191">
        <f>_xll.BDP("3486 HK Equity","PX388","PX395=AVERAGE_BID_ASK_SPREAD_%","DY262=D","PY204=N","PX391=20260601","PX392=20260626")</f>
        <v>0.28577520839582399</v>
      </c>
    </row>
    <row r="192" spans="1:31" x14ac:dyDescent="0.25">
      <c r="A192" t="s">
        <v>217</v>
      </c>
      <c r="B192" t="str">
        <f>_xll.BDP("3488 HK Equity","LONG_COMP_NAME")</f>
        <v>Value Partners Fund Series OFC - VP HK-US Dividend Low Volatility ETF</v>
      </c>
      <c r="C192">
        <f>_xll.BDP("3488 HK Equity","PX385","PX395=FUND_FLOW","DY262=D","PY204=N","PX391=20260622","PX392=20260626","DS004=USD")</f>
        <v>0</v>
      </c>
      <c r="D192">
        <f>_xll.BDP("3488 HK Equity","PX388","PX395=TURNOVER","DY262=D","PY204=N","PX391=20260601","PX392=20260626","DS004=HKD")</f>
        <v>248396.10526315789</v>
      </c>
      <c r="E192" t="str">
        <f>_xll.BDP("3488 HK Equity","PX388","PX395=TURNOVER","DY262=D","PY204=N","PX391=20250101","PX392=20251231","DS004=HKD")</f>
        <v>#N/A N/A</v>
      </c>
      <c r="F192">
        <f>_xll.BDP("3488 HK Equity","PX596","PX395=FUND_TOTAL_ASSETS","DY262=D","PY204=N","PX391=20260626","PX392=20260626","DS004=USD")</f>
        <v>9.1926907333494849</v>
      </c>
      <c r="G192">
        <f>_xll.BDP("3488 HK Equity","PX388","PX395=CUR_MKT_CAP","DY262=D","PY204=N","PX391=20260626","PX392=20260626","DS004=HKD")</f>
        <v>71.567999999999998</v>
      </c>
      <c r="H192" t="str">
        <f>_xll.BDP("3488 HK Equity","FUND_LEVERAGE_TYPE")</f>
        <v>#N/A N/A</v>
      </c>
      <c r="I192" t="str">
        <f>_xll.BDP("3488 HK Equity","PX388","PX395=TURNOVER","DY262=D","PY204=N","PX391=20260101","PX392=20260131","DS004=HKD")</f>
        <v>#N/A N/A</v>
      </c>
      <c r="J192" t="s">
        <v>31</v>
      </c>
      <c r="K192" t="str">
        <f>_xll.BDP("3488 HK Equity","FUND_INCEPT_DT")</f>
        <v>3/30/2026</v>
      </c>
      <c r="L192" t="str">
        <f>_xll.BDP("3488 HK Equity","PX388","PX395=TURNOVER_EXCH_RATIO","DY262=D","PY204=N","PX391=20251201","PX392=20251210")</f>
        <v>#N/A N/A</v>
      </c>
      <c r="M192">
        <f>_xll.BDP("3488 HK Equity","EQY_SH_OUT")</f>
        <v>4.8</v>
      </c>
      <c r="N192" t="str">
        <f>_xll.BDP("3488 HK Equity","EQY_TRR_PCT_YTD")</f>
        <v>#N/A N/A</v>
      </c>
      <c r="O192" t="str">
        <f>_xll.BDP("3488 HK Equity","CHG_PCT_YTD")</f>
        <v>#N/A N/A</v>
      </c>
      <c r="P192">
        <f>_xll.BDP("3488 HK Equity","CHG_PCT_1M")</f>
        <v>-3.3974380000000002</v>
      </c>
      <c r="Q192" t="str">
        <f>_xll.BDP("3488 HK Equity","LISTING_DATE")</f>
        <v>3/31/2026</v>
      </c>
      <c r="R192" t="str">
        <f>_xll.BDP("3488 HK Equity","FUND_INCEPT_DT")</f>
        <v>3/30/2026</v>
      </c>
      <c r="S192" t="str">
        <f>_xll.BDP("3488 HK Equity","AVG_DAILY_VALUE_TRADED_3M")</f>
        <v>#N/A N/A</v>
      </c>
      <c r="T192" t="str">
        <f>_xll.BDP("3488 HK Equity","PX596","PX395=HISTORICAL_MARKET_CAP","DY262=D","PY204=N","PX391=20231231","PX392=20231231","DS004=HKD")</f>
        <v>#N/A N/A</v>
      </c>
      <c r="U192" t="str">
        <f>_xll.BDP("3488 HK Equity","PX385","PX395=FUND_FLOW","DY262=D","PY204=N","PX391=20240102","PX392=20240930","DS004=HKD")</f>
        <v>#N/A N/A</v>
      </c>
      <c r="V192" t="str">
        <f>_xll.BDP("3488 HK Equity","PX596","PX395=CUR_MKT_CAP","DY262=D","PY204=N","PX391=20240101","DS004=HKD")</f>
        <v>#N/A N/A</v>
      </c>
      <c r="W192" t="str">
        <f>_xll.BDP("3488 HK Equity","FUND_INCEPT_DT")</f>
        <v>3/30/2026</v>
      </c>
      <c r="X192" t="str">
        <f>_xll.BDP("3488 HK Equity","PX388","PX395=TURNOVER","DY262=D","PY204=N","PX391=20240502","PX392=20240606","DS004=HKD")</f>
        <v>#N/A N/A</v>
      </c>
      <c r="Y192" t="str">
        <f>_xll.BDP("3488 HK Equity","PARENT_COMP_NAME")</f>
        <v>Value Partners Hong Kong Ltd</v>
      </c>
      <c r="Z192" t="str">
        <f>_xll.BDP("3488 HK Equity","NAV_CRNCY")</f>
        <v>HKD</v>
      </c>
      <c r="AA192" t="str">
        <f>_xll.BDP("3488 HK Equity","FUND_GEO_FOCUS")</f>
        <v>Multi</v>
      </c>
      <c r="AB192" t="str">
        <f>_xll.BDP("3488 HK Equity","FUND_ASSET_CLASS_FOCUS")</f>
        <v>Equity</v>
      </c>
      <c r="AC192">
        <f>_xll.BDP("3488 HK Equity","PX_LAST")</f>
        <v>15.07</v>
      </c>
      <c r="AD192">
        <f>_xll.BDP("3488 HK Equity","PX388","PX395=TIME_WAVG_BID_ASK_SPREAD_PCT","DY262=D","PY204=N","PX391=20260601","PX392=20260626")</f>
        <v>0.35153079889816208</v>
      </c>
      <c r="AE192">
        <f>_xll.BDP("3488 HK Equity","PX388","PX395=AVERAGE_BID_ASK_SPREAD_%","DY262=D","PY204=N","PX391=20260601","PX392=20260626")</f>
        <v>0.46157928187889258</v>
      </c>
    </row>
    <row r="193" spans="1:31" x14ac:dyDescent="0.25">
      <c r="A193" t="s">
        <v>218</v>
      </c>
      <c r="B193" t="str">
        <f>_xll.BDP("3519 HK Equity","LONG_COMP_NAME")</f>
        <v>Hang Seng HSCEI Covered Call Active ETF</v>
      </c>
      <c r="C193">
        <f>_xll.BDP("3519 HK Equity","PX385","PX395=FUND_FLOW","DY262=D","PY204=N","PX391=20260622","PX392=20260626","DS004=USD")</f>
        <v>0</v>
      </c>
      <c r="D193">
        <f>_xll.BDP("3519 HK Equity","PX388","PX395=TURNOVER","DY262=D","PY204=N","PX391=20260601","PX392=20260626","DS004=HKD")</f>
        <v>2024714.9736842103</v>
      </c>
      <c r="E193" t="str">
        <f>_xll.BDP("3519 HK Equity","PX388","PX395=TURNOVER","DY262=D","PY204=N","PX391=20250101","PX392=20251231","DS004=HKD")</f>
        <v>#N/A N/A</v>
      </c>
      <c r="F193">
        <f>_xll.BDP("3519 HK Equity","PX596","PX395=FUND_TOTAL_ASSETS","DY262=D","PY204=N","PX391=20260626","PX392=20260626","DS004=USD")</f>
        <v>8.5135552543323829</v>
      </c>
      <c r="G193">
        <f>_xll.BDP("3519 HK Equity","PX388","PX395=CUR_MKT_CAP","DY262=D","PY204=N","PX391=20260626","PX392=20260626","DS004=HKD")</f>
        <v>67.040000000000006</v>
      </c>
      <c r="H193" t="str">
        <f>_xll.BDP("3519 HK Equity","FUND_LEVERAGE_TYPE")</f>
        <v>#N/A N/A</v>
      </c>
      <c r="I193" t="str">
        <f>_xll.BDP("3519 HK Equity","PX388","PX395=TURNOVER","DY262=D","PY204=N","PX391=20260101","PX392=20260131","DS004=HKD")</f>
        <v>#N/A N/A</v>
      </c>
      <c r="J193" t="s">
        <v>31</v>
      </c>
      <c r="K193" t="str">
        <f>_xll.BDP("3519 HK Equity","FUND_INCEPT_DT")</f>
        <v>5/5/2026</v>
      </c>
      <c r="L193" t="str">
        <f>_xll.BDP("3519 HK Equity","PX388","PX395=TURNOVER_EXCH_RATIO","DY262=D","PY204=N","PX391=20251201","PX392=20251210")</f>
        <v>#N/A N/A</v>
      </c>
      <c r="M193">
        <f>_xll.BDP("3519 HK Equity","EQY_SH_OUT")</f>
        <v>8</v>
      </c>
      <c r="N193" t="str">
        <f>_xll.BDP("3519 HK Equity","EQY_TRR_PCT_YTD")</f>
        <v>#N/A N/A</v>
      </c>
      <c r="O193" t="str">
        <f>_xll.BDP("3519 HK Equity","CHG_PCT_YTD")</f>
        <v>#N/A N/A</v>
      </c>
      <c r="P193">
        <f>_xll.BDP("3519 HK Equity","CHG_PCT_1M")</f>
        <v>-8.9019200000000005</v>
      </c>
      <c r="Q193" t="str">
        <f>_xll.BDP("3519 HK Equity","LISTING_DATE")</f>
        <v>5/8/2026</v>
      </c>
      <c r="R193" t="str">
        <f>_xll.BDP("3519 HK Equity","FUND_INCEPT_DT")</f>
        <v>5/5/2026</v>
      </c>
      <c r="S193" t="str">
        <f>_xll.BDP("3519 HK Equity","AVG_DAILY_VALUE_TRADED_3M")</f>
        <v>#N/A N/A</v>
      </c>
      <c r="T193" t="str">
        <f>_xll.BDP("3519 HK Equity","PX596","PX395=HISTORICAL_MARKET_CAP","DY262=D","PY204=N","PX391=20231231","PX392=20231231","DS004=HKD")</f>
        <v>#N/A N/A</v>
      </c>
      <c r="U193" t="str">
        <f>_xll.BDP("3519 HK Equity","PX385","PX395=FUND_FLOW","DY262=D","PY204=N","PX391=20240102","PX392=20240930","DS004=HKD")</f>
        <v>#N/A N/A</v>
      </c>
      <c r="V193" t="str">
        <f>_xll.BDP("3519 HK Equity","PX596","PX395=CUR_MKT_CAP","DY262=D","PY204=N","PX391=20240101","DS004=HKD")</f>
        <v>#N/A N/A</v>
      </c>
      <c r="W193" t="str">
        <f>_xll.BDP("3519 HK Equity","FUND_INCEPT_DT")</f>
        <v>5/5/2026</v>
      </c>
      <c r="X193" t="str">
        <f>_xll.BDP("3519 HK Equity","PX388","PX395=TURNOVER","DY262=D","PY204=N","PX391=20240502","PX392=20240606","DS004=HKD")</f>
        <v>#N/A N/A</v>
      </c>
      <c r="Y193" t="str">
        <f>_xll.BDP("3519 HK Equity","PARENT_COMP_NAME")</f>
        <v>Hang Seng Investment Managemen</v>
      </c>
      <c r="Z193" t="str">
        <f>_xll.BDP("3519 HK Equity","NAV_CRNCY")</f>
        <v>HKD</v>
      </c>
      <c r="AA193" t="str">
        <f>_xll.BDP("3519 HK Equity","FUND_GEO_FOCUS")</f>
        <v>Hong Kong</v>
      </c>
      <c r="AB193" t="str">
        <f>_xll.BDP("3519 HK Equity","FUND_ASSET_CLASS_FOCUS")</f>
        <v>Equity</v>
      </c>
      <c r="AC193">
        <f>_xll.BDP("3519 HK Equity","PX_LAST")</f>
        <v>8.5449999999999999</v>
      </c>
      <c r="AD193">
        <f>_xll.BDP("3519 HK Equity","PX388","PX395=TIME_WAVG_BID_ASK_SPREAD_PCT","DY262=D","PY204=N","PX391=20260601","PX392=20260626")</f>
        <v>0.19555684458812536</v>
      </c>
      <c r="AE193">
        <f>_xll.BDP("3519 HK Equity","PX388","PX395=AVERAGE_BID_ASK_SPREAD_%","DY262=D","PY204=N","PX391=20260601","PX392=20260626")</f>
        <v>0.26526804501688683</v>
      </c>
    </row>
    <row r="194" spans="1:31" x14ac:dyDescent="0.25">
      <c r="A194" t="s">
        <v>219</v>
      </c>
      <c r="B194" t="str">
        <f>_xll.BDP("3533 HK Equity","LONG_COMP_NAME")</f>
        <v>Global X Gold Covered Call Active ETF</v>
      </c>
      <c r="C194">
        <f>_xll.BDP("3533 HK Equity","PX385","PX395=FUND_FLOW","DY262=D","PY204=N","PX391=20260622","PX392=20260626","DS004=USD")</f>
        <v>0</v>
      </c>
      <c r="D194">
        <f>_xll.BDP("3533 HK Equity","PX388","PX395=TURNOVER","DY262=D","PY204=N","PX391=20260601","PX392=20260626","DS004=HKD")</f>
        <v>561493.21052631573</v>
      </c>
      <c r="E194" t="str">
        <f>_xll.BDP("3533 HK Equity","PX388","PX395=TURNOVER","DY262=D","PY204=N","PX391=20250101","PX392=20251231","DS004=HKD")</f>
        <v>#N/A N/A</v>
      </c>
      <c r="F194">
        <f>_xll.BDP("3533 HK Equity","PX596","PX395=FUND_TOTAL_ASSETS","DY262=D","PY204=N","PX391=20260626","PX392=20260626","DS004=USD")</f>
        <v>8.8326394078116817</v>
      </c>
      <c r="G194">
        <f>_xll.BDP("3533 HK Equity","PX388","PX395=CUR_MKT_CAP","DY262=D","PY204=N","PX391=20260626","PX392=20260626","DS004=HKD")</f>
        <v>69.12</v>
      </c>
      <c r="H194" t="str">
        <f>_xll.BDP("3533 HK Equity","FUND_LEVERAGE_TYPE")</f>
        <v>#N/A N/A</v>
      </c>
      <c r="I194" t="str">
        <f>_xll.BDP("3533 HK Equity","PX388","PX395=TURNOVER","DY262=D","PY204=N","PX391=20260101","PX392=20260131","DS004=HKD")</f>
        <v>#N/A N/A</v>
      </c>
      <c r="J194" t="s">
        <v>31</v>
      </c>
      <c r="K194" t="str">
        <f>_xll.BDP("3533 HK Equity","FUND_INCEPT_DT")</f>
        <v>5/14/2026</v>
      </c>
      <c r="L194" t="str">
        <f>_xll.BDP("3533 HK Equity","PX388","PX395=TURNOVER_EXCH_RATIO","DY262=D","PY204=N","PX391=20251201","PX392=20251210")</f>
        <v>#N/A N/A</v>
      </c>
      <c r="M194">
        <f>_xll.BDP("3533 HK Equity","EQY_SH_OUT")</f>
        <v>1</v>
      </c>
      <c r="N194" t="str">
        <f>_xll.BDP("3533 HK Equity","EQY_TRR_PCT_YTD")</f>
        <v>#N/A N/A</v>
      </c>
      <c r="O194" t="str">
        <f>_xll.BDP("3533 HK Equity","CHG_PCT_YTD")</f>
        <v>#N/A N/A</v>
      </c>
      <c r="P194">
        <f>_xll.BDP("3533 HK Equity","CHG_PCT_1M")</f>
        <v>-9.4349519999999991</v>
      </c>
      <c r="Q194" t="str">
        <f>_xll.BDP("3533 HK Equity","LISTING_DATE")</f>
        <v>5/15/2026</v>
      </c>
      <c r="R194" t="str">
        <f>_xll.BDP("3533 HK Equity","FUND_INCEPT_DT")</f>
        <v>5/14/2026</v>
      </c>
      <c r="S194" t="str">
        <f>_xll.BDP("3533 HK Equity","AVG_DAILY_VALUE_TRADED_3M")</f>
        <v>#N/A N/A</v>
      </c>
      <c r="T194" t="str">
        <f>_xll.BDP("3533 HK Equity","PX596","PX395=HISTORICAL_MARKET_CAP","DY262=D","PY204=N","PX391=20231231","PX392=20231231","DS004=HKD")</f>
        <v>#N/A N/A</v>
      </c>
      <c r="U194" t="str">
        <f>_xll.BDP("3533 HK Equity","PX385","PX395=FUND_FLOW","DY262=D","PY204=N","PX391=20240102","PX392=20240930","DS004=HKD")</f>
        <v>#N/A N/A</v>
      </c>
      <c r="V194" t="str">
        <f>_xll.BDP("3533 HK Equity","PX596","PX395=CUR_MKT_CAP","DY262=D","PY204=N","PX391=20240101","DS004=HKD")</f>
        <v>#N/A N/A</v>
      </c>
      <c r="W194" t="str">
        <f>_xll.BDP("3533 HK Equity","FUND_INCEPT_DT")</f>
        <v>5/14/2026</v>
      </c>
      <c r="X194" t="str">
        <f>_xll.BDP("3533 HK Equity","PX388","PX395=TURNOVER","DY262=D","PY204=N","PX391=20240502","PX392=20240606","DS004=HKD")</f>
        <v>#N/A N/A</v>
      </c>
      <c r="Y194" t="str">
        <f>_xll.BDP("3533 HK Equity","PARENT_COMP_NAME")</f>
        <v>Mirae Asset Global Investments</v>
      </c>
      <c r="Z194" t="str">
        <f>_xll.BDP("3533 HK Equity","NAV_CRNCY")</f>
        <v>HKD</v>
      </c>
      <c r="AA194" t="str">
        <f>_xll.BDP("3533 HK Equity","FUND_GEO_FOCUS")</f>
        <v>Global</v>
      </c>
      <c r="AB194" t="str">
        <f>_xll.BDP("3533 HK Equity","FUND_ASSET_CLASS_FOCUS")</f>
        <v>Commodity</v>
      </c>
      <c r="AC194">
        <f>_xll.BDP("3533 HK Equity","PX_LAST")</f>
        <v>68.92</v>
      </c>
      <c r="AD194">
        <f>_xll.BDP("3533 HK Equity","PX388","PX395=TIME_WAVG_BID_ASK_SPREAD_PCT","DY262=D","PY204=N","PX391=20260601","PX392=20260626")</f>
        <v>0.38551096727339834</v>
      </c>
      <c r="AE194">
        <f>_xll.BDP("3533 HK Equity","PX388","PX395=AVERAGE_BID_ASK_SPREAD_%","DY262=D","PY204=N","PX391=20260601","PX392=20260626")</f>
        <v>0.45684591012365433</v>
      </c>
    </row>
    <row r="195" spans="1:31" x14ac:dyDescent="0.25">
      <c r="A195" t="s">
        <v>220</v>
      </c>
      <c r="B195" t="str">
        <f>_xll.BDP("3535 HK Equity","LONG_COMP_NAME")</f>
        <v>CSOP Nomura FTSE HK-Japan Equity Cash Flow Focus Index ETF</v>
      </c>
      <c r="C195">
        <f>_xll.BDP("3535 HK Equity","PX385","PX395=FUND_FLOW","DY262=D","PY204=N","PX391=20260622","PX392=20260626","DS004=USD")</f>
        <v>0</v>
      </c>
      <c r="D195">
        <f>_xll.BDP("3535 HK Equity","PX388","PX395=TURNOVER","DY262=D","PY204=N","PX391=20260601","PX392=20260626","DS004=HKD")</f>
        <v>1495.5</v>
      </c>
      <c r="E195" t="str">
        <f>_xll.BDP("3535 HK Equity","PX388","PX395=TURNOVER","DY262=D","PY204=N","PX391=20250101","PX392=20251231","DS004=HKD")</f>
        <v>#N/A N/A</v>
      </c>
      <c r="F195">
        <f>_xll.BDP("3535 HK Equity","PX596","PX395=FUND_TOTAL_ASSETS","DY262=D","PY204=N","PX391=20260626","PX392=20260626","DS004=USD")</f>
        <v>76.452605531681556</v>
      </c>
      <c r="G195">
        <f>_xll.BDP("3535 HK Equity","PX388","PX395=CUR_MKT_CAP","DY262=D","PY204=N","PX391=20260626","PX392=20260626","DS004=HKD")</f>
        <v>601.79999999999995</v>
      </c>
      <c r="H195" t="str">
        <f>_xll.BDP("3535 HK Equity","FUND_LEVERAGE_TYPE")</f>
        <v>#N/A N/A</v>
      </c>
      <c r="I195" t="str">
        <f>_xll.BDP("3535 HK Equity","PX388","PX395=TURNOVER","DY262=D","PY204=N","PX391=20260101","PX392=20260131","DS004=HKD")</f>
        <v>#N/A N/A</v>
      </c>
      <c r="J195" t="s">
        <v>31</v>
      </c>
      <c r="K195" t="str">
        <f>_xll.BDP("3535 HK Equity","FUND_INCEPT_DT")</f>
        <v>3/27/2026</v>
      </c>
      <c r="L195" t="str">
        <f>_xll.BDP("3535 HK Equity","PX388","PX395=TURNOVER_EXCH_RATIO","DY262=D","PY204=N","PX391=20251201","PX392=20251210")</f>
        <v>#N/A N/A</v>
      </c>
      <c r="M195">
        <f>_xll.BDP("3535 HK Equity","EQY_SH_OUT")</f>
        <v>85</v>
      </c>
      <c r="N195" t="str">
        <f>_xll.BDP("3535 HK Equity","EQY_TRR_PCT_YTD")</f>
        <v>#N/A N/A</v>
      </c>
      <c r="O195" t="str">
        <f>_xll.BDP("3535 HK Equity","CHG_PCT_YTD")</f>
        <v>#N/A N/A</v>
      </c>
      <c r="P195">
        <f>_xll.BDP("3535 HK Equity","CHG_PCT_1M")</f>
        <v>-7.7524449999999998</v>
      </c>
      <c r="Q195" t="str">
        <f>_xll.BDP("3535 HK Equity","LISTING_DATE")</f>
        <v>3/30/2026</v>
      </c>
      <c r="R195" t="str">
        <f>_xll.BDP("3535 HK Equity","FUND_INCEPT_DT")</f>
        <v>3/27/2026</v>
      </c>
      <c r="S195" t="str">
        <f>_xll.BDP("3535 HK Equity","AVG_DAILY_VALUE_TRADED_3M")</f>
        <v>#N/A N/A</v>
      </c>
      <c r="T195" t="str">
        <f>_xll.BDP("3535 HK Equity","PX596","PX395=HISTORICAL_MARKET_CAP","DY262=D","PY204=N","PX391=20231231","PX392=20231231","DS004=HKD")</f>
        <v>#N/A N/A</v>
      </c>
      <c r="U195" t="str">
        <f>_xll.BDP("3535 HK Equity","PX385","PX395=FUND_FLOW","DY262=D","PY204=N","PX391=20240102","PX392=20240930","DS004=HKD")</f>
        <v>#N/A N/A</v>
      </c>
      <c r="V195" t="str">
        <f>_xll.BDP("3535 HK Equity","PX596","PX395=CUR_MKT_CAP","DY262=D","PY204=N","PX391=20240101","DS004=HKD")</f>
        <v>#N/A N/A</v>
      </c>
      <c r="W195" t="str">
        <f>_xll.BDP("3535 HK Equity","FUND_INCEPT_DT")</f>
        <v>3/27/2026</v>
      </c>
      <c r="X195" t="str">
        <f>_xll.BDP("3535 HK Equity","PX388","PX395=TURNOVER","DY262=D","PY204=N","PX391=20240502","PX392=20240606","DS004=HKD")</f>
        <v>#N/A N/A</v>
      </c>
      <c r="Y195" t="str">
        <f>_xll.BDP("3535 HK Equity","PARENT_COMP_NAME")</f>
        <v>CSOP Asset Management Ltd/Hong</v>
      </c>
      <c r="Z195" t="str">
        <f>_xll.BDP("3535 HK Equity","NAV_CRNCY")</f>
        <v>HKD</v>
      </c>
      <c r="AA195" t="str">
        <f>_xll.BDP("3535 HK Equity","FUND_GEO_FOCUS")</f>
        <v>Multi</v>
      </c>
      <c r="AB195" t="str">
        <f>_xll.BDP("3535 HK Equity","FUND_ASSET_CLASS_FOCUS")</f>
        <v>Equity</v>
      </c>
      <c r="AC195">
        <f>_xll.BDP("3535 HK Equity","PX_LAST")</f>
        <v>7.08</v>
      </c>
      <c r="AD195">
        <f>_xll.BDP("3535 HK Equity","PX388","PX395=TIME_WAVG_BID_ASK_SPREAD_PCT","DY262=D","PY204=N","PX391=20260601","PX392=20260626")</f>
        <v>0.83994515810094261</v>
      </c>
      <c r="AE195">
        <f>_xll.BDP("3535 HK Equity","PX388","PX395=AVERAGE_BID_ASK_SPREAD_%","DY262=D","PY204=N","PX391=20260601","PX392=20260626")</f>
        <v>0.86501232056829069</v>
      </c>
    </row>
    <row r="196" spans="1:31" x14ac:dyDescent="0.25">
      <c r="A196" t="s">
        <v>221</v>
      </c>
      <c r="B196" t="str">
        <f>_xll.BDP("7234 HK Equity","LONG_COMP_NAME")</f>
        <v>Bosera SZSE ChiNext Daily 2X Leveraged Product</v>
      </c>
      <c r="C196">
        <f>_xll.BDP("7234 HK Equity","PX385","PX395=FUND_FLOW","DY262=D","PY204=N","PX391=20260622","PX392=20260626","DS004=USD")</f>
        <v>0</v>
      </c>
      <c r="D196">
        <f>_xll.BDP("7234 HK Equity","PX388","PX395=TURNOVER","DY262=D","PY204=N","PX391=20260601","PX392=20260626","DS004=HKD")</f>
        <v>14720819.368421052</v>
      </c>
      <c r="E196">
        <f>_xll.BDP("7234 HK Equity","PX388","PX395=TURNOVER","DY262=D","PY204=N","PX391=20250101","PX392=20251231","DS004=HKD")</f>
        <v>13317493.850406496</v>
      </c>
      <c r="F196">
        <f>_xll.BDP("7234 HK Equity","PX596","PX395=FUND_TOTAL_ASSETS","DY262=D","PY204=N","PX391=20260626","PX392=20260626","DS004=USD")</f>
        <v>25.512085811198528</v>
      </c>
      <c r="G196">
        <f>_xll.BDP("7234 HK Equity","PX388","PX395=CUR_MKT_CAP","DY262=D","PY204=N","PX391=20260626","PX392=20260626","DS004=HKD")</f>
        <v>200.10000000000002</v>
      </c>
      <c r="H196" t="str">
        <f>_xll.BDP("7234 HK Equity","FUND_LEVERAGE_TYPE")</f>
        <v>Long</v>
      </c>
      <c r="I196">
        <f>_xll.BDP("7234 HK Equity","PX388","PX395=TURNOVER","DY262=D","PY204=N","PX391=20260101","PX392=20260131","DS004=HKD")</f>
        <v>12127240.761904761</v>
      </c>
      <c r="J196">
        <v>-1</v>
      </c>
      <c r="K196" t="str">
        <f>_xll.BDP("7234 HK Equity","FUND_INCEPT_DT")</f>
        <v>5/12/2022</v>
      </c>
      <c r="L196" t="str">
        <f>_xll.BDP("7234 HK Equity","PX388","PX395=TURNOVER_EXCH_RATIO","DY262=D","PY204=N","PX391=20251201","PX392=20251210")</f>
        <v>#N/A N/A</v>
      </c>
      <c r="M196">
        <f>_xll.BDP("7234 HK Equity","EQY_SH_OUT")</f>
        <v>14.5</v>
      </c>
      <c r="N196">
        <f>_xll.BDP("7234 HK Equity","EQY_TRR_PCT_YTD")</f>
        <v>70.771190000000004</v>
      </c>
      <c r="O196">
        <f>_xll.BDP("7234 HK Equity","CHG_PCT_YTD")</f>
        <v>72.875</v>
      </c>
      <c r="P196">
        <f>_xll.BDP("7234 HK Equity","CHG_PCT_1M")</f>
        <v>5.3313009999999998</v>
      </c>
      <c r="Q196" t="str">
        <f>_xll.BDP("7234 HK Equity","LISTING_DATE")</f>
        <v>5/12/2022</v>
      </c>
      <c r="R196" t="str">
        <f>_xll.BDP("7234 HK Equity","FUND_INCEPT_DT")</f>
        <v>5/12/2022</v>
      </c>
      <c r="S196">
        <f>_xll.BDP("7234 HK Equity","AVG_DAILY_VALUE_TRADED_3M")</f>
        <v>10068030</v>
      </c>
      <c r="T196" t="str">
        <f>_xll.BDP("7234 HK Equity","PX596","PX395=HISTORICAL_MARKET_CAP","DY262=D","PY204=N","PX391=20231231","PX392=20231231","DS004=HKD")</f>
        <v>#N/A N/A</v>
      </c>
      <c r="U196">
        <f>_xll.BDP("7234 HK Equity","PX385","PX395=FUND_FLOW","DY262=D","PY204=N","PX391=20240102","PX392=20240930","DS004=HKD")</f>
        <v>2.04711</v>
      </c>
      <c r="V196">
        <f>_xll.BDP("7234 HK Equity","PX596","PX395=CUR_MKT_CAP","DY262=D","PY204=N","PX391=20240101","DS004=HKD")</f>
        <v>236</v>
      </c>
      <c r="W196" t="str">
        <f>_xll.BDP("7234 HK Equity","FUND_INCEPT_DT")</f>
        <v>5/12/2022</v>
      </c>
      <c r="X196">
        <f>_xll.BDP("7234 HK Equity","PX388","PX395=TURNOVER","DY262=D","PY204=N","PX391=20240502","PX392=20240606","DS004=HKD")</f>
        <v>556154.66399999999</v>
      </c>
      <c r="Y196" t="str">
        <f>_xll.BDP("7234 HK Equity","PARENT_COMP_NAME")</f>
        <v>Bosera Asset Management Intern</v>
      </c>
      <c r="Z196" t="str">
        <f>_xll.BDP("7234 HK Equity","NAV_CRNCY")</f>
        <v>HKD</v>
      </c>
      <c r="AA196" t="str">
        <f>_xll.BDP("7234 HK Equity","FUND_GEO_FOCUS")</f>
        <v>China</v>
      </c>
      <c r="AB196" t="str">
        <f>_xll.BDP("7234 HK Equity","FUND_ASSET_CLASS_FOCUS")</f>
        <v>Equity</v>
      </c>
      <c r="AC196">
        <f>_xll.BDP("7234 HK Equity","PX_LAST")</f>
        <v>13.83</v>
      </c>
      <c r="AD196">
        <f>_xll.BDP("7234 HK Equity","PX388","PX395=TIME_WAVG_BID_ASK_SPREAD_PCT","DY262=D","PY204=N","PX391=20260601","PX392=20260626")</f>
        <v>0.38022285076204276</v>
      </c>
      <c r="AE196">
        <f>_xll.BDP("7234 HK Equity","PX388","PX395=AVERAGE_BID_ASK_SPREAD_%","DY262=D","PY204=N","PX391=20260601","PX392=20260626")</f>
        <v>0.52112080669648109</v>
      </c>
    </row>
    <row r="197" spans="1:31" x14ac:dyDescent="0.25">
      <c r="A197" t="s">
        <v>222</v>
      </c>
      <c r="B197" t="str">
        <f>_xll.BDP("7261 HK Equity","LONG_COMP_NAME")</f>
        <v>Chinaamc Nasdaq-100 Index Daily 2X Leveraged Product</v>
      </c>
      <c r="C197">
        <f>_xll.BDP("7261 HK Equity","PX385","PX395=FUND_FLOW","DY262=D","PY204=N","PX391=20260622","PX392=20260626","DS004=USD")</f>
        <v>0</v>
      </c>
      <c r="D197">
        <f>_xll.BDP("7261 HK Equity","PX388","PX395=TURNOVER","DY262=D","PY204=N","PX391=20260601","PX392=20260626","DS004=HKD")</f>
        <v>3016202.8421052629</v>
      </c>
      <c r="E197">
        <f>_xll.BDP("7261 HK Equity","PX388","PX395=TURNOVER","DY262=D","PY204=N","PX391=20250101","PX392=20251231","DS004=HKD")</f>
        <v>953806.39484978572</v>
      </c>
      <c r="F197">
        <f>_xll.BDP("7261 HK Equity","PX596","PX395=FUND_TOTAL_ASSETS","DY262=D","PY204=N","PX391=20260626","PX392=20260626","DS004=USD")</f>
        <v>8.1</v>
      </c>
      <c r="G197">
        <f>_xll.BDP("7261 HK Equity","PX388","PX395=CUR_MKT_CAP","DY262=D","PY204=N","PX391=20260626","PX392=20260626","DS004=HKD")</f>
        <v>64.295999999999992</v>
      </c>
      <c r="H197" t="str">
        <f>_xll.BDP("7261 HK Equity","FUND_LEVERAGE_TYPE")</f>
        <v>Long</v>
      </c>
      <c r="I197">
        <f>_xll.BDP("7261 HK Equity","PX388","PX395=TURNOVER","DY262=D","PY204=N","PX391=20260101","PX392=20260131","DS004=HKD")</f>
        <v>315191.90000000002</v>
      </c>
      <c r="J197">
        <v>-1</v>
      </c>
      <c r="K197" t="str">
        <f>_xll.BDP("7261 HK Equity","FUND_INCEPT_DT")</f>
        <v>9/28/2016</v>
      </c>
      <c r="L197" t="str">
        <f>_xll.BDP("7261 HK Equity","PX388","PX395=TURNOVER_EXCH_RATIO","DY262=D","PY204=N","PX391=20251201","PX392=20251210")</f>
        <v>#N/A N/A</v>
      </c>
      <c r="M197">
        <f>_xll.BDP("7261 HK Equity","EQY_SH_OUT")</f>
        <v>1.2</v>
      </c>
      <c r="N197">
        <f>_xll.BDP("7261 HK Equity","EQY_TRR_PCT_YTD")</f>
        <v>27.646930000000001</v>
      </c>
      <c r="O197">
        <f>_xll.BDP("7261 HK Equity","CHG_PCT_YTD")</f>
        <v>26.582280000000001</v>
      </c>
      <c r="P197">
        <f>_xll.BDP("7261 HK Equity","CHG_PCT_1M")</f>
        <v>-6.735754</v>
      </c>
      <c r="Q197" t="str">
        <f>_xll.BDP("7261 HK Equity","LISTING_DATE")</f>
        <v>9/28/2016</v>
      </c>
      <c r="R197" t="str">
        <f>_xll.BDP("7261 HK Equity","FUND_INCEPT_DT")</f>
        <v>9/28/2016</v>
      </c>
      <c r="S197">
        <f>_xll.BDP("7261 HK Equity","AVG_DAILY_VALUE_TRADED_3M")</f>
        <v>1370924</v>
      </c>
      <c r="T197" t="str">
        <f>_xll.BDP("7261 HK Equity","PX596","PX395=HISTORICAL_MARKET_CAP","DY262=D","PY204=N","PX391=20231231","PX392=20231231","DS004=HKD")</f>
        <v>#N/A N/A</v>
      </c>
      <c r="U197">
        <f>_xll.BDP("7261 HK Equity","PX385","PX395=FUND_FLOW","DY262=D","PY204=N","PX391=20240102","PX392=20240930","DS004=HKD")</f>
        <v>1.3281830959999881</v>
      </c>
      <c r="V197">
        <f>_xll.BDP("7261 HK Equity","PX596","PX395=CUR_MKT_CAP","DY262=D","PY204=N","PX391=20240101","DS004=HKD")</f>
        <v>51.191999999999993</v>
      </c>
      <c r="W197" t="str">
        <f>_xll.BDP("7261 HK Equity","FUND_INCEPT_DT")</f>
        <v>9/28/2016</v>
      </c>
      <c r="X197">
        <f>_xll.BDP("7261 HK Equity","PX388","PX395=TURNOVER","DY262=D","PY204=N","PX391=20240502","PX392=20240606","DS004=HKD")</f>
        <v>356886.96</v>
      </c>
      <c r="Y197" t="str">
        <f>_xll.BDP("7261 HK Equity","PARENT_COMP_NAME")</f>
        <v>China Asset Management Hong Ko</v>
      </c>
      <c r="Z197" t="str">
        <f>_xll.BDP("7261 HK Equity","NAV_CRNCY")</f>
        <v>USD</v>
      </c>
      <c r="AA197" t="str">
        <f>_xll.BDP("7261 HK Equity","FUND_GEO_FOCUS")</f>
        <v>U.S.</v>
      </c>
      <c r="AB197" t="str">
        <f>_xll.BDP("7261 HK Equity","FUND_ASSET_CLASS_FOCUS")</f>
        <v>Equity</v>
      </c>
      <c r="AC197">
        <f>_xll.BDP("7261 HK Equity","PX_LAST")</f>
        <v>54</v>
      </c>
      <c r="AD197">
        <f>_xll.BDP("7261 HK Equity","PX388","PX395=TIME_WAVG_BID_ASK_SPREAD_PCT","DY262=D","PY204=N","PX391=20260601","PX392=20260626")</f>
        <v>0.14840621315415137</v>
      </c>
      <c r="AE197">
        <f>_xll.BDP("7261 HK Equity","PX388","PX395=AVERAGE_BID_ASK_SPREAD_%","DY262=D","PY204=N","PX391=20260601","PX392=20260626")</f>
        <v>0.16687626462289296</v>
      </c>
    </row>
    <row r="198" spans="1:31" x14ac:dyDescent="0.25">
      <c r="A198" t="s">
        <v>223</v>
      </c>
      <c r="B198" t="str">
        <f>_xll.BDP("7262 HK Equity","LONG_COMP_NAME")</f>
        <v>CSOP Nikkei 225 Daily 2x Leveraged Product</v>
      </c>
      <c r="C198">
        <f>_xll.BDP("7262 HK Equity","PX385","PX395=FUND_FLOW","DY262=D","PY204=N","PX391=20260622","PX392=20260626","DS004=USD")</f>
        <v>0</v>
      </c>
      <c r="D198">
        <f>_xll.BDP("7262 HK Equity","PX388","PX395=TURNOVER","DY262=D","PY204=N","PX391=20260601","PX392=20260626","DS004=HKD")</f>
        <v>4344151.421052631</v>
      </c>
      <c r="E198">
        <f>_xll.BDP("7262 HK Equity","PX388","PX395=TURNOVER","DY262=D","PY204=N","PX391=20250101","PX392=20251231","DS004=HKD")</f>
        <v>533330.33868312777</v>
      </c>
      <c r="F198">
        <f>_xll.BDP("7262 HK Equity","PX596","PX395=FUND_TOTAL_ASSETS","DY262=D","PY204=N","PX391=20260626","PX392=20260626","DS004=USD")</f>
        <v>19.35080887258902</v>
      </c>
      <c r="G198">
        <f>_xll.BDP("7262 HK Equity","PX388","PX395=CUR_MKT_CAP","DY262=D","PY204=N","PX391=20260626","PX392=20260626","DS004=HKD")</f>
        <v>153.22500000000002</v>
      </c>
      <c r="H198" t="str">
        <f>_xll.BDP("7262 HK Equity","FUND_LEVERAGE_TYPE")</f>
        <v>Long</v>
      </c>
      <c r="I198">
        <f>_xll.BDP("7262 HK Equity","PX388","PX395=TURNOVER","DY262=D","PY204=N","PX391=20260101","PX392=20260131","DS004=HKD")</f>
        <v>757411.90476190462</v>
      </c>
      <c r="J198">
        <v>-1</v>
      </c>
      <c r="K198" t="str">
        <f>_xll.BDP("7262 HK Equity","FUND_INCEPT_DT")</f>
        <v>5/29/2024</v>
      </c>
      <c r="L198" t="str">
        <f>_xll.BDP("7262 HK Equity","PX388","PX395=TURNOVER_EXCH_RATIO","DY262=D","PY204=N","PX391=20251201","PX392=20251210")</f>
        <v>#N/A N/A</v>
      </c>
      <c r="M198">
        <f>_xll.BDP("7262 HK Equity","EQY_SH_OUT")</f>
        <v>0.75</v>
      </c>
      <c r="N198">
        <f>_xll.BDP("7262 HK Equity","EQY_TRR_PCT_YTD")</f>
        <v>80.138729999999995</v>
      </c>
      <c r="O198">
        <f>_xll.BDP("7262 HK Equity","CHG_PCT_YTD")</f>
        <v>76.297579999999996</v>
      </c>
      <c r="P198">
        <f>_xll.BDP("7262 HK Equity","CHG_PCT_1M")</f>
        <v>7.178547</v>
      </c>
      <c r="Q198" t="str">
        <f>_xll.BDP("7262 HK Equity","LISTING_DATE")</f>
        <v>5/29/2024</v>
      </c>
      <c r="R198" t="str">
        <f>_xll.BDP("7262 HK Equity","FUND_INCEPT_DT")</f>
        <v>5/29/2024</v>
      </c>
      <c r="S198">
        <f>_xll.BDP("7262 HK Equity","AVG_DAILY_VALUE_TRADED_3M")</f>
        <v>2516786</v>
      </c>
      <c r="T198" t="str">
        <f>_xll.BDP("7262 HK Equity","PX596","PX395=HISTORICAL_MARKET_CAP","DY262=D","PY204=N","PX391=20231231","PX392=20231231","DS004=HKD")</f>
        <v>#N/A N/A</v>
      </c>
      <c r="U198">
        <f>_xll.BDP("7262 HK Equity","PX385","PX395=FUND_FLOW","DY262=D","PY204=N","PX391=20240102","PX392=20240930","DS004=HKD")</f>
        <v>7.4856967925973263</v>
      </c>
      <c r="V198">
        <f>_xll.BDP("7262 HK Equity","PX596","PX395=CUR_MKT_CAP","DY262=D","PY204=N","PX391=20240101","DS004=HKD")</f>
        <v>109.82</v>
      </c>
      <c r="W198" t="str">
        <f>_xll.BDP("7262 HK Equity","FUND_INCEPT_DT")</f>
        <v>5/29/2024</v>
      </c>
      <c r="X198">
        <f>_xll.BDP("7262 HK Equity","PX388","PX395=TURNOVER","DY262=D","PY204=N","PX391=20240502","PX392=20240606","DS004=HKD")</f>
        <v>20040917.285714284</v>
      </c>
      <c r="Y198" t="str">
        <f>_xll.BDP("7262 HK Equity","PARENT_COMP_NAME")</f>
        <v>CSOP Asset Management Ltd/Hong</v>
      </c>
      <c r="Z198" t="str">
        <f>_xll.BDP("7262 HK Equity","NAV_CRNCY")</f>
        <v>JPY</v>
      </c>
      <c r="AA198" t="str">
        <f>_xll.BDP("7262 HK Equity","FUND_GEO_FOCUS")</f>
        <v>Japan</v>
      </c>
      <c r="AB198" t="str">
        <f>_xll.BDP("7262 HK Equity","FUND_ASSET_CLASS_FOCUS")</f>
        <v>Specialty</v>
      </c>
      <c r="AC198">
        <f>_xll.BDP("7262 HK Equity","PX_LAST")</f>
        <v>203.8</v>
      </c>
      <c r="AD198">
        <f>_xll.BDP("7262 HK Equity","PX388","PX395=TIME_WAVG_BID_ASK_SPREAD_PCT","DY262=D","PY204=N","PX391=20260601","PX392=20260626")</f>
        <v>0.23674259630393824</v>
      </c>
      <c r="AE198">
        <f>_xll.BDP("7262 HK Equity","PX388","PX395=AVERAGE_BID_ASK_SPREAD_%","DY262=D","PY204=N","PX391=20260601","PX392=20260626")</f>
        <v>0.30718251329888674</v>
      </c>
    </row>
    <row r="199" spans="1:31" x14ac:dyDescent="0.25">
      <c r="A199" t="s">
        <v>224</v>
      </c>
      <c r="B199" t="str">
        <f>_xll.BDP("7266 HK Equity","LONG_COMP_NAME")</f>
        <v>CSOP NASDAQ - 100 Index Daily 2x Leveraged Product</v>
      </c>
      <c r="C199">
        <f>_xll.BDP("7266 HK Equity","PX385","PX395=FUND_FLOW","DY262=D","PY204=N","PX391=20260622","PX392=20260626","DS004=USD")</f>
        <v>0</v>
      </c>
      <c r="D199">
        <f>_xll.BDP("7266 HK Equity","PX388","PX395=TURNOVER","DY262=D","PY204=N","PX391=20260601","PX392=20260626","DS004=HKD")</f>
        <v>9766280.9473684225</v>
      </c>
      <c r="E199">
        <f>_xll.BDP("7266 HK Equity","PX388","PX395=TURNOVER","DY262=D","PY204=N","PX391=20250101","PX392=20251231","DS004=HKD")</f>
        <v>5806550.6747967508</v>
      </c>
      <c r="F199">
        <f>_xll.BDP("7266 HK Equity","PX596","PX395=FUND_TOTAL_ASSETS","DY262=D","PY204=N","PX391=20260626","PX392=20260626","DS004=USD")</f>
        <v>20.582784230000001</v>
      </c>
      <c r="G199">
        <f>_xll.BDP("7266 HK Equity","PX388","PX395=CUR_MKT_CAP","DY262=D","PY204=N","PX391=20260626","PX392=20260626","DS004=HKD")</f>
        <v>163.29239999999999</v>
      </c>
      <c r="H199" t="str">
        <f>_xll.BDP("7266 HK Equity","FUND_LEVERAGE_TYPE")</f>
        <v>Long</v>
      </c>
      <c r="I199">
        <f>_xll.BDP("7266 HK Equity","PX388","PX395=TURNOVER","DY262=D","PY204=N","PX391=20260101","PX392=20260131","DS004=HKD")</f>
        <v>2812400.3809523815</v>
      </c>
      <c r="J199">
        <v>-1</v>
      </c>
      <c r="K199" t="str">
        <f>_xll.BDP("7266 HK Equity","FUND_INCEPT_DT")</f>
        <v>5/15/2020</v>
      </c>
      <c r="L199" t="str">
        <f>_xll.BDP("7266 HK Equity","PX388","PX395=TURNOVER_EXCH_RATIO","DY262=D","PY204=N","PX391=20251201","PX392=20251210")</f>
        <v>#N/A N/A</v>
      </c>
      <c r="M199">
        <f>_xll.BDP("7266 HK Equity","EQY_SH_OUT")</f>
        <v>4.0199999999999996</v>
      </c>
      <c r="N199">
        <f>_xll.BDP("7266 HK Equity","EQY_TRR_PCT_YTD")</f>
        <v>28.17098</v>
      </c>
      <c r="O199">
        <f>_xll.BDP("7266 HK Equity","CHG_PCT_YTD")</f>
        <v>27.126000000000001</v>
      </c>
      <c r="P199">
        <f>_xll.BDP("7266 HK Equity","CHG_PCT_1M")</f>
        <v>-6.4840169999999997</v>
      </c>
      <c r="Q199" t="str">
        <f>_xll.BDP("7266 HK Equity","LISTING_DATE")</f>
        <v>5/15/2020</v>
      </c>
      <c r="R199" t="str">
        <f>_xll.BDP("7266 HK Equity","FUND_INCEPT_DT")</f>
        <v>5/15/2020</v>
      </c>
      <c r="S199">
        <f>_xll.BDP("7266 HK Equity","AVG_DAILY_VALUE_TRADED_3M")</f>
        <v>6559575</v>
      </c>
      <c r="T199" t="str">
        <f>_xll.BDP("7266 HK Equity","PX596","PX395=HISTORICAL_MARKET_CAP","DY262=D","PY204=N","PX391=20231231","PX392=20231231","DS004=HKD")</f>
        <v>#N/A N/A</v>
      </c>
      <c r="U199">
        <f>_xll.BDP("7266 HK Equity","PX385","PX395=FUND_FLOW","DY262=D","PY204=N","PX391=20240102","PX392=20240930","DS004=HKD")</f>
        <v>-49.005075112000007</v>
      </c>
      <c r="V199">
        <f>_xll.BDP("7266 HK Equity","PX596","PX395=CUR_MKT_CAP","DY262=D","PY204=N","PX391=20240101","DS004=HKD")</f>
        <v>129.52439999999999</v>
      </c>
      <c r="W199" t="str">
        <f>_xll.BDP("7266 HK Equity","FUND_INCEPT_DT")</f>
        <v>5/15/2020</v>
      </c>
      <c r="X199">
        <f>_xll.BDP("7266 HK Equity","PX388","PX395=TURNOVER","DY262=D","PY204=N","PX391=20240502","PX392=20240606","DS004=HKD")</f>
        <v>1949309.1600000001</v>
      </c>
      <c r="Y199" t="str">
        <f>_xll.BDP("7266 HK Equity","PARENT_COMP_NAME")</f>
        <v>CSOP Asset Management Ltd/Hong</v>
      </c>
      <c r="Z199" t="str">
        <f>_xll.BDP("7266 HK Equity","NAV_CRNCY")</f>
        <v>USD</v>
      </c>
      <c r="AA199" t="str">
        <f>_xll.BDP("7266 HK Equity","FUND_GEO_FOCUS")</f>
        <v>U.S.</v>
      </c>
      <c r="AB199" t="str">
        <f>_xll.BDP("7266 HK Equity","FUND_ASSET_CLASS_FOCUS")</f>
        <v>Equity</v>
      </c>
      <c r="AC199">
        <f>_xll.BDP("7266 HK Equity","PX_LAST")</f>
        <v>40.96</v>
      </c>
      <c r="AD199">
        <f>_xll.BDP("7266 HK Equity","PX388","PX395=TIME_WAVG_BID_ASK_SPREAD_PCT","DY262=D","PY204=N","PX391=20260601","PX392=20260626")</f>
        <v>9.9816414414998569E-2</v>
      </c>
      <c r="AE199">
        <f>_xll.BDP("7266 HK Equity","PX388","PX395=AVERAGE_BID_ASK_SPREAD_%","DY262=D","PY204=N","PX391=20260601","PX392=20260626")</f>
        <v>0.10143318527333428</v>
      </c>
    </row>
    <row r="200" spans="1:31" x14ac:dyDescent="0.25">
      <c r="A200" t="s">
        <v>225</v>
      </c>
      <c r="B200" t="str">
        <f>_xll.BDP("7299 HK Equity","LONG_COMP_NAME")</f>
        <v>CSOP Gold Futures Daily 2X Leveraged Product</v>
      </c>
      <c r="C200">
        <f>_xll.BDP("7299 HK Equity","PX385","PX395=FUND_FLOW","DY262=D","PY204=N","PX391=20260622","PX392=20260626","DS004=USD")</f>
        <v>0</v>
      </c>
      <c r="D200">
        <f>_xll.BDP("7299 HK Equity","PX388","PX395=TURNOVER","DY262=D","PY204=N","PX391=20260601","PX392=20260626","DS004=HKD")</f>
        <v>31292444.947368424</v>
      </c>
      <c r="E200">
        <f>_xll.BDP("7299 HK Equity","PX388","PX395=TURNOVER","DY262=D","PY204=N","PX391=20250101","PX392=20251231","DS004=HKD")</f>
        <v>33234677.020325191</v>
      </c>
      <c r="F200">
        <f>_xll.BDP("7299 HK Equity","PX596","PX395=FUND_TOTAL_ASSETS","DY262=D","PY204=N","PX391=20260626","PX392=20260626","DS004=USD")</f>
        <v>170.25961122000001</v>
      </c>
      <c r="G200">
        <f>_xll.BDP("7299 HK Equity","PX388","PX395=CUR_MKT_CAP","DY262=D","PY204=N","PX391=20260626","PX392=20260626","DS004=HKD")</f>
        <v>1305.836</v>
      </c>
      <c r="H200" t="str">
        <f>_xll.BDP("7299 HK Equity","FUND_LEVERAGE_TYPE")</f>
        <v>Long</v>
      </c>
      <c r="I200">
        <f>_xll.BDP("7299 HK Equity","PX388","PX395=TURNOVER","DY262=D","PY204=N","PX391=20260101","PX392=20260131","DS004=HKD")</f>
        <v>88034822.857142866</v>
      </c>
      <c r="J200">
        <v>-1</v>
      </c>
      <c r="K200" t="str">
        <f>_xll.BDP("7299 HK Equity","FUND_INCEPT_DT")</f>
        <v>6/5/2020</v>
      </c>
      <c r="L200" t="str">
        <f>_xll.BDP("7299 HK Equity","PX388","PX395=TURNOVER_EXCH_RATIO","DY262=D","PY204=N","PX391=20251201","PX392=20251210")</f>
        <v>#N/A N/A</v>
      </c>
      <c r="M200">
        <f>_xll.BDP("7299 HK Equity","EQY_SH_OUT")</f>
        <v>62.599999999999994</v>
      </c>
      <c r="N200">
        <f>_xll.BDP("7299 HK Equity","EQY_TRR_PCT_YTD")</f>
        <v>-21.603349999999999</v>
      </c>
      <c r="O200">
        <f>_xll.BDP("7299 HK Equity","CHG_PCT_YTD")</f>
        <v>-20.72072</v>
      </c>
      <c r="P200">
        <f>_xll.BDP("7299 HK Equity","CHG_PCT_1M")</f>
        <v>-20.481929999999998</v>
      </c>
      <c r="Q200" t="str">
        <f>_xll.BDP("7299 HK Equity","LISTING_DATE")</f>
        <v>6/5/2020</v>
      </c>
      <c r="R200" t="str">
        <f>_xll.BDP("7299 HK Equity","FUND_INCEPT_DT")</f>
        <v>6/5/2020</v>
      </c>
      <c r="S200">
        <f>_xll.BDP("7299 HK Equity","AVG_DAILY_VALUE_TRADED_3M")</f>
        <v>40427160</v>
      </c>
      <c r="T200" t="str">
        <f>_xll.BDP("7299 HK Equity","PX596","PX395=HISTORICAL_MARKET_CAP","DY262=D","PY204=N","PX391=20231231","PX392=20231231","DS004=HKD")</f>
        <v>#N/A N/A</v>
      </c>
      <c r="U200">
        <f>_xll.BDP("7299 HK Equity","PX385","PX395=FUND_FLOW","DY262=D","PY204=N","PX391=20240102","PX392=20240930","DS004=HKD")</f>
        <v>-786.93643680799994</v>
      </c>
      <c r="V200">
        <f>_xll.BDP("7299 HK Equity","PX596","PX395=CUR_MKT_CAP","DY262=D","PY204=N","PX391=20240101","DS004=HKD")</f>
        <v>1347.9840000000002</v>
      </c>
      <c r="W200" t="str">
        <f>_xll.BDP("7299 HK Equity","FUND_INCEPT_DT")</f>
        <v>6/5/2020</v>
      </c>
      <c r="X200">
        <f>_xll.BDP("7299 HK Equity","PX388","PX395=TURNOVER","DY262=D","PY204=N","PX391=20240502","PX392=20240606","DS004=HKD")</f>
        <v>13523543.960000001</v>
      </c>
      <c r="Y200" t="str">
        <f>_xll.BDP("7299 HK Equity","PARENT_COMP_NAME")</f>
        <v>CSOP Asset Management Ltd/Hong</v>
      </c>
      <c r="Z200" t="str">
        <f>_xll.BDP("7299 HK Equity","NAV_CRNCY")</f>
        <v>USD</v>
      </c>
      <c r="AA200" t="str">
        <f>_xll.BDP("7299 HK Equity","FUND_GEO_FOCUS")</f>
        <v>U.S.</v>
      </c>
      <c r="AB200" t="str">
        <f>_xll.BDP("7299 HK Equity","FUND_ASSET_CLASS_FOCUS")</f>
        <v>Commodity</v>
      </c>
      <c r="AC200">
        <f>_xll.BDP("7299 HK Equity","PX_LAST")</f>
        <v>21.12</v>
      </c>
      <c r="AD200">
        <f>_xll.BDP("7299 HK Equity","PX388","PX395=TIME_WAVG_BID_ASK_SPREAD_PCT","DY262=D","PY204=N","PX391=20260601","PX392=20260626")</f>
        <v>0.13660801998197725</v>
      </c>
      <c r="AE200">
        <f>_xll.BDP("7299 HK Equity","PX388","PX395=AVERAGE_BID_ASK_SPREAD_%","DY262=D","PY204=N","PX391=20260601","PX392=20260626")</f>
        <v>0.14305653081442246</v>
      </c>
    </row>
    <row r="201" spans="1:31" x14ac:dyDescent="0.25">
      <c r="A201" t="s">
        <v>226</v>
      </c>
      <c r="B201" t="str">
        <f>_xll.BDP("7311 HK Equity","LONG_COMP_NAME")</f>
        <v>CSOP Coinbase Daily -2x Inverse Product</v>
      </c>
      <c r="C201">
        <f>_xll.BDP("7311 HK Equity","PX385","PX395=FUND_FLOW","DY262=D","PY204=N","PX391=20260622","PX392=20260626","DS004=USD")</f>
        <v>0</v>
      </c>
      <c r="D201">
        <f>_xll.BDP("7311 HK Equity","PX388","PX395=TURNOVER","DY262=D","PY204=N","PX391=20260601","PX392=20260626","DS004=HKD")</f>
        <v>1132630.2736842106</v>
      </c>
      <c r="E201">
        <f>_xll.BDP("7311 HK Equity","PX388","PX395=TURNOVER","DY262=D","PY204=N","PX391=20250101","PX392=20251231","DS004=HKD")</f>
        <v>1079729.1864583329</v>
      </c>
      <c r="F201">
        <f>_xll.BDP("7311 HK Equity","PX596","PX395=FUND_TOTAL_ASSETS","DY262=D","PY204=N","PX391=20260626","PX392=20260626","DS004=USD")</f>
        <v>2.1034476600000001</v>
      </c>
      <c r="G201">
        <f>_xll.BDP("7311 HK Equity","PX388","PX395=CUR_MKT_CAP","DY262=D","PY204=N","PX391=20260626","PX392=20260626","DS004=HKD")</f>
        <v>17.806027999999998</v>
      </c>
      <c r="H201" t="str">
        <f>_xll.BDP("7311 HK Equity","FUND_LEVERAGE_TYPE")</f>
        <v>Short</v>
      </c>
      <c r="I201">
        <f>_xll.BDP("7311 HK Equity","PX388","PX395=TURNOVER","DY262=D","PY204=N","PX391=20260101","PX392=20260131","DS004=HKD")</f>
        <v>975235.81428571418</v>
      </c>
      <c r="J201">
        <v>-1</v>
      </c>
      <c r="K201" t="str">
        <f>_xll.BDP("7311 HK Equity","FUND_INCEPT_DT")</f>
        <v>3/24/2025</v>
      </c>
      <c r="L201" t="str">
        <f>_xll.BDP("7311 HK Equity","PX388","PX395=TURNOVER_EXCH_RATIO","DY262=D","PY204=N","PX391=20251201","PX392=20251210")</f>
        <v>#N/A N/A</v>
      </c>
      <c r="M201">
        <f>_xll.BDP("7311 HK Equity","EQY_SH_OUT")</f>
        <v>1.2031099999999999</v>
      </c>
      <c r="N201">
        <f>_xll.BDP("7311 HK Equity","EQY_TRR_PCT_YTD")</f>
        <v>2.4536750000000001</v>
      </c>
      <c r="O201">
        <f>_xll.BDP("7311 HK Equity","CHG_PCT_YTD")</f>
        <v>-4.2674279999999998</v>
      </c>
      <c r="P201">
        <f>_xll.BDP("7311 HK Equity","CHG_PCT_1M")</f>
        <v>33.267319999999998</v>
      </c>
      <c r="Q201" t="str">
        <f>_xll.BDP("7311 HK Equity","LISTING_DATE")</f>
        <v>3/24/2025</v>
      </c>
      <c r="R201" t="str">
        <f>_xll.BDP("7311 HK Equity","FUND_INCEPT_DT")</f>
        <v>3/24/2025</v>
      </c>
      <c r="S201">
        <f>_xll.BDP("7311 HK Equity","AVG_DAILY_VALUE_TRADED_3M")</f>
        <v>1649419</v>
      </c>
      <c r="T201" t="str">
        <f>_xll.BDP("7311 HK Equity","PX596","PX395=HISTORICAL_MARKET_CAP","DY262=D","PY204=N","PX391=20231231","PX392=20231231","DS004=HKD")</f>
        <v>#N/A N/A</v>
      </c>
      <c r="U201" t="str">
        <f>_xll.BDP("7311 HK Equity","PX385","PX395=FUND_FLOW","DY262=D","PY204=N","PX391=20240102","PX392=20240930","DS004=HKD")</f>
        <v>#N/A N/A</v>
      </c>
      <c r="V201">
        <f>_xll.BDP("7311 HK Equity","PX596","PX395=CUR_MKT_CAP","DY262=D","PY204=N","PX391=20240101","DS004=HKD")</f>
        <v>24.6487266</v>
      </c>
      <c r="W201" t="str">
        <f>_xll.BDP("7311 HK Equity","FUND_INCEPT_DT")</f>
        <v>3/24/2025</v>
      </c>
      <c r="X201" t="str">
        <f>_xll.BDP("7311 HK Equity","PX388","PX395=TURNOVER","DY262=D","PY204=N","PX391=20240502","PX392=20240606","DS004=HKD")</f>
        <v>#N/A N/A</v>
      </c>
      <c r="Y201" t="str">
        <f>_xll.BDP("7311 HK Equity","PARENT_COMP_NAME")</f>
        <v>CSOP Asset Management Ltd/Hong</v>
      </c>
      <c r="Z201" t="str">
        <f>_xll.BDP("7311 HK Equity","NAV_CRNCY")</f>
        <v>HKD</v>
      </c>
      <c r="AA201" t="str">
        <f>_xll.BDP("7311 HK Equity","FUND_GEO_FOCUS")</f>
        <v>U.S.</v>
      </c>
      <c r="AB201" t="str">
        <f>_xll.BDP("7311 HK Equity","FUND_ASSET_CLASS_FOCUS")</f>
        <v>Specialty</v>
      </c>
      <c r="AC201">
        <f>_xll.BDP("7311 HK Equity","PX_LAST")</f>
        <v>13.46</v>
      </c>
      <c r="AD201">
        <f>_xll.BDP("7311 HK Equity","PX388","PX395=TIME_WAVG_BID_ASK_SPREAD_PCT","DY262=D","PY204=N","PX391=20260601","PX392=20260626")</f>
        <v>0.6293260394246617</v>
      </c>
      <c r="AE201">
        <f>_xll.BDP("7311 HK Equity","PX388","PX395=AVERAGE_BID_ASK_SPREAD_%","DY262=D","PY204=N","PX391=20260601","PX392=20260626")</f>
        <v>0.66180136690342106</v>
      </c>
    </row>
    <row r="202" spans="1:31" x14ac:dyDescent="0.25">
      <c r="A202" t="s">
        <v>227</v>
      </c>
      <c r="B202" t="str">
        <f>_xll.BDP("7366 HK Equity","LONG_COMP_NAME")</f>
        <v>CSOP Tesla Daily -2x Inverse Product</v>
      </c>
      <c r="C202">
        <f>_xll.BDP("7366 HK Equity","PX385","PX395=FUND_FLOW","DY262=D","PY204=N","PX391=20260622","PX392=20260626","DS004=USD")</f>
        <v>0</v>
      </c>
      <c r="D202">
        <f>_xll.BDP("7366 HK Equity","PX388","PX395=TURNOVER","DY262=D","PY204=N","PX391=20260601","PX392=20260626","DS004=HKD")</f>
        <v>1371457.4736842108</v>
      </c>
      <c r="E202">
        <f>_xll.BDP("7366 HK Equity","PX388","PX395=TURNOVER","DY262=D","PY204=N","PX391=20250101","PX392=20251231","DS004=HKD")</f>
        <v>3862294.700520834</v>
      </c>
      <c r="F202">
        <f>_xll.BDP("7366 HK Equity","PX596","PX395=FUND_TOTAL_ASSETS","DY262=D","PY204=N","PX391=20260626","PX392=20260626","DS004=USD")</f>
        <v>6.7476814000000003</v>
      </c>
      <c r="G202">
        <f>_xll.BDP("7366 HK Equity","PX388","PX395=CUR_MKT_CAP","DY262=D","PY204=N","PX391=20260626","PX392=20260626","DS004=HKD")</f>
        <v>55.497363099999994</v>
      </c>
      <c r="H202" t="str">
        <f>_xll.BDP("7366 HK Equity","FUND_LEVERAGE_TYPE")</f>
        <v>Short</v>
      </c>
      <c r="I202">
        <f>_xll.BDP("7366 HK Equity","PX388","PX395=TURNOVER","DY262=D","PY204=N","PX391=20260101","PX392=20260131","DS004=HKD")</f>
        <v>2208731.5190476188</v>
      </c>
      <c r="J202">
        <v>-1</v>
      </c>
      <c r="K202" t="str">
        <f>_xll.BDP("7366 HK Equity","FUND_INCEPT_DT")</f>
        <v>3/24/2025</v>
      </c>
      <c r="L202" t="str">
        <f>_xll.BDP("7366 HK Equity","PX388","PX395=TURNOVER_EXCH_RATIO","DY262=D","PY204=N","PX391=20251201","PX392=20251210")</f>
        <v>#N/A N/A</v>
      </c>
      <c r="M202">
        <f>_xll.BDP("7366 HK Equity","EQY_SH_OUT")</f>
        <v>4.9684299999999997</v>
      </c>
      <c r="N202">
        <f>_xll.BDP("7366 HK Equity","EQY_TRR_PCT_YTD")</f>
        <v>14.1129</v>
      </c>
      <c r="O202">
        <f>_xll.BDP("7366 HK Equity","CHG_PCT_YTD")</f>
        <v>11.608090000000001</v>
      </c>
      <c r="P202">
        <f>_xll.BDP("7366 HK Equity","CHG_PCT_1M")</f>
        <v>24.98509</v>
      </c>
      <c r="Q202" t="str">
        <f>_xll.BDP("7366 HK Equity","LISTING_DATE")</f>
        <v>3/24/2025</v>
      </c>
      <c r="R202" t="str">
        <f>_xll.BDP("7366 HK Equity","FUND_INCEPT_DT")</f>
        <v>3/24/2025</v>
      </c>
      <c r="S202">
        <f>_xll.BDP("7366 HK Equity","AVG_DAILY_VALUE_TRADED_3M")</f>
        <v>1575165</v>
      </c>
      <c r="T202" t="str">
        <f>_xll.BDP("7366 HK Equity","PX596","PX395=HISTORICAL_MARKET_CAP","DY262=D","PY204=N","PX391=20231231","PX392=20231231","DS004=HKD")</f>
        <v>#N/A N/A</v>
      </c>
      <c r="U202" t="str">
        <f>_xll.BDP("7366 HK Equity","PX385","PX395=FUND_FLOW","DY262=D","PY204=N","PX391=20240102","PX392=20240930","DS004=HKD")</f>
        <v>#N/A N/A</v>
      </c>
      <c r="V202">
        <f>_xll.BDP("7366 HK Equity","PX596","PX395=CUR_MKT_CAP","DY262=D","PY204=N","PX391=20240101","DS004=HKD")</f>
        <v>72.476057699999998</v>
      </c>
      <c r="W202" t="str">
        <f>_xll.BDP("7366 HK Equity","FUND_INCEPT_DT")</f>
        <v>3/24/2025</v>
      </c>
      <c r="X202" t="str">
        <f>_xll.BDP("7366 HK Equity","PX388","PX395=TURNOVER","DY262=D","PY204=N","PX391=20240502","PX392=20240606","DS004=HKD")</f>
        <v>#N/A N/A</v>
      </c>
      <c r="Y202" t="str">
        <f>_xll.BDP("7366 HK Equity","PARENT_COMP_NAME")</f>
        <v>CSOP Asset Management Ltd/Hong</v>
      </c>
      <c r="Z202" t="str">
        <f>_xll.BDP("7366 HK Equity","NAV_CRNCY")</f>
        <v>HKD</v>
      </c>
      <c r="AA202" t="str">
        <f>_xll.BDP("7366 HK Equity","FUND_GEO_FOCUS")</f>
        <v>U.S.</v>
      </c>
      <c r="AB202" t="str">
        <f>_xll.BDP("7366 HK Equity","FUND_ASSET_CLASS_FOCUS")</f>
        <v>Specialty</v>
      </c>
      <c r="AC202">
        <f>_xll.BDP("7366 HK Equity","PX_LAST")</f>
        <v>10.48</v>
      </c>
      <c r="AD202">
        <f>_xll.BDP("7366 HK Equity","PX388","PX395=TIME_WAVG_BID_ASK_SPREAD_PCT","DY262=D","PY204=N","PX391=20260601","PX392=20260626")</f>
        <v>0.25457933271963767</v>
      </c>
      <c r="AE202">
        <f>_xll.BDP("7366 HK Equity","PX388","PX395=AVERAGE_BID_ASK_SPREAD_%","DY262=D","PY204=N","PX391=20260601","PX392=20260626")</f>
        <v>0.35328017982916993</v>
      </c>
    </row>
    <row r="203" spans="1:31" x14ac:dyDescent="0.25">
      <c r="A203" t="s">
        <v>228</v>
      </c>
      <c r="B203" t="str">
        <f>_xll.BDP("7376 HK Equity","LONG_COMP_NAME")</f>
        <v>CSOP Bitcoin Futures Daily -1x Inverse Product</v>
      </c>
      <c r="C203">
        <f>_xll.BDP("7376 HK Equity","PX385","PX395=FUND_FLOW","DY262=D","PY204=N","PX391=20260622","PX392=20260626","DS004=USD")</f>
        <v>0</v>
      </c>
      <c r="D203">
        <f>_xll.BDP("7376 HK Equity","PX388","PX395=TURNOVER","DY262=D","PY204=N","PX391=20260601","PX392=20260626","DS004=HKD")</f>
        <v>3447139.289473684</v>
      </c>
      <c r="E203">
        <f>_xll.BDP("7376 HK Equity","PX388","PX395=TURNOVER","DY262=D","PY204=N","PX391=20250101","PX392=20251231","DS004=HKD")</f>
        <v>1532422.5065040642</v>
      </c>
      <c r="F203">
        <f>_xll.BDP("7376 HK Equity","PX596","PX395=FUND_TOTAL_ASSETS","DY262=D","PY204=N","PX391=20260626","PX392=20260626","DS004=USD")</f>
        <v>4.7537689199999997</v>
      </c>
      <c r="G203">
        <f>_xll.BDP("7376 HK Equity","PX388","PX395=CUR_MKT_CAP","DY262=D","PY204=N","PX391=20260626","PX392=20260626","DS004=HKD")</f>
        <v>36.869999999999997</v>
      </c>
      <c r="H203" t="str">
        <f>_xll.BDP("7376 HK Equity","FUND_LEVERAGE_TYPE")</f>
        <v>Short</v>
      </c>
      <c r="I203">
        <f>_xll.BDP("7376 HK Equity","PX388","PX395=TURNOVER","DY262=D","PY204=N","PX391=20260101","PX392=20260131","DS004=HKD")</f>
        <v>836715.84761904762</v>
      </c>
      <c r="J203">
        <v>-1</v>
      </c>
      <c r="K203" t="str">
        <f>_xll.BDP("7376 HK Equity","FUND_INCEPT_DT")</f>
        <v>7/23/2024</v>
      </c>
      <c r="L203" t="str">
        <f>_xll.BDP("7376 HK Equity","PX388","PX395=TURNOVER_EXCH_RATIO","DY262=D","PY204=N","PX391=20251201","PX392=20251210")</f>
        <v>#N/A N/A</v>
      </c>
      <c r="M203">
        <f>_xll.BDP("7376 HK Equity","EQY_SH_OUT")</f>
        <v>6</v>
      </c>
      <c r="N203">
        <f>_xll.BDP("7376 HK Equity","EQY_TRR_PCT_YTD")</f>
        <v>31.4544</v>
      </c>
      <c r="O203">
        <f>_xll.BDP("7376 HK Equity","CHG_PCT_YTD")</f>
        <v>32.101660000000003</v>
      </c>
      <c r="P203">
        <f>_xll.BDP("7376 HK Equity","CHG_PCT_1M")</f>
        <v>20.330739999999999</v>
      </c>
      <c r="Q203" t="str">
        <f>_xll.BDP("7376 HK Equity","LISTING_DATE")</f>
        <v>7/23/2024</v>
      </c>
      <c r="R203" t="str">
        <f>_xll.BDP("7376 HK Equity","FUND_INCEPT_DT")</f>
        <v>7/23/2024</v>
      </c>
      <c r="S203">
        <f>_xll.BDP("7376 HK Equity","AVG_DAILY_VALUE_TRADED_3M")</f>
        <v>1433491</v>
      </c>
      <c r="T203" t="str">
        <f>_xll.BDP("7376 HK Equity","PX596","PX395=HISTORICAL_MARKET_CAP","DY262=D","PY204=N","PX391=20231231","PX392=20231231","DS004=HKD")</f>
        <v>#N/A N/A</v>
      </c>
      <c r="U203">
        <f>_xll.BDP("7376 HK Equity","PX385","PX395=FUND_FLOW","DY262=D","PY204=N","PX391=20240102","PX392=20240930","DS004=HKD")</f>
        <v>-29.071259360000006</v>
      </c>
      <c r="V203">
        <f>_xll.BDP("7376 HK Equity","PX596","PX395=CUR_MKT_CAP","DY262=D","PY204=N","PX391=20240101","DS004=HKD")</f>
        <v>37.456000000000003</v>
      </c>
      <c r="W203" t="str">
        <f>_xll.BDP("7376 HK Equity","FUND_INCEPT_DT")</f>
        <v>7/23/2024</v>
      </c>
      <c r="X203" t="str">
        <f>_xll.BDP("7376 HK Equity","PX388","PX395=TURNOVER","DY262=D","PY204=N","PX391=20240502","PX392=20240606","DS004=HKD")</f>
        <v>#N/A N/A</v>
      </c>
      <c r="Y203" t="str">
        <f>_xll.BDP("7376 HK Equity","PARENT_COMP_NAME")</f>
        <v>CSOP Asset Management Ltd/Hong</v>
      </c>
      <c r="Z203" t="str">
        <f>_xll.BDP("7376 HK Equity","NAV_CRNCY")</f>
        <v>USD</v>
      </c>
      <c r="AA203" t="str">
        <f>_xll.BDP("7376 HK Equity","FUND_GEO_FOCUS")</f>
        <v>Global</v>
      </c>
      <c r="AB203" t="str">
        <f>_xll.BDP("7376 HK Equity","FUND_ASSET_CLASS_FOCUS")</f>
        <v>Alternative</v>
      </c>
      <c r="AC203">
        <f>_xll.BDP("7376 HK Equity","PX_LAST")</f>
        <v>6.1849999999999996</v>
      </c>
      <c r="AD203">
        <f>_xll.BDP("7376 HK Equity","PX388","PX395=TIME_WAVG_BID_ASK_SPREAD_PCT","DY262=D","PY204=N","PX391=20260601","PX392=20260626")</f>
        <v>0.27419491328462009</v>
      </c>
      <c r="AE203">
        <f>_xll.BDP("7376 HK Equity","PX388","PX395=AVERAGE_BID_ASK_SPREAD_%","DY262=D","PY204=N","PX391=20260601","PX392=20260626")</f>
        <v>0.28595208275695111</v>
      </c>
    </row>
    <row r="204" spans="1:31" x14ac:dyDescent="0.25">
      <c r="A204" t="s">
        <v>229</v>
      </c>
      <c r="B204" t="str">
        <f>_xll.BDP("7388 HK Equity","LONG_COMP_NAME")</f>
        <v>CSOP NVIDIA Daily -2x Inverse Product</v>
      </c>
      <c r="C204">
        <f>_xll.BDP("7388 HK Equity","PX385","PX395=FUND_FLOW","DY262=D","PY204=N","PX391=20260622","PX392=20260626","DS004=USD")</f>
        <v>0</v>
      </c>
      <c r="D204">
        <f>_xll.BDP("7388 HK Equity","PX388","PX395=TURNOVER","DY262=D","PY204=N","PX391=20260601","PX392=20260626","DS004=HKD")</f>
        <v>1443544.894736842</v>
      </c>
      <c r="E204">
        <f>_xll.BDP("7388 HK Equity","PX388","PX395=TURNOVER","DY262=D","PY204=N","PX391=20250101","PX392=20251231","DS004=HKD")</f>
        <v>2140527.925520834</v>
      </c>
      <c r="F204">
        <f>_xll.BDP("7388 HK Equity","PX596","PX395=FUND_TOTAL_ASSETS","DY262=D","PY204=N","PX391=20260626","PX392=20260626","DS004=USD")</f>
        <v>5.6214135199999999</v>
      </c>
      <c r="G204">
        <f>_xll.BDP("7388 HK Equity","PX388","PX395=CUR_MKT_CAP","DY262=D","PY204=N","PX391=20260626","PX392=20260626","DS004=HKD")</f>
        <v>43.285286800000002</v>
      </c>
      <c r="H204" t="str">
        <f>_xll.BDP("7388 HK Equity","FUND_LEVERAGE_TYPE")</f>
        <v>Short</v>
      </c>
      <c r="I204">
        <f>_xll.BDP("7388 HK Equity","PX388","PX395=TURNOVER","DY262=D","PY204=N","PX391=20260101","PX392=20260131","DS004=HKD")</f>
        <v>774039.11904761882</v>
      </c>
      <c r="J204">
        <v>-1</v>
      </c>
      <c r="K204" t="str">
        <f>_xll.BDP("7388 HK Equity","FUND_INCEPT_DT")</f>
        <v>3/24/2025</v>
      </c>
      <c r="L204" t="str">
        <f>_xll.BDP("7388 HK Equity","PX388","PX395=TURNOVER_EXCH_RATIO","DY262=D","PY204=N","PX391=20251201","PX392=20251210")</f>
        <v>#N/A N/A</v>
      </c>
      <c r="M204">
        <f>_xll.BDP("7388 HK Equity","EQY_SH_OUT")</f>
        <v>2.8552299999999997</v>
      </c>
      <c r="N204">
        <f>_xll.BDP("7388 HK Equity","EQY_TRR_PCT_YTD")</f>
        <v>-26.06026</v>
      </c>
      <c r="O204">
        <f>_xll.BDP("7388 HK Equity","CHG_PCT_YTD")</f>
        <v>-25.074480000000001</v>
      </c>
      <c r="P204">
        <f>_xll.BDP("7388 HK Equity","CHG_PCT_1M")</f>
        <v>15.63218</v>
      </c>
      <c r="Q204" t="str">
        <f>_xll.BDP("7388 HK Equity","LISTING_DATE")</f>
        <v>3/24/2025</v>
      </c>
      <c r="R204" t="str">
        <f>_xll.BDP("7388 HK Equity","FUND_INCEPT_DT")</f>
        <v>3/24/2025</v>
      </c>
      <c r="S204">
        <f>_xll.BDP("7388 HK Equity","AVG_DAILY_VALUE_TRADED_3M")</f>
        <v>1605433</v>
      </c>
      <c r="T204" t="str">
        <f>_xll.BDP("7388 HK Equity","PX596","PX395=HISTORICAL_MARKET_CAP","DY262=D","PY204=N","PX391=20231231","PX392=20231231","DS004=HKD")</f>
        <v>#N/A N/A</v>
      </c>
      <c r="U204" t="str">
        <f>_xll.BDP("7388 HK Equity","PX385","PX395=FUND_FLOW","DY262=D","PY204=N","PX391=20240102","PX392=20240930","DS004=HKD")</f>
        <v>#N/A N/A</v>
      </c>
      <c r="V204">
        <f>_xll.BDP("7388 HK Equity","PX596","PX395=CUR_MKT_CAP","DY262=D","PY204=N","PX391=20240101","DS004=HKD")</f>
        <v>43.406332200000001</v>
      </c>
      <c r="W204" t="str">
        <f>_xll.BDP("7388 HK Equity","FUND_INCEPT_DT")</f>
        <v>3/24/2025</v>
      </c>
      <c r="X204" t="str">
        <f>_xll.BDP("7388 HK Equity","PX388","PX395=TURNOVER","DY262=D","PY204=N","PX391=20240502","PX392=20240606","DS004=HKD")</f>
        <v>#N/A N/A</v>
      </c>
      <c r="Y204" t="str">
        <f>_xll.BDP("7388 HK Equity","PARENT_COMP_NAME")</f>
        <v>CSOP Asset Management Ltd/Hong</v>
      </c>
      <c r="Z204" t="str">
        <f>_xll.BDP("7388 HK Equity","NAV_CRNCY")</f>
        <v>HKD</v>
      </c>
      <c r="AA204" t="str">
        <f>_xll.BDP("7388 HK Equity","FUND_GEO_FOCUS")</f>
        <v>U.S.</v>
      </c>
      <c r="AB204" t="str">
        <f>_xll.BDP("7388 HK Equity","FUND_ASSET_CLASS_FOCUS")</f>
        <v>Specialty</v>
      </c>
      <c r="AC204">
        <f>_xll.BDP("7388 HK Equity","PX_LAST")</f>
        <v>15.09</v>
      </c>
      <c r="AD204">
        <f>_xll.BDP("7388 HK Equity","PX388","PX395=TIME_WAVG_BID_ASK_SPREAD_PCT","DY262=D","PY204=N","PX391=20260601","PX392=20260626")</f>
        <v>0.37638575177883898</v>
      </c>
      <c r="AE204">
        <f>_xll.BDP("7388 HK Equity","PX388","PX395=AVERAGE_BID_ASK_SPREAD_%","DY262=D","PY204=N","PX391=20260601","PX392=20260626")</f>
        <v>0.44136644314246593</v>
      </c>
    </row>
    <row r="205" spans="1:31" x14ac:dyDescent="0.25">
      <c r="A205" t="s">
        <v>230</v>
      </c>
      <c r="B205" t="str">
        <f>_xll.BDP("7522 HK Equity","LONG_COMP_NAME")</f>
        <v>Chinaamc Nasdaq-100 Index Daily -2X Inverse Product</v>
      </c>
      <c r="C205">
        <f>_xll.BDP("7522 HK Equity","PX385","PX395=FUND_FLOW","DY262=D","PY204=N","PX391=20260622","PX392=20260626","DS004=USD")</f>
        <v>0</v>
      </c>
      <c r="D205">
        <f>_xll.BDP("7522 HK Equity","PX388","PX395=TURNOVER","DY262=D","PY204=N","PX391=20260601","PX392=20260626","DS004=HKD")</f>
        <v>4142810.0000000009</v>
      </c>
      <c r="E205">
        <f>_xll.BDP("7522 HK Equity","PX388","PX395=TURNOVER","DY262=D","PY204=N","PX391=20250101","PX392=20251231","DS004=HKD")</f>
        <v>5029449.4536585379</v>
      </c>
      <c r="F205">
        <f>_xll.BDP("7522 HK Equity","PX596","PX395=FUND_TOTAL_ASSETS","DY262=D","PY204=N","PX391=20260626","PX392=20260626","DS004=USD")</f>
        <v>24.7</v>
      </c>
      <c r="G205">
        <f>_xll.BDP("7522 HK Equity","PX388","PX395=CUR_MKT_CAP","DY262=D","PY204=N","PX391=20260626","PX392=20260626","DS004=HKD")</f>
        <v>191.32320000000001</v>
      </c>
      <c r="H205" t="str">
        <f>_xll.BDP("7522 HK Equity","FUND_LEVERAGE_TYPE")</f>
        <v>Short</v>
      </c>
      <c r="I205">
        <f>_xll.BDP("7522 HK Equity","PX388","PX395=TURNOVER","DY262=D","PY204=N","PX391=20260101","PX392=20260131","DS004=HKD")</f>
        <v>1470455.0238095236</v>
      </c>
      <c r="J205">
        <v>-1</v>
      </c>
      <c r="K205" t="str">
        <f>_xll.BDP("7522 HK Equity","FUND_INCEPT_DT")</f>
        <v>9/6/2019</v>
      </c>
      <c r="L205" t="str">
        <f>_xll.BDP("7522 HK Equity","PX388","PX395=TURNOVER_EXCH_RATIO","DY262=D","PY204=N","PX391=20251201","PX392=20251210")</f>
        <v>#N/A N/A</v>
      </c>
      <c r="M205">
        <f>_xll.BDP("7522 HK Equity","EQY_SH_OUT")</f>
        <v>51.989999999999995</v>
      </c>
      <c r="N205">
        <f>_xll.BDP("7522 HK Equity","EQY_TRR_PCT_YTD")</f>
        <v>-27.988199999999999</v>
      </c>
      <c r="O205">
        <f>_xll.BDP("7522 HK Equity","CHG_PCT_YTD")</f>
        <v>-26.362539999999999</v>
      </c>
      <c r="P205">
        <f>_xll.BDP("7522 HK Equity","CHG_PCT_1M")</f>
        <v>4.2285709999999996</v>
      </c>
      <c r="Q205" t="str">
        <f>_xll.BDP("7522 HK Equity","LISTING_DATE")</f>
        <v>9/6/2019</v>
      </c>
      <c r="R205" t="str">
        <f>_xll.BDP("7522 HK Equity","FUND_INCEPT_DT")</f>
        <v>9/6/2019</v>
      </c>
      <c r="S205">
        <f>_xll.BDP("7522 HK Equity","AVG_DAILY_VALUE_TRADED_3M")</f>
        <v>4175283</v>
      </c>
      <c r="T205" t="str">
        <f>_xll.BDP("7522 HK Equity","PX596","PX395=HISTORICAL_MARKET_CAP","DY262=D","PY204=N","PX391=20231231","PX392=20231231","DS004=HKD")</f>
        <v>#N/A N/A</v>
      </c>
      <c r="U205">
        <f>_xll.BDP("7522 HK Equity","PX385","PX395=FUND_FLOW","DY262=D","PY204=N","PX391=20240102","PX392=20240930","DS004=HKD")</f>
        <v>54.942269788000026</v>
      </c>
      <c r="V205">
        <f>_xll.BDP("7522 HK Equity","PX596","PX395=CUR_MKT_CAP","DY262=D","PY204=N","PX391=20240101","DS004=HKD")</f>
        <v>225.35746</v>
      </c>
      <c r="W205" t="str">
        <f>_xll.BDP("7522 HK Equity","FUND_INCEPT_DT")</f>
        <v>9/6/2019</v>
      </c>
      <c r="X205">
        <f>_xll.BDP("7522 HK Equity","PX388","PX395=TURNOVER","DY262=D","PY204=N","PX391=20240502","PX392=20240606","DS004=HKD")</f>
        <v>6271621.2000000002</v>
      </c>
      <c r="Y205" t="str">
        <f>_xll.BDP("7522 HK Equity","PARENT_COMP_NAME")</f>
        <v>China Asset Management Hong Ko</v>
      </c>
      <c r="Z205" t="str">
        <f>_xll.BDP("7522 HK Equity","NAV_CRNCY")</f>
        <v>USD</v>
      </c>
      <c r="AA205" t="str">
        <f>_xll.BDP("7522 HK Equity","FUND_GEO_FOCUS")</f>
        <v>U.S.</v>
      </c>
      <c r="AB205" t="str">
        <f>_xll.BDP("7522 HK Equity","FUND_ASSET_CLASS_FOCUS")</f>
        <v>Equity</v>
      </c>
      <c r="AC205">
        <f>_xll.BDP("7522 HK Equity","PX_LAST")</f>
        <v>3.6480000000000001</v>
      </c>
      <c r="AD205">
        <f>_xll.BDP("7522 HK Equity","PX388","PX395=TIME_WAVG_BID_ASK_SPREAD_PCT","DY262=D","PY204=N","PX391=20260601","PX392=20260626")</f>
        <v>0.12511112947846903</v>
      </c>
      <c r="AE205">
        <f>_xll.BDP("7522 HK Equity","PX388","PX395=AVERAGE_BID_ASK_SPREAD_%","DY262=D","PY204=N","PX391=20260601","PX392=20260626")</f>
        <v>0.12227823869954713</v>
      </c>
    </row>
    <row r="206" spans="1:31" x14ac:dyDescent="0.25">
      <c r="A206" t="s">
        <v>231</v>
      </c>
      <c r="B206" t="str">
        <f>_xll.BDP("7568 HK Equity","LONG_COMP_NAME")</f>
        <v>CSOP NASDAQ - 100 Index Daily -2x Inverse Product</v>
      </c>
      <c r="C206">
        <f>_xll.BDP("7568 HK Equity","PX385","PX395=FUND_FLOW","DY262=D","PY204=N","PX391=20260622","PX392=20260626","DS004=USD")</f>
        <v>0</v>
      </c>
      <c r="D206">
        <f>_xll.BDP("7568 HK Equity","PX388","PX395=TURNOVER","DY262=D","PY204=N","PX391=20260601","PX392=20260626","DS004=HKD")</f>
        <v>31710977.894736838</v>
      </c>
      <c r="E206">
        <f>_xll.BDP("7568 HK Equity","PX388","PX395=TURNOVER","DY262=D","PY204=N","PX391=20250101","PX392=20251231","DS004=HKD")</f>
        <v>34874422.963414654</v>
      </c>
      <c r="F206">
        <f>_xll.BDP("7568 HK Equity","PX596","PX395=FUND_TOTAL_ASSETS","DY262=D","PY204=N","PX391=20260626","PX392=20260626","DS004=USD")</f>
        <v>192.71452350999999</v>
      </c>
      <c r="G206">
        <f>_xll.BDP("7568 HK Equity","PX388","PX395=CUR_MKT_CAP","DY262=D","PY204=N","PX391=20260626","PX392=20260626","DS004=HKD")</f>
        <v>1496.3535999999999</v>
      </c>
      <c r="H206" t="str">
        <f>_xll.BDP("7568 HK Equity","FUND_LEVERAGE_TYPE")</f>
        <v>Short</v>
      </c>
      <c r="I206">
        <f>_xll.BDP("7568 HK Equity","PX388","PX395=TURNOVER","DY262=D","PY204=N","PX391=20260101","PX392=20260131","DS004=HKD")</f>
        <v>16333934.666666668</v>
      </c>
      <c r="J206">
        <v>-1</v>
      </c>
      <c r="K206" t="str">
        <f>_xll.BDP("7568 HK Equity","FUND_INCEPT_DT")</f>
        <v>9/19/2019</v>
      </c>
      <c r="L206" t="str">
        <f>_xll.BDP("7568 HK Equity","PX388","PX395=TURNOVER_EXCH_RATIO","DY262=D","PY204=N","PX391=20251201","PX392=20251210")</f>
        <v>#N/A N/A</v>
      </c>
      <c r="M206">
        <f>_xll.BDP("7568 HK Equity","EQY_SH_OUT")</f>
        <v>628.72</v>
      </c>
      <c r="N206">
        <f>_xll.BDP("7568 HK Equity","EQY_TRR_PCT_YTD")</f>
        <v>-28.458780000000001</v>
      </c>
      <c r="O206">
        <f>_xll.BDP("7568 HK Equity","CHG_PCT_YTD")</f>
        <v>-26.8323</v>
      </c>
      <c r="P206">
        <f>_xll.BDP("7568 HK Equity","CHG_PCT_1M")</f>
        <v>4.3401290000000001</v>
      </c>
      <c r="Q206" t="str">
        <f>_xll.BDP("7568 HK Equity","LISTING_DATE")</f>
        <v>9/19/2019</v>
      </c>
      <c r="R206" t="str">
        <f>_xll.BDP("7568 HK Equity","FUND_INCEPT_DT")</f>
        <v>9/19/2019</v>
      </c>
      <c r="S206">
        <f>_xll.BDP("7568 HK Equity","AVG_DAILY_VALUE_TRADED_3M")</f>
        <v>31931740</v>
      </c>
      <c r="T206" t="str">
        <f>_xll.BDP("7568 HK Equity","PX596","PX395=HISTORICAL_MARKET_CAP","DY262=D","PY204=N","PX391=20231231","PX392=20231231","DS004=HKD")</f>
        <v>#N/A N/A</v>
      </c>
      <c r="U206">
        <f>_xll.BDP("7568 HK Equity","PX385","PX395=FUND_FLOW","DY262=D","PY204=N","PX391=20240102","PX392=20240930","DS004=HKD")</f>
        <v>445.27384173599995</v>
      </c>
      <c r="V206">
        <f>_xll.BDP("7568 HK Equity","PX596","PX395=CUR_MKT_CAP","DY262=D","PY204=N","PX391=20240101","DS004=HKD")</f>
        <v>1761.7264</v>
      </c>
      <c r="W206" t="str">
        <f>_xll.BDP("7568 HK Equity","FUND_INCEPT_DT")</f>
        <v>9/19/2019</v>
      </c>
      <c r="X206">
        <f>_xll.BDP("7568 HK Equity","PX388","PX395=TURNOVER","DY262=D","PY204=N","PX391=20240502","PX392=20240606","DS004=HKD")</f>
        <v>21646595.680000003</v>
      </c>
      <c r="Y206" t="str">
        <f>_xll.BDP("7568 HK Equity","PARENT_COMP_NAME")</f>
        <v>CSOP Asset Management Ltd/Hong</v>
      </c>
      <c r="Z206" t="str">
        <f>_xll.BDP("7568 HK Equity","NAV_CRNCY")</f>
        <v>USD</v>
      </c>
      <c r="AA206" t="str">
        <f>_xll.BDP("7568 HK Equity","FUND_GEO_FOCUS")</f>
        <v>U.S.</v>
      </c>
      <c r="AB206" t="str">
        <f>_xll.BDP("7568 HK Equity","FUND_ASSET_CLASS_FOCUS")</f>
        <v>Equity</v>
      </c>
      <c r="AC206">
        <f>_xll.BDP("7568 HK Equity","PX_LAST")</f>
        <v>2.3559999999999999</v>
      </c>
      <c r="AD206">
        <f>_xll.BDP("7568 HK Equity","PX388","PX395=TIME_WAVG_BID_ASK_SPREAD_PCT","DY262=D","PY204=N","PX391=20260601","PX392=20260626")</f>
        <v>0.10904720880493289</v>
      </c>
      <c r="AE206">
        <f>_xll.BDP("7568 HK Equity","PX388","PX395=AVERAGE_BID_ASK_SPREAD_%","DY262=D","PY204=N","PX391=20260601","PX392=20260626")</f>
        <v>0.10258720596424821</v>
      </c>
    </row>
    <row r="207" spans="1:31" x14ac:dyDescent="0.25">
      <c r="A207" t="s">
        <v>232</v>
      </c>
      <c r="B207" t="str">
        <f>_xll.BDP("7711 HK Equity","LONG_COMP_NAME")</f>
        <v>CSOP Coinbase Daily 2x Leveraged Product</v>
      </c>
      <c r="C207">
        <f>_xll.BDP("7711 HK Equity","PX385","PX395=FUND_FLOW","DY262=D","PY204=N","PX391=20260622","PX392=20260626","DS004=USD")</f>
        <v>0</v>
      </c>
      <c r="D207">
        <f>_xll.BDP("7711 HK Equity","PX388","PX395=TURNOVER","DY262=D","PY204=N","PX391=20260601","PX392=20260626","DS004=HKD")</f>
        <v>1880513.1789473686</v>
      </c>
      <c r="E207">
        <f>_xll.BDP("7711 HK Equity","PX388","PX395=TURNOVER","DY262=D","PY204=N","PX391=20250101","PX392=20251231","DS004=HKD")</f>
        <v>1650084.7802083329</v>
      </c>
      <c r="F207">
        <f>_xll.BDP("7711 HK Equity","PX596","PX395=FUND_TOTAL_ASSETS","DY262=D","PY204=N","PX391=20260626","PX392=20260626","DS004=USD")</f>
        <v>5.0730312099999999</v>
      </c>
      <c r="G207">
        <f>_xll.BDP("7711 HK Equity","PX388","PX395=CUR_MKT_CAP","DY262=D","PY204=N","PX391=20260626","PX392=20260626","DS004=HKD")</f>
        <v>37.420782000000003</v>
      </c>
      <c r="H207" t="str">
        <f>_xll.BDP("7711 HK Equity","FUND_LEVERAGE_TYPE")</f>
        <v>Long</v>
      </c>
      <c r="I207">
        <f>_xll.BDP("7711 HK Equity","PX388","PX395=TURNOVER","DY262=D","PY204=N","PX391=20260101","PX392=20260131","DS004=HKD")</f>
        <v>1708241.8190476191</v>
      </c>
      <c r="J207">
        <v>-1</v>
      </c>
      <c r="K207" t="str">
        <f>_xll.BDP("7711 HK Equity","FUND_INCEPT_DT")</f>
        <v>3/24/2025</v>
      </c>
      <c r="L207" t="str">
        <f>_xll.BDP("7711 HK Equity","PX388","PX395=TURNOVER_EXCH_RATIO","DY262=D","PY204=N","PX391=20251201","PX392=20251210")</f>
        <v>#N/A N/A</v>
      </c>
      <c r="M207">
        <f>_xll.BDP("7711 HK Equity","EQY_SH_OUT")</f>
        <v>2.01187</v>
      </c>
      <c r="N207">
        <f>_xll.BDP("7711 HK Equity","EQY_TRR_PCT_YTD")</f>
        <v>-72.096940000000004</v>
      </c>
      <c r="O207">
        <f>_xll.BDP("7711 HK Equity","CHG_PCT_YTD")</f>
        <v>-70.462530000000001</v>
      </c>
      <c r="P207">
        <f>_xll.BDP("7711 HK Equity","CHG_PCT_1M")</f>
        <v>-36.017760000000003</v>
      </c>
      <c r="Q207" t="str">
        <f>_xll.BDP("7711 HK Equity","LISTING_DATE")</f>
        <v>3/24/2025</v>
      </c>
      <c r="R207" t="str">
        <f>_xll.BDP("7711 HK Equity","FUND_INCEPT_DT")</f>
        <v>3/24/2025</v>
      </c>
      <c r="S207">
        <f>_xll.BDP("7711 HK Equity","AVG_DAILY_VALUE_TRADED_3M")</f>
        <v>2351531</v>
      </c>
      <c r="T207" t="str">
        <f>_xll.BDP("7711 HK Equity","PX596","PX395=HISTORICAL_MARKET_CAP","DY262=D","PY204=N","PX391=20231231","PX392=20231231","DS004=HKD")</f>
        <v>#N/A N/A</v>
      </c>
      <c r="U207" t="str">
        <f>_xll.BDP("7711 HK Equity","PX385","PX395=FUND_FLOW","DY262=D","PY204=N","PX391=20240102","PX392=20240930","DS004=HKD")</f>
        <v>#N/A N/A</v>
      </c>
      <c r="V207">
        <f>_xll.BDP("7711 HK Equity","PX596","PX395=CUR_MKT_CAP","DY262=D","PY204=N","PX391=20240101","DS004=HKD")</f>
        <v>24.7229584</v>
      </c>
      <c r="W207" t="str">
        <f>_xll.BDP("7711 HK Equity","FUND_INCEPT_DT")</f>
        <v>3/24/2025</v>
      </c>
      <c r="X207" t="str">
        <f>_xll.BDP("7711 HK Equity","PX388","PX395=TURNOVER","DY262=D","PY204=N","PX391=20240502","PX392=20240606","DS004=HKD")</f>
        <v>#N/A N/A</v>
      </c>
      <c r="Y207" t="str">
        <f>_xll.BDP("7711 HK Equity","PARENT_COMP_NAME")</f>
        <v>CSOP Asset Management Ltd/Hong</v>
      </c>
      <c r="Z207" t="str">
        <f>_xll.BDP("7711 HK Equity","NAV_CRNCY")</f>
        <v>HKD</v>
      </c>
      <c r="AA207" t="str">
        <f>_xll.BDP("7711 HK Equity","FUND_GEO_FOCUS")</f>
        <v>U.S.</v>
      </c>
      <c r="AB207" t="str">
        <f>_xll.BDP("7711 HK Equity","FUND_ASSET_CLASS_FOCUS")</f>
        <v>Specialty</v>
      </c>
      <c r="AC207">
        <f>_xll.BDP("7711 HK Equity","PX_LAST")</f>
        <v>20.18</v>
      </c>
      <c r="AD207">
        <f>_xll.BDP("7711 HK Equity","PX388","PX395=TIME_WAVG_BID_ASK_SPREAD_PCT","DY262=D","PY204=N","PX391=20260601","PX392=20260626")</f>
        <v>0.48547781106419907</v>
      </c>
      <c r="AE207">
        <f>_xll.BDP("7711 HK Equity","PX388","PX395=AVERAGE_BID_ASK_SPREAD_%","DY262=D","PY204=N","PX391=20260601","PX392=20260626")</f>
        <v>0.57165147814049044</v>
      </c>
    </row>
    <row r="208" spans="1:31" x14ac:dyDescent="0.25">
      <c r="A208" t="s">
        <v>233</v>
      </c>
      <c r="B208" t="str">
        <f>_xll.BDP("7766 HK Equity","LONG_COMP_NAME")</f>
        <v>CSOP Tesla Daily 2x Leveraged Product</v>
      </c>
      <c r="C208">
        <f>_xll.BDP("7766 HK Equity","PX385","PX395=FUND_FLOW","DY262=D","PY204=N","PX391=20260622","PX392=20260626","DS004=USD")</f>
        <v>0</v>
      </c>
      <c r="D208">
        <f>_xll.BDP("7766 HK Equity","PX388","PX395=TURNOVER","DY262=D","PY204=N","PX391=20260601","PX392=20260626","DS004=HKD")</f>
        <v>2371376.6052631582</v>
      </c>
      <c r="E208">
        <f>_xll.BDP("7766 HK Equity","PX388","PX395=TURNOVER","DY262=D","PY204=N","PX391=20250101","PX392=20251231","DS004=HKD")</f>
        <v>5716429.8635416664</v>
      </c>
      <c r="F208">
        <f>_xll.BDP("7766 HK Equity","PX596","PX395=FUND_TOTAL_ASSETS","DY262=D","PY204=N","PX391=20260626","PX392=20260626","DS004=USD")</f>
        <v>10.92587975</v>
      </c>
      <c r="G208">
        <f>_xll.BDP("7766 HK Equity","PX388","PX395=CUR_MKT_CAP","DY262=D","PY204=N","PX391=20260626","PX392=20260626","DS004=HKD")</f>
        <v>81.695060999999995</v>
      </c>
      <c r="H208" t="str">
        <f>_xll.BDP("7766 HK Equity","FUND_LEVERAGE_TYPE")</f>
        <v>Long</v>
      </c>
      <c r="I208">
        <f>_xll.BDP("7766 HK Equity","PX388","PX395=TURNOVER","DY262=D","PY204=N","PX391=20260101","PX392=20260131","DS004=HKD")</f>
        <v>5706701.1904761894</v>
      </c>
      <c r="J208">
        <v>-1</v>
      </c>
      <c r="K208" t="str">
        <f>_xll.BDP("7766 HK Equity","FUND_INCEPT_DT")</f>
        <v>3/24/2025</v>
      </c>
      <c r="L208" t="str">
        <f>_xll.BDP("7766 HK Equity","PX388","PX395=TURNOVER_EXCH_RATIO","DY262=D","PY204=N","PX391=20251201","PX392=20251210")</f>
        <v>#N/A N/A</v>
      </c>
      <c r="M208">
        <f>_xll.BDP("7766 HK Equity","EQY_SH_OUT")</f>
        <v>0.84482999999999997</v>
      </c>
      <c r="N208">
        <f>_xll.BDP("7766 HK Equity","EQY_TRR_PCT_YTD")</f>
        <v>-39.819940000000003</v>
      </c>
      <c r="O208">
        <f>_xll.BDP("7766 HK Equity","CHG_PCT_YTD")</f>
        <v>-38.374180000000003</v>
      </c>
      <c r="P208">
        <f>_xll.BDP("7766 HK Equity","CHG_PCT_1M")</f>
        <v>-26.566949999999999</v>
      </c>
      <c r="Q208" t="str">
        <f>_xll.BDP("7766 HK Equity","LISTING_DATE")</f>
        <v>3/24/2025</v>
      </c>
      <c r="R208" t="str">
        <f>_xll.BDP("7766 HK Equity","FUND_INCEPT_DT")</f>
        <v>3/24/2025</v>
      </c>
      <c r="S208">
        <f>_xll.BDP("7766 HK Equity","AVG_DAILY_VALUE_TRADED_3M")</f>
        <v>3917451</v>
      </c>
      <c r="T208" t="str">
        <f>_xll.BDP("7766 HK Equity","PX596","PX395=HISTORICAL_MARKET_CAP","DY262=D","PY204=N","PX391=20231231","PX392=20231231","DS004=HKD")</f>
        <v>#N/A N/A</v>
      </c>
      <c r="U208" t="str">
        <f>_xll.BDP("7766 HK Equity","PX385","PX395=FUND_FLOW","DY262=D","PY204=N","PX391=20240102","PX392=20240930","DS004=HKD")</f>
        <v>#N/A N/A</v>
      </c>
      <c r="V208">
        <f>_xll.BDP("7766 HK Equity","PX596","PX395=CUR_MKT_CAP","DY262=D","PY204=N","PX391=20240101","DS004=HKD")</f>
        <v>82.785059000000004</v>
      </c>
      <c r="W208" t="str">
        <f>_xll.BDP("7766 HK Equity","FUND_INCEPT_DT")</f>
        <v>3/24/2025</v>
      </c>
      <c r="X208" t="str">
        <f>_xll.BDP("7766 HK Equity","PX388","PX395=TURNOVER","DY262=D","PY204=N","PX391=20240502","PX392=20240606","DS004=HKD")</f>
        <v>#N/A N/A</v>
      </c>
      <c r="Y208" t="str">
        <f>_xll.BDP("7766 HK Equity","PARENT_COMP_NAME")</f>
        <v>CSOP Asset Management Ltd/Hong</v>
      </c>
      <c r="Z208" t="str">
        <f>_xll.BDP("7766 HK Equity","NAV_CRNCY")</f>
        <v>HKD</v>
      </c>
      <c r="AA208" t="str">
        <f>_xll.BDP("7766 HK Equity","FUND_GEO_FOCUS")</f>
        <v>U.S.</v>
      </c>
      <c r="AB208" t="str">
        <f>_xll.BDP("7766 HK Equity","FUND_ASSET_CLASS_FOCUS")</f>
        <v>Specialty</v>
      </c>
      <c r="AC208">
        <f>_xll.BDP("7766 HK Equity","PX_LAST")</f>
        <v>103.1</v>
      </c>
      <c r="AD208">
        <f>_xll.BDP("7766 HK Equity","PX388","PX395=TIME_WAVG_BID_ASK_SPREAD_PCT","DY262=D","PY204=N","PX391=20260601","PX392=20260626")</f>
        <v>0.26785889123955953</v>
      </c>
      <c r="AE208">
        <f>_xll.BDP("7766 HK Equity","PX388","PX395=AVERAGE_BID_ASK_SPREAD_%","DY262=D","PY204=N","PX391=20260601","PX392=20260626")</f>
        <v>0.39146217900006092</v>
      </c>
    </row>
    <row r="209" spans="1:31" x14ac:dyDescent="0.25">
      <c r="A209" t="s">
        <v>234</v>
      </c>
      <c r="B209" t="str">
        <f>_xll.BDP("7788 HK Equity","LONG_COMP_NAME")</f>
        <v>CSOP NVIDIA Daily 2x Leveraged Product</v>
      </c>
      <c r="C209">
        <f>_xll.BDP("7788 HK Equity","PX385","PX395=FUND_FLOW","DY262=D","PY204=N","PX391=20260622","PX392=20260626","DS004=USD")</f>
        <v>0</v>
      </c>
      <c r="D209">
        <f>_xll.BDP("7788 HK Equity","PX388","PX395=TURNOVER","DY262=D","PY204=N","PX391=20260601","PX392=20260626","DS004=HKD")</f>
        <v>6428440.5789473671</v>
      </c>
      <c r="E209">
        <f>_xll.BDP("7788 HK Equity","PX388","PX395=TURNOVER","DY262=D","PY204=N","PX391=20250101","PX392=20251231","DS004=HKD")</f>
        <v>2652042.7937500007</v>
      </c>
      <c r="F209">
        <f>_xll.BDP("7788 HK Equity","PX596","PX395=FUND_TOTAL_ASSETS","DY262=D","PY204=N","PX391=20260626","PX392=20260626","DS004=USD")</f>
        <v>9.6870765299999988</v>
      </c>
      <c r="G209">
        <f>_xll.BDP("7788 HK Equity","PX388","PX395=CUR_MKT_CAP","DY262=D","PY204=N","PX391=20260626","PX392=20260626","DS004=HKD")</f>
        <v>76.827590000000001</v>
      </c>
      <c r="H209" t="str">
        <f>_xll.BDP("7788 HK Equity","FUND_LEVERAGE_TYPE")</f>
        <v>Long</v>
      </c>
      <c r="I209">
        <f>_xll.BDP("7788 HK Equity","PX388","PX395=TURNOVER","DY262=D","PY204=N","PX391=20260101","PX392=20260131","DS004=HKD")</f>
        <v>1659835.0238095236</v>
      </c>
      <c r="J209">
        <v>-1</v>
      </c>
      <c r="K209" t="str">
        <f>_xll.BDP("7788 HK Equity","FUND_INCEPT_DT")</f>
        <v>3/24/2025</v>
      </c>
      <c r="L209" t="str">
        <f>_xll.BDP("7788 HK Equity","PX388","PX395=TURNOVER_EXCH_RATIO","DY262=D","PY204=N","PX391=20251201","PX392=20251210")</f>
        <v>#N/A N/A</v>
      </c>
      <c r="M209">
        <f>_xll.BDP("7788 HK Equity","EQY_SH_OUT")</f>
        <v>0.5474</v>
      </c>
      <c r="N209">
        <f>_xll.BDP("7788 HK Equity","EQY_TRR_PCT_YTD")</f>
        <v>-3.703408</v>
      </c>
      <c r="O209">
        <f>_xll.BDP("7788 HK Equity","CHG_PCT_YTD")</f>
        <v>-5.6591189999999996</v>
      </c>
      <c r="P209">
        <f>_xll.BDP("7788 HK Equity","CHG_PCT_1M")</f>
        <v>-20.837990000000001</v>
      </c>
      <c r="Q209" t="str">
        <f>_xll.BDP("7788 HK Equity","LISTING_DATE")</f>
        <v>3/24/2025</v>
      </c>
      <c r="R209" t="str">
        <f>_xll.BDP("7788 HK Equity","FUND_INCEPT_DT")</f>
        <v>3/24/2025</v>
      </c>
      <c r="S209">
        <f>_xll.BDP("7788 HK Equity","AVG_DAILY_VALUE_TRADED_3M")</f>
        <v>5598762</v>
      </c>
      <c r="T209" t="str">
        <f>_xll.BDP("7788 HK Equity","PX596","PX395=HISTORICAL_MARKET_CAP","DY262=D","PY204=N","PX391=20231231","PX392=20231231","DS004=HKD")</f>
        <v>#N/A N/A</v>
      </c>
      <c r="U209" t="str">
        <f>_xll.BDP("7788 HK Equity","PX385","PX395=FUND_FLOW","DY262=D","PY204=N","PX391=20240102","PX392=20240930","DS004=HKD")</f>
        <v>#N/A N/A</v>
      </c>
      <c r="V209">
        <f>_xll.BDP("7788 HK Equity","PX596","PX395=CUR_MKT_CAP","DY262=D","PY204=N","PX391=20240101","DS004=HKD")</f>
        <v>59.689479999999989</v>
      </c>
      <c r="W209" t="str">
        <f>_xll.BDP("7788 HK Equity","FUND_INCEPT_DT")</f>
        <v>3/24/2025</v>
      </c>
      <c r="X209" t="str">
        <f>_xll.BDP("7788 HK Equity","PX388","PX395=TURNOVER","DY262=D","PY204=N","PX391=20240502","PX392=20240606","DS004=HKD")</f>
        <v>#N/A N/A</v>
      </c>
      <c r="Y209" t="str">
        <f>_xll.BDP("7788 HK Equity","PARENT_COMP_NAME")</f>
        <v>CSOP Asset Management Ltd/Hong</v>
      </c>
      <c r="Z209" t="str">
        <f>_xll.BDP("7788 HK Equity","NAV_CRNCY")</f>
        <v>HKD</v>
      </c>
      <c r="AA209" t="str">
        <f>_xll.BDP("7788 HK Equity","FUND_GEO_FOCUS")</f>
        <v>U.S.</v>
      </c>
      <c r="AB209" t="str">
        <f>_xll.BDP("7788 HK Equity","FUND_ASSET_CLASS_FOCUS")</f>
        <v>Specialty</v>
      </c>
      <c r="AC209">
        <f>_xll.BDP("7788 HK Equity","PX_LAST")</f>
        <v>141.69999999999999</v>
      </c>
      <c r="AD209">
        <f>_xll.BDP("7788 HK Equity","PX388","PX395=TIME_WAVG_BID_ASK_SPREAD_PCT","DY262=D","PY204=N","PX391=20260601","PX392=20260626")</f>
        <v>0.25206780079422186</v>
      </c>
      <c r="AE209">
        <f>_xll.BDP("7788 HK Equity","PX388","PX395=AVERAGE_BID_ASK_SPREAD_%","DY262=D","PY204=N","PX391=20260601","PX392=20260626")</f>
        <v>0.31649069708240796</v>
      </c>
    </row>
    <row r="210" spans="1:31" x14ac:dyDescent="0.25">
      <c r="A210" t="s">
        <v>235</v>
      </c>
      <c r="B210" t="str">
        <f>_xll.BDP("83168 HK Equity","LONG_COMP_NAME")</f>
        <v>Hang Seng RMB Gold ETF</v>
      </c>
      <c r="C210">
        <f>_xll.BDP("83168 HK Equity","PX385","PX395=FUND_FLOW","DY262=D","PY204=N","PX391=20260622","PX392=20260626","DS004=USD")</f>
        <v>0</v>
      </c>
      <c r="D210">
        <f>_xll.BDP("83168 HK Equity","PX388","PX395=TURNOVER","DY262=D","PY204=N","PX391=20260601","PX392=20260626","DS004=HKD")</f>
        <v>234994.15045538978</v>
      </c>
      <c r="E210">
        <f>_xll.BDP("83168 HK Equity","PX388","PX395=TURNOVER","DY262=D","PY204=N","PX391=20250101","PX392=20251231","DS004=HKD")</f>
        <v>201380.32442520661</v>
      </c>
      <c r="F210">
        <f>_xll.BDP("83168 HK Equity","PX596","PX395=FUND_TOTAL_ASSETS","DY262=D","PY204=N","PX391=20260626","PX392=20260626","DS004=USD")</f>
        <v>6.0848446596658432</v>
      </c>
      <c r="G210">
        <f>_xll.BDP("83168 HK Equity","PX388","PX395=CUR_MKT_CAP","DY262=D","PY204=N","PX391=20260626","PX392=20260626","DS004=HKD")</f>
        <v>48.134037962829815</v>
      </c>
      <c r="H210" t="str">
        <f>_xll.BDP("83168 HK Equity","FUND_LEVERAGE_TYPE")</f>
        <v>#N/A N/A</v>
      </c>
      <c r="I210">
        <f>_xll.BDP("83168 HK Equity","PX388","PX395=TURNOVER","DY262=D","PY204=N","PX391=20260101","PX392=20260131","DS004=HKD")</f>
        <v>435093.43450878788</v>
      </c>
      <c r="J210">
        <v>-1</v>
      </c>
      <c r="K210" t="str">
        <f>_xll.BDP("83168 HK Equity","FUND_INCEPT_DT")</f>
        <v>2/14/2012</v>
      </c>
      <c r="L210" t="str">
        <f>_xll.BDP("83168 HK Equity","PX388","PX395=TURNOVER_EXCH_RATIO","DY262=D","PY204=N","PX391=20251201","PX392=20251210")</f>
        <v>#N/A N/A</v>
      </c>
      <c r="M210">
        <f>_xll.BDP("83168 HK Equity","EQY_SH_OUT")</f>
        <v>0.75329999999999997</v>
      </c>
      <c r="N210">
        <f>_xll.BDP("83168 HK Equity","EQY_TRR_PCT_YTD")</f>
        <v>-9.0335249999999991</v>
      </c>
      <c r="O210">
        <f>_xll.BDP("83168 HK Equity","CHG_PCT_YTD")</f>
        <v>-9.7879269999999998</v>
      </c>
      <c r="P210">
        <f>_xll.BDP("83168 HK Equity","CHG_PCT_1M")</f>
        <v>-10.081300000000001</v>
      </c>
      <c r="Q210" t="str">
        <f>_xll.BDP("83168 HK Equity","LISTING_DATE")</f>
        <v>2/14/2012</v>
      </c>
      <c r="R210" t="str">
        <f>_xll.BDP("83168 HK Equity","FUND_INCEPT_DT")</f>
        <v>2/14/2012</v>
      </c>
      <c r="S210">
        <f>_xll.BDP("83168 HK Equity","AVG_DAILY_VALUE_TRADED_3M")</f>
        <v>88653.51</v>
      </c>
      <c r="T210" t="str">
        <f>_xll.BDP("83168 HK Equity","PX596","PX395=HISTORICAL_MARKET_CAP","DY262=D","PY204=N","PX391=20231231","PX392=20231231","DS004=HKD")</f>
        <v>#N/A N/A</v>
      </c>
      <c r="U210">
        <f>_xll.BDP("83168 HK Equity","PX385","PX395=FUND_FLOW","DY262=D","PY204=N","PX391=20240102","PX392=20240930","DS004=HKD")</f>
        <v>-23.774025300455865</v>
      </c>
      <c r="V210">
        <f>_xll.BDP("83168 HK Equity","PX596","PX395=CUR_MKT_CAP","DY262=D","PY204=N","PX391=20240101","DS004=HKD")</f>
        <v>51.428568432416192</v>
      </c>
      <c r="W210" t="str">
        <f>_xll.BDP("83168 HK Equity","FUND_INCEPT_DT")</f>
        <v>2/14/2012</v>
      </c>
      <c r="X210">
        <f>_xll.BDP("83168 HK Equity","PX388","PX395=TURNOVER","DY262=D","PY204=N","PX391=20240502","PX392=20240606","DS004=HKD")</f>
        <v>76554.36579419332</v>
      </c>
      <c r="Y210" t="str">
        <f>_xll.BDP("83168 HK Equity","PARENT_COMP_NAME")</f>
        <v>Hang Seng Investment Managemen</v>
      </c>
      <c r="Z210" t="str">
        <f>_xll.BDP("83168 HK Equity","NAV_CRNCY")</f>
        <v>CNY</v>
      </c>
      <c r="AA210" t="str">
        <f>_xll.BDP("83168 HK Equity","FUND_GEO_FOCUS")</f>
        <v>Global</v>
      </c>
      <c r="AB210" t="str">
        <f>_xll.BDP("83168 HK Equity","FUND_ASSET_CLASS_FOCUS")</f>
        <v>Commodity</v>
      </c>
      <c r="AC210">
        <f>_xll.BDP("83168 HK Equity","PX_LAST")</f>
        <v>55.3</v>
      </c>
      <c r="AD210">
        <f>_xll.BDP("83168 HK Equity","PX388","PX395=TIME_WAVG_BID_ASK_SPREAD_PCT","DY262=D","PY204=N","PX391=20260601","PX392=20260626")</f>
        <v>0.76653973466964198</v>
      </c>
      <c r="AE210">
        <f>_xll.BDP("83168 HK Equity","PX388","PX395=AVERAGE_BID_ASK_SPREAD_%","DY262=D","PY204=N","PX391=20260601","PX392=20260626")</f>
        <v>0.57206456604644695</v>
      </c>
    </row>
    <row r="211" spans="1:31" x14ac:dyDescent="0.25">
      <c r="A211" t="s">
        <v>236</v>
      </c>
      <c r="B211" t="str">
        <f>_xll.BDP("9159 HK Equity","LONG_COMP_NAME")</f>
        <v>Premia FTSE TWSE Taiwan 50 ETF</v>
      </c>
      <c r="C211">
        <f>_xll.BDP("9159 HK Equity","PX385","PX395=FUND_FLOW","DY262=D","PY204=N","PX391=20260622","PX392=20260626","DS004=USD")</f>
        <v>0</v>
      </c>
      <c r="D211">
        <f>_xll.BDP("9159 HK Equity","PX388","PX395=TURNOVER","DY262=D","PY204=N","PX391=20260601","PX392=20260626","DS004=HKD")</f>
        <v>2446697.1325666662</v>
      </c>
      <c r="E211">
        <f>_xll.BDP("9159 HK Equity","PX388","PX395=TURNOVER","DY262=D","PY204=N","PX391=20250101","PX392=20251231","DS004=HKD")</f>
        <v>1094062.1065611118</v>
      </c>
      <c r="F211">
        <f>_xll.BDP("9159 HK Equity","PX596","PX395=FUND_TOTAL_ASSETS","DY262=D","PY204=N","PX391=20260626","PX392=20260626","DS004=USD")</f>
        <v>27.025123359999998</v>
      </c>
      <c r="G211">
        <f>_xll.BDP("9159 HK Equity","PX388","PX395=CUR_MKT_CAP","DY262=D","PY204=N","PX391=20260626","PX392=20260626","DS004=HKD")</f>
        <v>43.249182291030884</v>
      </c>
      <c r="H211" t="str">
        <f>_xll.BDP("9159 HK Equity","FUND_LEVERAGE_TYPE")</f>
        <v>#N/A N/A</v>
      </c>
      <c r="I211">
        <f>_xll.BDP("9159 HK Equity","PX388","PX395=TURNOVER","DY262=D","PY204=N","PX391=20260101","PX392=20260131","DS004=HKD")</f>
        <v>585887.63964666682</v>
      </c>
      <c r="J211">
        <v>-1</v>
      </c>
      <c r="K211" t="str">
        <f>_xll.BDP("9159 HK Equity","FUND_INCEPT_DT")</f>
        <v>10/7/2024</v>
      </c>
      <c r="L211" t="str">
        <f>_xll.BDP("9159 HK Equity","PX388","PX395=TURNOVER_EXCH_RATIO","DY262=D","PY204=N","PX391=20251201","PX392=20251210")</f>
        <v>#N/A N/A</v>
      </c>
      <c r="M211">
        <f>_xll.BDP("9159 HK Equity","EQY_SH_OUT")</f>
        <v>0.25</v>
      </c>
      <c r="N211">
        <f>_xll.BDP("9159 HK Equity","EQY_TRR_PCT_YTD")</f>
        <v>61.643549999999998</v>
      </c>
      <c r="O211">
        <f>_xll.BDP("9159 HK Equity","CHG_PCT_YTD")</f>
        <v>66.001480000000001</v>
      </c>
      <c r="P211">
        <f>_xll.BDP("9159 HK Equity","CHG_PCT_1M")</f>
        <v>-0.53144340000000001</v>
      </c>
      <c r="Q211" t="str">
        <f>_xll.BDP("9159 HK Equity","LISTING_DATE")</f>
        <v>10/9/2024</v>
      </c>
      <c r="R211" t="str">
        <f>_xll.BDP("9159 HK Equity","FUND_INCEPT_DT")</f>
        <v>10/7/2024</v>
      </c>
      <c r="S211">
        <f>_xll.BDP("9159 HK Equity","AVG_DAILY_VALUE_TRADED_3M")</f>
        <v>175548</v>
      </c>
      <c r="T211" t="str">
        <f>_xll.BDP("9159 HK Equity","PX596","PX395=HISTORICAL_MARKET_CAP","DY262=D","PY204=N","PX391=20231231","PX392=20231231","DS004=HKD")</f>
        <v>#N/A N/A</v>
      </c>
      <c r="U211" t="str">
        <f>_xll.BDP("9159 HK Equity","PX385","PX395=FUND_FLOW","DY262=D","PY204=N","PX391=20240102","PX392=20240930","DS004=HKD")</f>
        <v>#N/A N/A</v>
      </c>
      <c r="V211">
        <f>_xll.BDP("9159 HK Equity","PX596","PX395=CUR_MKT_CAP","DY262=D","PY204=N","PX391=20240101","DS004=HKD")</f>
        <v>21.063233400000001</v>
      </c>
      <c r="W211" t="str">
        <f>_xll.BDP("9159 HK Equity","FUND_INCEPT_DT")</f>
        <v>10/7/2024</v>
      </c>
      <c r="X211" t="str">
        <f>_xll.BDP("9159 HK Equity","PX388","PX395=TURNOVER","DY262=D","PY204=N","PX391=20240502","PX392=20240606","DS004=HKD")</f>
        <v>#N/A N/A</v>
      </c>
      <c r="Y211" t="str">
        <f>_xll.BDP("9159 HK Equity","PARENT_COMP_NAME")</f>
        <v>Premia Partners Co Ltd/Hong Ko</v>
      </c>
      <c r="Z211" t="str">
        <f>_xll.BDP("9159 HK Equity","NAV_CRNCY")</f>
        <v>USD</v>
      </c>
      <c r="AA211" t="str">
        <f>_xll.BDP("9159 HK Equity","FUND_GEO_FOCUS")</f>
        <v>Taiwan</v>
      </c>
      <c r="AB211" t="str">
        <f>_xll.BDP("9159 HK Equity","FUND_ASSET_CLASS_FOCUS")</f>
        <v>Equity</v>
      </c>
      <c r="AC211">
        <f>_xll.BDP("9159 HK Equity","PX_LAST")</f>
        <v>22.46</v>
      </c>
      <c r="AD211">
        <f>_xll.BDP("9159 HK Equity","PX388","PX395=TIME_WAVG_BID_ASK_SPREAD_PCT","DY262=D","PY204=N","PX391=20260601","PX392=20260626")</f>
        <v>0.29319401820010638</v>
      </c>
      <c r="AE211">
        <f>_xll.BDP("9159 HK Equity","PX388","PX395=AVERAGE_BID_ASK_SPREAD_%","DY262=D","PY204=N","PX391=20260601","PX392=20260626")</f>
        <v>0.36456021531708493</v>
      </c>
    </row>
    <row r="212" spans="1:31" x14ac:dyDescent="0.25">
      <c r="A212" t="s">
        <v>237</v>
      </c>
      <c r="B212" t="str">
        <f>_xll.BDP("9418 HK Equity","LONG_COMP_NAME")</f>
        <v>ChinaAMC Digital Gold ETF</v>
      </c>
      <c r="C212">
        <f>_xll.BDP("9418 HK Equity","PX385","PX395=FUND_FLOW","DY262=D","PY204=N","PX391=20260622","PX392=20260626","DS004=USD")</f>
        <v>0</v>
      </c>
      <c r="D212">
        <f>_xll.BDP("9418 HK Equity","PX388","PX395=TURNOVER","DY262=D","PY204=N","PX391=20260601","PX392=20260626","DS004=HKD")</f>
        <v>256663.14800000002</v>
      </c>
      <c r="E212" t="str">
        <f>_xll.BDP("9418 HK Equity","PX388","PX395=TURNOVER","DY262=D","PY204=N","PX391=20250101","PX392=20251231","DS004=HKD")</f>
        <v>#N/A N/A</v>
      </c>
      <c r="F212">
        <f>_xll.BDP("9418 HK Equity","PX596","PX395=FUND_TOTAL_ASSETS","DY262=D","PY204=N","PX391=20260626","PX392=20260626","DS004=USD")</f>
        <v>16.975036290000002</v>
      </c>
      <c r="G212">
        <f>_xll.BDP("9418 HK Equity","PX388","PX395=CUR_MKT_CAP","DY262=D","PY204=N","PX391=20260626","PX392=20260626","DS004=HKD")</f>
        <v>132.30332369718201</v>
      </c>
      <c r="H212" t="str">
        <f>_xll.BDP("9418 HK Equity","FUND_LEVERAGE_TYPE")</f>
        <v>#N/A N/A</v>
      </c>
      <c r="I212" t="str">
        <f>_xll.BDP("9418 HK Equity","PX388","PX395=TURNOVER","DY262=D","PY204=N","PX391=20260101","PX392=20260131","DS004=HKD")</f>
        <v>#N/A N/A</v>
      </c>
      <c r="J212" t="s">
        <v>31</v>
      </c>
      <c r="K212" t="str">
        <f>_xll.BDP("9418 HK Equity","FUND_INCEPT_DT")</f>
        <v>5/28/2026</v>
      </c>
      <c r="L212" t="str">
        <f>_xll.BDP("9418 HK Equity","PX388","PX395=TURNOVER_EXCH_RATIO","DY262=D","PY204=N","PX391=20251201","PX392=20251210")</f>
        <v>#N/A N/A</v>
      </c>
      <c r="M212">
        <f>_xll.BDP("9418 HK Equity","EQY_SH_OUT")</f>
        <v>4.06332</v>
      </c>
      <c r="N212" t="str">
        <f>_xll.BDP("9418 HK Equity","EQY_TRR_PCT_YTD")</f>
        <v>#N/A N/A</v>
      </c>
      <c r="O212" t="str">
        <f>_xll.BDP("9418 HK Equity","CHG_PCT_YTD")</f>
        <v>#N/A N/A</v>
      </c>
      <c r="P212">
        <f>_xll.BDP("9418 HK Equity","CHG_PCT_1M")</f>
        <v>-10.055859999999999</v>
      </c>
      <c r="Q212" t="str">
        <f>_xll.BDP("9418 HK Equity","LISTING_DATE")</f>
        <v>5/29/2026</v>
      </c>
      <c r="R212" t="str">
        <f>_xll.BDP("9418 HK Equity","FUND_INCEPT_DT")</f>
        <v>5/28/2026</v>
      </c>
      <c r="S212" t="str">
        <f>_xll.BDP("9418 HK Equity","AVG_DAILY_VALUE_TRADED_3M")</f>
        <v>#N/A N/A</v>
      </c>
      <c r="T212" t="str">
        <f>_xll.BDP("9418 HK Equity","PX596","PX395=HISTORICAL_MARKET_CAP","DY262=D","PY204=N","PX391=20231231","PX392=20231231","DS004=HKD")</f>
        <v>#N/A N/A</v>
      </c>
      <c r="U212" t="str">
        <f>_xll.BDP("9418 HK Equity","PX385","PX395=FUND_FLOW","DY262=D","PY204=N","PX391=20240102","PX392=20240930","DS004=HKD")</f>
        <v>#N/A N/A</v>
      </c>
      <c r="V212" t="str">
        <f>_xll.BDP("9418 HK Equity","PX596","PX395=CUR_MKT_CAP","DY262=D","PY204=N","PX391=20240101","DS004=HKD")</f>
        <v>#N/A N/A</v>
      </c>
      <c r="W212" t="str">
        <f>_xll.BDP("9418 HK Equity","FUND_INCEPT_DT")</f>
        <v>5/28/2026</v>
      </c>
      <c r="X212" t="str">
        <f>_xll.BDP("9418 HK Equity","PX388","PX395=TURNOVER","DY262=D","PY204=N","PX391=20240502","PX392=20240606","DS004=HKD")</f>
        <v>#N/A N/A</v>
      </c>
      <c r="Y212" t="str">
        <f>_xll.BDP("9418 HK Equity","PARENT_COMP_NAME")</f>
        <v>China Asset Management Hong Ko</v>
      </c>
      <c r="Z212" t="str">
        <f>_xll.BDP("9418 HK Equity","NAV_CRNCY")</f>
        <v>USD</v>
      </c>
      <c r="AA212" t="str">
        <f>_xll.BDP("9418 HK Equity","FUND_GEO_FOCUS")</f>
        <v>Global</v>
      </c>
      <c r="AB212" t="str">
        <f>_xll.BDP("9418 HK Equity","FUND_ASSET_CLASS_FOCUS")</f>
        <v>Commodity</v>
      </c>
      <c r="AC212">
        <f>_xll.BDP("9418 HK Equity","PX_LAST")</f>
        <v>4.1859999999999999</v>
      </c>
      <c r="AD212">
        <f>_xll.BDP("9418 HK Equity","PX388","PX395=TIME_WAVG_BID_ASK_SPREAD_PCT","DY262=D","PY204=N","PX391=20260601","PX392=20260626")</f>
        <v>0.31317925215588049</v>
      </c>
      <c r="AE212">
        <f>_xll.BDP("9418 HK Equity","PX388","PX395=AVERAGE_BID_ASK_SPREAD_%","DY262=D","PY204=N","PX391=20260601","PX392=20260626")</f>
        <v>0.34157374868896334</v>
      </c>
    </row>
    <row r="213" spans="1:31" x14ac:dyDescent="0.25">
      <c r="A213" t="s">
        <v>238</v>
      </c>
      <c r="B213" t="str">
        <f>_xll.BDP("9460 HK Equity","LONG_COMP_NAME")</f>
        <v>ChinaAMC Solana ETF</v>
      </c>
      <c r="C213">
        <f>_xll.BDP("9460 HK Equity","PX385","PX395=FUND_FLOW","DY262=D","PY204=N","PX391=20260622","PX392=20260626","DS004=USD")</f>
        <v>0</v>
      </c>
      <c r="D213">
        <f>_xll.BDP("9460 HK Equity","PX388","PX395=TURNOVER","DY262=D","PY204=N","PX391=20260601","PX392=20260626","DS004=HKD")</f>
        <v>226375.87757777778</v>
      </c>
      <c r="E213">
        <f>_xll.BDP("9460 HK Equity","PX388","PX395=TURNOVER","DY262=D","PY204=N","PX391=20250101","PX392=20251231","DS004=HKD")</f>
        <v>296812.85415124998</v>
      </c>
      <c r="F213">
        <f>_xll.BDP("9460 HK Equity","PX596","PX395=FUND_TOTAL_ASSETS","DY262=D","PY204=N","PX391=20260626","PX392=20260626","DS004=USD")</f>
        <v>5.84</v>
      </c>
      <c r="G213">
        <f>_xll.BDP("9460 HK Equity","PX388","PX395=CUR_MKT_CAP","DY262=D","PY204=N","PX391=20260626","PX392=20260626","DS004=HKD")</f>
        <v>45.831585868263247</v>
      </c>
      <c r="H213" t="str">
        <f>_xll.BDP("9460 HK Equity","FUND_LEVERAGE_TYPE")</f>
        <v>#N/A N/A</v>
      </c>
      <c r="I213">
        <f>_xll.BDP("9460 HK Equity","PX388","PX395=TURNOVER","DY262=D","PY204=N","PX391=20260101","PX392=20260131","DS004=HKD")</f>
        <v>245418.6409575</v>
      </c>
      <c r="J213">
        <v>-1</v>
      </c>
      <c r="K213" t="str">
        <f>_xll.BDP("9460 HK Equity","FUND_INCEPT_DT")</f>
        <v>10/27/2025</v>
      </c>
      <c r="L213" t="str">
        <f>_xll.BDP("9460 HK Equity","PX388","PX395=TURNOVER_EXCH_RATIO","DY262=D","PY204=N","PX391=20251201","PX392=20251210")</f>
        <v>#N/A N/A</v>
      </c>
      <c r="M213">
        <f>_xll.BDP("9460 HK Equity","EQY_SH_OUT")</f>
        <v>16.099999999999998</v>
      </c>
      <c r="N213">
        <f>_xll.BDP("9460 HK Equity","EQY_TRR_PCT_YTD")</f>
        <v>-44.13984</v>
      </c>
      <c r="O213">
        <f>_xll.BDP("9460 HK Equity","CHG_PCT_YTD")</f>
        <v>-42.503869999999999</v>
      </c>
      <c r="P213">
        <f>_xll.BDP("9460 HK Equity","CHG_PCT_1M")</f>
        <v>-11.638960000000001</v>
      </c>
      <c r="Q213" t="str">
        <f>_xll.BDP("9460 HK Equity","LISTING_DATE")</f>
        <v>10/27/2025</v>
      </c>
      <c r="R213" t="str">
        <f>_xll.BDP("9460 HK Equity","FUND_INCEPT_DT")</f>
        <v>10/27/2025</v>
      </c>
      <c r="S213">
        <f>_xll.BDP("9460 HK Equity","AVG_DAILY_VALUE_TRADED_3M")</f>
        <v>17767.810000000001</v>
      </c>
      <c r="T213" t="str">
        <f>_xll.BDP("9460 HK Equity","PX596","PX395=HISTORICAL_MARKET_CAP","DY262=D","PY204=N","PX391=20231231","PX392=20231231","DS004=HKD")</f>
        <v>#N/A N/A</v>
      </c>
      <c r="U213" t="str">
        <f>_xll.BDP("9460 HK Equity","PX385","PX395=FUND_FLOW","DY262=D","PY204=N","PX391=20240102","PX392=20240930","DS004=HKD")</f>
        <v>#N/A N/A</v>
      </c>
      <c r="V213">
        <f>_xll.BDP("9460 HK Equity","PX596","PX395=CUR_MKT_CAP","DY262=D","PY204=N","PX391=20240101","DS004=HKD")</f>
        <v>72.017421190000007</v>
      </c>
      <c r="W213" t="str">
        <f>_xll.BDP("9460 HK Equity","FUND_INCEPT_DT")</f>
        <v>10/27/2025</v>
      </c>
      <c r="X213" t="str">
        <f>_xll.BDP("9460 HK Equity","PX388","PX395=TURNOVER","DY262=D","PY204=N","PX391=20240502","PX392=20240606","DS004=HKD")</f>
        <v>#N/A N/A</v>
      </c>
      <c r="Y213" t="str">
        <f>_xll.BDP("9460 HK Equity","PARENT_COMP_NAME")</f>
        <v>China Asset Management Hong Ko</v>
      </c>
      <c r="Z213" t="str">
        <f>_xll.BDP("9460 HK Equity","NAV_CRNCY")</f>
        <v>USD</v>
      </c>
      <c r="AA213" t="str">
        <f>_xll.BDP("9460 HK Equity","FUND_GEO_FOCUS")</f>
        <v>Global</v>
      </c>
      <c r="AB213" t="str">
        <f>_xll.BDP("9460 HK Equity","FUND_ASSET_CLASS_FOCUS")</f>
        <v>Alternative</v>
      </c>
      <c r="AC213">
        <f>_xll.BDP("9460 HK Equity","PX_LAST")</f>
        <v>0.372</v>
      </c>
      <c r="AD213">
        <f>_xll.BDP("9460 HK Equity","PX388","PX395=TIME_WAVG_BID_ASK_SPREAD_PCT","DY262=D","PY204=N","PX391=20260601","PX392=20260626")</f>
        <v>0.55497739916590894</v>
      </c>
      <c r="AE213">
        <f>_xll.BDP("9460 HK Equity","PX388","PX395=AVERAGE_BID_ASK_SPREAD_%","DY262=D","PY204=N","PX391=20260601","PX392=20260626")</f>
        <v>0.61841350750997959</v>
      </c>
    </row>
    <row r="214" spans="1:31" x14ac:dyDescent="0.25">
      <c r="A214" t="s">
        <v>239</v>
      </c>
      <c r="B214" t="str">
        <f>_xll.BDP("3184 HK Equity","LONG_COMP_NAME")</f>
        <v>Global X India Select Top 10 ETF</v>
      </c>
      <c r="C214">
        <f>_xll.BDP("3184 HK Equity","PX385","PX395=FUND_FLOW","DY262=D","PY204=N","PX391=20260622","PX392=20260626","DS004=USD")</f>
        <v>-0.29230710368575441</v>
      </c>
      <c r="D214">
        <f>_xll.BDP("3184 HK Equity","PX388","PX395=TURNOVER","DY262=D","PY204=N","PX391=20260601","PX392=20260626","DS004=HKD")</f>
        <v>737549.87499999988</v>
      </c>
      <c r="E214">
        <f>_xll.BDP("3184 HK Equity","PX388","PX395=TURNOVER","DY262=D","PY204=N","PX391=20250101","PX392=20251231","DS004=HKD")</f>
        <v>168646.24363095243</v>
      </c>
      <c r="F214">
        <f>_xll.BDP("3184 HK Equity","PX596","PX395=FUND_TOTAL_ASSETS","DY262=D","PY204=N","PX391=20260626","PX392=20260626","DS004=USD")</f>
        <v>1.3882685390392879</v>
      </c>
      <c r="G214">
        <f>_xll.BDP("3184 HK Equity","PX388","PX395=CUR_MKT_CAP","DY262=D","PY204=N","PX391=20260626","PX392=20260626","DS004=HKD")</f>
        <v>10.756245</v>
      </c>
      <c r="H214" t="str">
        <f>_xll.BDP("3184 HK Equity","FUND_LEVERAGE_TYPE")</f>
        <v>#N/A N/A</v>
      </c>
      <c r="I214">
        <f>_xll.BDP("3184 HK Equity","PX388","PX395=TURNOVER","DY262=D","PY204=N","PX391=20260101","PX392=20260131","DS004=HKD")</f>
        <v>40767.5</v>
      </c>
      <c r="J214">
        <v>-1</v>
      </c>
      <c r="K214" t="str">
        <f>_xll.BDP("3184 HK Equity","FUND_INCEPT_DT")</f>
        <v>3/19/2024</v>
      </c>
      <c r="L214" t="str">
        <f>_xll.BDP("3184 HK Equity","PX388","PX395=TURNOVER_EXCH_RATIO","DY262=D","PY204=N","PX391=20251201","PX392=20251210")</f>
        <v>#N/A N/A</v>
      </c>
      <c r="M214">
        <f>_xll.BDP("3184 HK Equity","EQY_SH_OUT")</f>
        <v>0.23474999999999999</v>
      </c>
      <c r="N214">
        <f>_xll.BDP("3184 HK Equity","EQY_TRR_PCT_YTD")</f>
        <v>-13.839869999999999</v>
      </c>
      <c r="O214">
        <f>_xll.BDP("3184 HK Equity","CHG_PCT_YTD")</f>
        <v>-15.08525</v>
      </c>
      <c r="P214">
        <f>_xll.BDP("3184 HK Equity","CHG_PCT_1M")</f>
        <v>1.822222</v>
      </c>
      <c r="Q214" t="str">
        <f>_xll.BDP("3184 HK Equity","LISTING_DATE")</f>
        <v>3/19/2024</v>
      </c>
      <c r="R214" t="str">
        <f>_xll.BDP("3184 HK Equity","FUND_INCEPT_DT")</f>
        <v>3/19/2024</v>
      </c>
      <c r="S214">
        <f>_xll.BDP("3184 HK Equity","AVG_DAILY_VALUE_TRADED_3M")</f>
        <v>149910.1</v>
      </c>
      <c r="T214" t="str">
        <f>_xll.BDP("3184 HK Equity","PX596","PX395=HISTORICAL_MARKET_CAP","DY262=D","PY204=N","PX391=20231231","PX392=20231231","DS004=HKD")</f>
        <v>#N/A N/A</v>
      </c>
      <c r="U214">
        <f>_xll.BDP("3184 HK Equity","PX385","PX395=FUND_FLOW","DY262=D","PY204=N","PX391=20240102","PX392=20240930","DS004=HKD")</f>
        <v>136.63296500000001</v>
      </c>
      <c r="V214">
        <f>_xll.BDP("3184 HK Equity","PX596","PX395=CUR_MKT_CAP","DY262=D","PY204=N","PX391=20240101","DS004=HKD")</f>
        <v>18.063109999999998</v>
      </c>
      <c r="W214" t="str">
        <f>_xll.BDP("3184 HK Equity","FUND_INCEPT_DT")</f>
        <v>3/19/2024</v>
      </c>
      <c r="X214">
        <f>_xll.BDP("3184 HK Equity","PX388","PX395=TURNOVER","DY262=D","PY204=N","PX391=20240502","PX392=20240606","DS004=HKD")</f>
        <v>579596.86956521752</v>
      </c>
      <c r="Y214" t="str">
        <f>_xll.BDP("3184 HK Equity","PARENT_COMP_NAME")</f>
        <v>Mirae Asset Global Investments</v>
      </c>
      <c r="Z214" t="str">
        <f>_xll.BDP("3184 HK Equity","NAV_CRNCY")</f>
        <v>HKD</v>
      </c>
      <c r="AA214" t="str">
        <f>_xll.BDP("3184 HK Equity","FUND_GEO_FOCUS")</f>
        <v>India</v>
      </c>
      <c r="AB214" t="str">
        <f>_xll.BDP("3184 HK Equity","FUND_ASSET_CLASS_FOCUS")</f>
        <v>Equity</v>
      </c>
      <c r="AC214">
        <f>_xll.BDP("3184 HK Equity","PX_LAST")</f>
        <v>45.82</v>
      </c>
      <c r="AD214">
        <f>_xll.BDP("3184 HK Equity","PX388","PX395=TIME_WAVG_BID_ASK_SPREAD_PCT","DY262=D","PY204=N","PX391=20260601","PX392=20260626")</f>
        <v>1.1570027841278709</v>
      </c>
      <c r="AE214">
        <f>_xll.BDP("3184 HK Equity","PX388","PX395=AVERAGE_BID_ASK_SPREAD_%","DY262=D","PY204=N","PX391=20260601","PX392=20260626")</f>
        <v>1.4347146197444416</v>
      </c>
    </row>
    <row r="215" spans="1:31" x14ac:dyDescent="0.25">
      <c r="A215" t="s">
        <v>240</v>
      </c>
      <c r="B215" t="str">
        <f>_xll.BDP("7777 HK Equity","LONG_COMP_NAME")</f>
        <v>CSOP Berkshire Daily 2x Leveraged Product</v>
      </c>
      <c r="C215">
        <f>_xll.BDP("7777 HK Equity","PX385","PX395=FUND_FLOW","DY262=D","PY204=N","PX391=20260622","PX392=20260626","DS004=USD")</f>
        <v>-0.35543011095523519</v>
      </c>
      <c r="D215">
        <f>_xll.BDP("7777 HK Equity","PX388","PX395=TURNOVER","DY262=D","PY204=N","PX391=20260601","PX392=20260626","DS004=HKD")</f>
        <v>258690.64210526316</v>
      </c>
      <c r="E215">
        <f>_xll.BDP("7777 HK Equity","PX388","PX395=TURNOVER","DY262=D","PY204=N","PX391=20250101","PX392=20251231","DS004=HKD")</f>
        <v>566615.01489583368</v>
      </c>
      <c r="F215">
        <f>_xll.BDP("7777 HK Equity","PX596","PX395=FUND_TOTAL_ASSETS","DY262=D","PY204=N","PX391=20260626","PX392=20260626","DS004=USD")</f>
        <v>3.1919114700000004</v>
      </c>
      <c r="G215">
        <f>_xll.BDP("7777 HK Equity","PX388","PX395=CUR_MKT_CAP","DY262=D","PY204=N","PX391=20260626","PX392=20260626","DS004=HKD")</f>
        <v>24.0939382</v>
      </c>
      <c r="H215" t="str">
        <f>_xll.BDP("7777 HK Equity","FUND_LEVERAGE_TYPE")</f>
        <v>Long</v>
      </c>
      <c r="I215">
        <f>_xll.BDP("7777 HK Equity","PX388","PX395=TURNOVER","DY262=D","PY204=N","PX391=20260101","PX392=20260131","DS004=HKD")</f>
        <v>178515.77142857146</v>
      </c>
      <c r="J215">
        <v>-1</v>
      </c>
      <c r="K215" t="str">
        <f>_xll.BDP("7777 HK Equity","FUND_INCEPT_DT")</f>
        <v>3/24/2025</v>
      </c>
      <c r="L215" t="str">
        <f>_xll.BDP("7777 HK Equity","PX388","PX395=TURNOVER_EXCH_RATIO","DY262=D","PY204=N","PX391=20251201","PX392=20251210")</f>
        <v>#N/A N/A</v>
      </c>
      <c r="M215">
        <f>_xll.BDP("7777 HK Equity","EQY_SH_OUT")</f>
        <v>0.43950999999999996</v>
      </c>
      <c r="N215">
        <f>_xll.BDP("7777 HK Equity","EQY_TRR_PCT_YTD")</f>
        <v>-12.45091</v>
      </c>
      <c r="O215">
        <f>_xll.BDP("7777 HK Equity","CHG_PCT_YTD")</f>
        <v>-8.7837840000000007</v>
      </c>
      <c r="P215">
        <f>_xll.BDP("7777 HK Equity","CHG_PCT_1M")</f>
        <v>7.2644710000000003</v>
      </c>
      <c r="Q215" t="str">
        <f>_xll.BDP("7777 HK Equity","LISTING_DATE")</f>
        <v>3/24/2025</v>
      </c>
      <c r="R215" t="str">
        <f>_xll.BDP("7777 HK Equity","FUND_INCEPT_DT")</f>
        <v>3/24/2025</v>
      </c>
      <c r="S215">
        <f>_xll.BDP("7777 HK Equity","AVG_DAILY_VALUE_TRADED_3M")</f>
        <v>208893</v>
      </c>
      <c r="T215" t="str">
        <f>_xll.BDP("7777 HK Equity","PX596","PX395=HISTORICAL_MARKET_CAP","DY262=D","PY204=N","PX391=20231231","PX392=20231231","DS004=HKD")</f>
        <v>#N/A N/A</v>
      </c>
      <c r="U215" t="str">
        <f>_xll.BDP("7777 HK Equity","PX385","PX395=FUND_FLOW","DY262=D","PY204=N","PX391=20240102","PX392=20240930","DS004=HKD")</f>
        <v>#N/A N/A</v>
      </c>
      <c r="V215">
        <f>_xll.BDP("7777 HK Equity","PX596","PX395=CUR_MKT_CAP","DY262=D","PY204=N","PX391=20240101","DS004=HKD")</f>
        <v>30.427941599999997</v>
      </c>
      <c r="W215" t="str">
        <f>_xll.BDP("7777 HK Equity","FUND_INCEPT_DT")</f>
        <v>3/24/2025</v>
      </c>
      <c r="X215" t="str">
        <f>_xll.BDP("7777 HK Equity","PX388","PX395=TURNOVER","DY262=D","PY204=N","PX391=20240502","PX392=20240606","DS004=HKD")</f>
        <v>#N/A N/A</v>
      </c>
      <c r="Y215" t="str">
        <f>_xll.BDP("7777 HK Equity","PARENT_COMP_NAME")</f>
        <v>CSOP Asset Management Ltd/Hong</v>
      </c>
      <c r="Z215" t="str">
        <f>_xll.BDP("7777 HK Equity","NAV_CRNCY")</f>
        <v>HKD</v>
      </c>
      <c r="AA215" t="str">
        <f>_xll.BDP("7777 HK Equity","FUND_GEO_FOCUS")</f>
        <v>U.S.</v>
      </c>
      <c r="AB215" t="str">
        <f>_xll.BDP("7777 HK Equity","FUND_ASSET_CLASS_FOCUS")</f>
        <v>Specialty</v>
      </c>
      <c r="AC215">
        <f>_xll.BDP("7777 HK Equity","PX_LAST")</f>
        <v>56.7</v>
      </c>
      <c r="AD215">
        <f>_xll.BDP("7777 HK Equity","PX388","PX395=TIME_WAVG_BID_ASK_SPREAD_PCT","DY262=D","PY204=N","PX391=20260601","PX392=20260626")</f>
        <v>0.30925518872757818</v>
      </c>
      <c r="AE215">
        <f>_xll.BDP("7777 HK Equity","PX388","PX395=AVERAGE_BID_ASK_SPREAD_%","DY262=D","PY204=N","PX391=20260601","PX392=20260626")</f>
        <v>0.74225138265257351</v>
      </c>
    </row>
    <row r="216" spans="1:31" x14ac:dyDescent="0.25">
      <c r="A216" t="s">
        <v>241</v>
      </c>
      <c r="B216" t="str">
        <f>_xll.BDP("7399 HK Equity","LONG_COMP_NAME")</f>
        <v>CSOP MicroStrategy Daily -2x Inverse Product</v>
      </c>
      <c r="C216">
        <f>_xll.BDP("7399 HK Equity","PX385","PX395=FUND_FLOW","DY262=D","PY204=N","PX391=20260622","PX392=20260626","DS004=USD")</f>
        <v>-0.35762983037877849</v>
      </c>
      <c r="D216">
        <f>_xll.BDP("7399 HK Equity","PX388","PX395=TURNOVER","DY262=D","PY204=N","PX391=20260601","PX392=20260626","DS004=HKD")</f>
        <v>3626528.0736842109</v>
      </c>
      <c r="E216">
        <f>_xll.BDP("7399 HK Equity","PX388","PX395=TURNOVER","DY262=D","PY204=N","PX391=20250101","PX392=20251231","DS004=HKD")</f>
        <v>1265845.0458333325</v>
      </c>
      <c r="F216">
        <f>_xll.BDP("7399 HK Equity","PX596","PX395=FUND_TOTAL_ASSETS","DY262=D","PY204=N","PX391=20260626","PX392=20260626","DS004=USD")</f>
        <v>7.0160450299999999</v>
      </c>
      <c r="G216">
        <f>_xll.BDP("7399 HK Equity","PX388","PX395=CUR_MKT_CAP","DY262=D","PY204=N","PX391=20260626","PX392=20260626","DS004=HKD")</f>
        <v>49.584476999999993</v>
      </c>
      <c r="H216" t="str">
        <f>_xll.BDP("7399 HK Equity","FUND_LEVERAGE_TYPE")</f>
        <v>Short</v>
      </c>
      <c r="I216">
        <f>_xll.BDP("7399 HK Equity","PX388","PX395=TURNOVER","DY262=D","PY204=N","PX391=20260101","PX392=20260131","DS004=HKD")</f>
        <v>1110637.6857142858</v>
      </c>
      <c r="J216">
        <v>-1</v>
      </c>
      <c r="K216" t="str">
        <f>_xll.BDP("7399 HK Equity","FUND_INCEPT_DT")</f>
        <v>3/24/2025</v>
      </c>
      <c r="L216" t="str">
        <f>_xll.BDP("7399 HK Equity","PX388","PX395=TURNOVER_EXCH_RATIO","DY262=D","PY204=N","PX391=20251201","PX392=20251210")</f>
        <v>#N/A N/A</v>
      </c>
      <c r="M216">
        <f>_xll.BDP("7399 HK Equity","EQY_SH_OUT")</f>
        <v>0.65156999999999998</v>
      </c>
      <c r="N216">
        <f>_xll.BDP("7399 HK Equity","EQY_TRR_PCT_YTD")</f>
        <v>-7.9945740000000001</v>
      </c>
      <c r="O216">
        <f>_xll.BDP("7399 HK Equity","CHG_PCT_YTD")</f>
        <v>7.3406089999999993E-2</v>
      </c>
      <c r="P216">
        <f>_xll.BDP("7399 HK Equity","CHG_PCT_1M")</f>
        <v>164.3827</v>
      </c>
      <c r="Q216" t="str">
        <f>_xll.BDP("7399 HK Equity","LISTING_DATE")</f>
        <v>3/24/2025</v>
      </c>
      <c r="R216" t="str">
        <f>_xll.BDP("7399 HK Equity","FUND_INCEPT_DT")</f>
        <v>3/24/2025</v>
      </c>
      <c r="S216">
        <f>_xll.BDP("7399 HK Equity","AVG_DAILY_VALUE_TRADED_3M")</f>
        <v>2310217</v>
      </c>
      <c r="T216" t="str">
        <f>_xll.BDP("7399 HK Equity","PX596","PX395=HISTORICAL_MARKET_CAP","DY262=D","PY204=N","PX391=20231231","PX392=20231231","DS004=HKD")</f>
        <v>#N/A N/A</v>
      </c>
      <c r="U216" t="str">
        <f>_xll.BDP("7399 HK Equity","PX385","PX395=FUND_FLOW","DY262=D","PY204=N","PX391=20240102","PX392=20240930","DS004=HKD")</f>
        <v>#N/A N/A</v>
      </c>
      <c r="V216">
        <f>_xll.BDP("7399 HK Equity","PX596","PX395=CUR_MKT_CAP","DY262=D","PY204=N","PX391=20240101","DS004=HKD")</f>
        <v>28.737331799999996</v>
      </c>
      <c r="W216" t="str">
        <f>_xll.BDP("7399 HK Equity","FUND_INCEPT_DT")</f>
        <v>3/24/2025</v>
      </c>
      <c r="X216" t="str">
        <f>_xll.BDP("7399 HK Equity","PX388","PX395=TURNOVER","DY262=D","PY204=N","PX391=20240502","PX392=20240606","DS004=HKD")</f>
        <v>#N/A N/A</v>
      </c>
      <c r="Y216" t="str">
        <f>_xll.BDP("7399 HK Equity","PARENT_COMP_NAME")</f>
        <v>CSOP Asset Management Ltd/Hong</v>
      </c>
      <c r="Z216" t="str">
        <f>_xll.BDP("7399 HK Equity","NAV_CRNCY")</f>
        <v>HKD</v>
      </c>
      <c r="AA216" t="str">
        <f>_xll.BDP("7399 HK Equity","FUND_GEO_FOCUS")</f>
        <v>U.S.</v>
      </c>
      <c r="AB216" t="str">
        <f>_xll.BDP("7399 HK Equity","FUND_ASSET_CLASS_FOCUS")</f>
        <v>Specialty</v>
      </c>
      <c r="AC216">
        <f>_xll.BDP("7399 HK Equity","PX_LAST")</f>
        <v>81.8</v>
      </c>
      <c r="AD216">
        <f>_xll.BDP("7399 HK Equity","PX388","PX395=TIME_WAVG_BID_ASK_SPREAD_PCT","DY262=D","PY204=N","PX391=20260601","PX392=20260626")</f>
        <v>0.52472544686698419</v>
      </c>
      <c r="AE216">
        <f>_xll.BDP("7399 HK Equity","PX388","PX395=AVERAGE_BID_ASK_SPREAD_%","DY262=D","PY204=N","PX391=20260601","PX392=20260626")</f>
        <v>0.62200147815427942</v>
      </c>
    </row>
    <row r="217" spans="1:31" x14ac:dyDescent="0.25">
      <c r="A217" t="s">
        <v>242</v>
      </c>
      <c r="B217" t="str">
        <f>_xll.BDP("3147 HK Equity","LONG_COMP_NAME")</f>
        <v>CSOP SZSE ChiNext ETF</v>
      </c>
      <c r="C217">
        <f>_xll.BDP("3147 HK Equity","PX385","PX395=FUND_FLOW","DY262=D","PY204=N","PX391=20260622","PX392=20260626","DS004=USD")</f>
        <v>-0.61860865190619585</v>
      </c>
      <c r="D217">
        <f>_xll.BDP("3147 HK Equity","PX388","PX395=TURNOVER","DY262=D","PY204=N","PX391=20260601","PX392=20260626","DS004=HKD")</f>
        <v>12608426.315789474</v>
      </c>
      <c r="E217">
        <f>_xll.BDP("3147 HK Equity","PX388","PX395=TURNOVER","DY262=D","PY204=N","PX391=20250101","PX392=20251231","DS004=HKD")</f>
        <v>3749196.8008130086</v>
      </c>
      <c r="F217">
        <f>_xll.BDP("3147 HK Equity","PX596","PX395=FUND_TOTAL_ASSETS","DY262=D","PY204=N","PX391=20260626","PX392=20260626","DS004=USD")</f>
        <v>93.959367859454048</v>
      </c>
      <c r="G217">
        <f>_xll.BDP("3147 HK Equity","PX388","PX395=CUR_MKT_CAP","DY262=D","PY204=N","PX391=20260626","PX392=20260626","DS004=HKD")</f>
        <v>736.0200000000001</v>
      </c>
      <c r="H217" t="str">
        <f>_xll.BDP("3147 HK Equity","FUND_LEVERAGE_TYPE")</f>
        <v>#N/A N/A</v>
      </c>
      <c r="I217">
        <f>_xll.BDP("3147 HK Equity","PX388","PX395=TURNOVER","DY262=D","PY204=N","PX391=20260101","PX392=20260131","DS004=HKD")</f>
        <v>5481061.8095238097</v>
      </c>
      <c r="J217">
        <v>-1</v>
      </c>
      <c r="K217" t="str">
        <f>_xll.BDP("3147 HK Equity","FUND_INCEPT_DT")</f>
        <v>5/15/2015</v>
      </c>
      <c r="L217" t="str">
        <f>_xll.BDP("3147 HK Equity","PX388","PX395=TURNOVER_EXCH_RATIO","DY262=D","PY204=N","PX391=20251201","PX392=20251210")</f>
        <v>#N/A N/A</v>
      </c>
      <c r="M217">
        <f>_xll.BDP("3147 HK Equity","EQY_SH_OUT")</f>
        <v>43.5</v>
      </c>
      <c r="N217">
        <f>_xll.BDP("3147 HK Equity","EQY_TRR_PCT_YTD")</f>
        <v>35.449919999999999</v>
      </c>
      <c r="O217">
        <f>_xll.BDP("3147 HK Equity","CHG_PCT_YTD")</f>
        <v>36.436599999999999</v>
      </c>
      <c r="P217">
        <f>_xll.BDP("3147 HK Equity","CHG_PCT_1M")</f>
        <v>4.2944829999999996</v>
      </c>
      <c r="Q217" t="str">
        <f>_xll.BDP("3147 HK Equity","LISTING_DATE")</f>
        <v>5/15/2015</v>
      </c>
      <c r="R217" t="str">
        <f>_xll.BDP("3147 HK Equity","FUND_INCEPT_DT")</f>
        <v>5/15/2015</v>
      </c>
      <c r="S217">
        <f>_xll.BDP("3147 HK Equity","AVG_DAILY_VALUE_TRADED_3M")</f>
        <v>13403090</v>
      </c>
      <c r="T217" t="str">
        <f>_xll.BDP("3147 HK Equity","PX596","PX395=HISTORICAL_MARKET_CAP","DY262=D","PY204=N","PX391=20231231","PX392=20231231","DS004=HKD")</f>
        <v>#N/A N/A</v>
      </c>
      <c r="U217">
        <f>_xll.BDP("3147 HK Equity","PX385","PX395=FUND_FLOW","DY262=D","PY204=N","PX391=20240102","PX392=20240930","DS004=HKD")</f>
        <v>-13.71069299999999</v>
      </c>
      <c r="V217">
        <f>_xll.BDP("3147 HK Equity","PX596","PX395=CUR_MKT_CAP","DY262=D","PY204=N","PX391=20240101","DS004=HKD")</f>
        <v>489.678</v>
      </c>
      <c r="W217" t="str">
        <f>_xll.BDP("3147 HK Equity","FUND_INCEPT_DT")</f>
        <v>5/15/2015</v>
      </c>
      <c r="X217">
        <f>_xll.BDP("3147 HK Equity","PX388","PX395=TURNOVER","DY262=D","PY204=N","PX391=20240502","PX392=20240606","DS004=HKD")</f>
        <v>1268975.8120000004</v>
      </c>
      <c r="Y217" t="str">
        <f>_xll.BDP("3147 HK Equity","PARENT_COMP_NAME")</f>
        <v>CSOP Asset Management Ltd/Hong</v>
      </c>
      <c r="Z217" t="str">
        <f>_xll.BDP("3147 HK Equity","NAV_CRNCY")</f>
        <v>HKD</v>
      </c>
      <c r="AA217" t="str">
        <f>_xll.BDP("3147 HK Equity","FUND_GEO_FOCUS")</f>
        <v>China</v>
      </c>
      <c r="AB217" t="str">
        <f>_xll.BDP("3147 HK Equity","FUND_ASSET_CLASS_FOCUS")</f>
        <v>Equity</v>
      </c>
      <c r="AC217">
        <f>_xll.BDP("3147 HK Equity","PX_LAST")</f>
        <v>17</v>
      </c>
      <c r="AD217">
        <f>_xll.BDP("3147 HK Equity","PX388","PX395=TIME_WAVG_BID_ASK_SPREAD_PCT","DY262=D","PY204=N","PX391=20260601","PX392=20260626")</f>
        <v>0.33829225689043524</v>
      </c>
      <c r="AE217">
        <f>_xll.BDP("3147 HK Equity","PX388","PX395=AVERAGE_BID_ASK_SPREAD_%","DY262=D","PY204=N","PX391=20260601","PX392=20260626")</f>
        <v>0.42472451981401332</v>
      </c>
    </row>
    <row r="218" spans="1:31" x14ac:dyDescent="0.25">
      <c r="A218" t="s">
        <v>243</v>
      </c>
      <c r="B218" t="str">
        <f>_xll.BDP("3104 HK Equity","LONG_COMP_NAME")</f>
        <v>Global X Emerging Markets Asia Active ETF</v>
      </c>
      <c r="C218">
        <f>_xll.BDP("3104 HK Equity","PX385","PX395=FUND_FLOW","DY262=D","PY204=N","PX391=20260622","PX392=20260626","DS004=USD")</f>
        <v>-0.66434829741104451</v>
      </c>
      <c r="D218">
        <f>_xll.BDP("3104 HK Equity","PX388","PX395=TURNOVER","DY262=D","PY204=N","PX391=20260601","PX392=20260626","DS004=HKD")</f>
        <v>57058.5</v>
      </c>
      <c r="E218">
        <f>_xll.BDP("3104 HK Equity","PX388","PX395=TURNOVER","DY262=D","PY204=N","PX391=20250101","PX392=20251231","DS004=HKD")</f>
        <v>80491.421428571426</v>
      </c>
      <c r="F218" t="str">
        <f>_xll.BDP("3104 HK Equity","PX596","PX395=FUND_TOTAL_ASSETS","DY262=D","PY204=N","PX391=20260626","PX392=20260626","DS004=USD")</f>
        <v>#N/A N/A</v>
      </c>
      <c r="G218">
        <f>_xll.BDP("3104 HK Equity","PX388","PX395=CUR_MKT_CAP","DY262=D","PY204=N","PX391=20260626","PX392=20260626","DS004=HKD")</f>
        <v>9.2517040000000001</v>
      </c>
      <c r="H218" t="str">
        <f>_xll.BDP("3104 HK Equity","FUND_LEVERAGE_TYPE")</f>
        <v>#N/A N/A</v>
      </c>
      <c r="I218">
        <f>_xll.BDP("3104 HK Equity","PX388","PX395=TURNOVER","DY262=D","PY204=N","PX391=20260101","PX392=20260131","DS004=HKD")</f>
        <v>69150</v>
      </c>
      <c r="J218" t="s">
        <v>31</v>
      </c>
      <c r="K218" t="str">
        <f>_xll.BDP("3104 HK Equity","FUND_INCEPT_DT")</f>
        <v>11/26/2024</v>
      </c>
      <c r="L218" t="str">
        <f>_xll.BDP("3104 HK Equity","PX388","PX395=TURNOVER_EXCH_RATIO","DY262=D","PY204=N","PX391=20251201","PX392=20251210")</f>
        <v>#N/A N/A</v>
      </c>
      <c r="M218">
        <f>_xll.BDP("3104 HK Equity","EQY_SH_OUT")</f>
        <v>9.1420000000000001E-2</v>
      </c>
      <c r="N218">
        <f>_xll.BDP("3104 HK Equity","EQY_TRR_PCT_YTD")</f>
        <v>61.080669999999998</v>
      </c>
      <c r="O218">
        <f>_xll.BDP("3104 HK Equity","CHG_PCT_YTD")</f>
        <v>55.788179999999997</v>
      </c>
      <c r="P218">
        <f>_xll.BDP("3104 HK Equity","CHG_PCT_1M")</f>
        <v>-4.528302</v>
      </c>
      <c r="Q218" t="str">
        <f>_xll.BDP("3104 HK Equity","LISTING_DATE")</f>
        <v>11/26/2024</v>
      </c>
      <c r="R218" t="str">
        <f>_xll.BDP("3104 HK Equity","FUND_INCEPT_DT")</f>
        <v>11/26/2024</v>
      </c>
      <c r="S218">
        <f>_xll.BDP("3104 HK Equity","AVG_DAILY_VALUE_TRADED_3M")</f>
        <v>31337.8</v>
      </c>
      <c r="T218" t="str">
        <f>_xll.BDP("3104 HK Equity","PX596","PX395=HISTORICAL_MARKET_CAP","DY262=D","PY204=N","PX391=20231231","PX392=20231231","DS004=HKD")</f>
        <v>#N/A N/A</v>
      </c>
      <c r="U218" t="str">
        <f>_xll.BDP("3104 HK Equity","PX385","PX395=FUND_FLOW","DY262=D","PY204=N","PX391=20240102","PX392=20240930","DS004=HKD")</f>
        <v>#N/A N/A</v>
      </c>
      <c r="V218">
        <f>_xll.BDP("3104 HK Equity","PX596","PX395=CUR_MKT_CAP","DY262=D","PY204=N","PX391=20240101","DS004=HKD")</f>
        <v>5.9386431999999996</v>
      </c>
      <c r="W218" t="str">
        <f>_xll.BDP("3104 HK Equity","FUND_INCEPT_DT")</f>
        <v>11/26/2024</v>
      </c>
      <c r="X218" t="str">
        <f>_xll.BDP("3104 HK Equity","PX388","PX395=TURNOVER","DY262=D","PY204=N","PX391=20240502","PX392=20240606","DS004=HKD")</f>
        <v>#N/A N/A</v>
      </c>
      <c r="Y218" t="str">
        <f>_xll.BDP("3104 HK Equity","PARENT_COMP_NAME")</f>
        <v>Mirae Asset Global Investments</v>
      </c>
      <c r="Z218" t="str">
        <f>_xll.BDP("3104 HK Equity","NAV_CRNCY")</f>
        <v>HKD</v>
      </c>
      <c r="AA218" t="str">
        <f>_xll.BDP("3104 HK Equity","FUND_GEO_FOCUS")</f>
        <v>Asian Pacific Region</v>
      </c>
      <c r="AB218" t="str">
        <f>_xll.BDP("3104 HK Equity","FUND_ASSET_CLASS_FOCUS")</f>
        <v>Equity</v>
      </c>
      <c r="AC218">
        <f>_xll.BDP("3104 HK Equity","PX_LAST")</f>
        <v>101.2</v>
      </c>
      <c r="AD218">
        <f>_xll.BDP("3104 HK Equity","PX388","PX395=TIME_WAVG_BID_ASK_SPREAD_PCT","DY262=D","PY204=N","PX391=20260601","PX392=20260626")</f>
        <v>1.0949242625371982</v>
      </c>
      <c r="AE218">
        <f>_xll.BDP("3104 HK Equity","PX388","PX395=AVERAGE_BID_ASK_SPREAD_%","DY262=D","PY204=N","PX391=20260601","PX392=20260626")</f>
        <v>1.4344086866192558</v>
      </c>
    </row>
    <row r="219" spans="1:31" x14ac:dyDescent="0.25">
      <c r="A219" t="s">
        <v>244</v>
      </c>
      <c r="B219" t="str">
        <f>_xll.BDP("2804 HK Equity","LONG_COMP_NAME")</f>
        <v>Premia Vietnam ETF</v>
      </c>
      <c r="C219">
        <f>_xll.BDP("2804 HK Equity","PX385","PX395=FUND_FLOW","DY262=D","PY204=N","PX391=20260622","PX392=20260626","DS004=USD")</f>
        <v>-0.77664821569777809</v>
      </c>
      <c r="D219">
        <f>_xll.BDP("2804 HK Equity","PX388","PX395=TURNOVER","DY262=D","PY204=N","PX391=20260601","PX392=20260626","DS004=HKD")</f>
        <v>283053.76470588241</v>
      </c>
      <c r="E219">
        <f>_xll.BDP("2804 HK Equity","PX388","PX395=TURNOVER","DY262=D","PY204=N","PX391=20250101","PX392=20251231","DS004=HKD")</f>
        <v>263643.75410000002</v>
      </c>
      <c r="F219">
        <f>_xll.BDP("2804 HK Equity","PX596","PX395=FUND_TOTAL_ASSETS","DY262=D","PY204=N","PX391=20260626","PX392=20260626","DS004=USD")</f>
        <v>5.4328475000000003</v>
      </c>
      <c r="G219">
        <f>_xll.BDP("2804 HK Equity","PX388","PX395=CUR_MKT_CAP","DY262=D","PY204=N","PX391=20260626","PX392=20260626","DS004=HKD")</f>
        <v>42.293999999999997</v>
      </c>
      <c r="H219" t="str">
        <f>_xll.BDP("2804 HK Equity","FUND_LEVERAGE_TYPE")</f>
        <v>#N/A N/A</v>
      </c>
      <c r="I219">
        <f>_xll.BDP("2804 HK Equity","PX388","PX395=TURNOVER","DY262=D","PY204=N","PX391=20260101","PX392=20260131","DS004=HKD")</f>
        <v>464958</v>
      </c>
      <c r="J219">
        <v>-1</v>
      </c>
      <c r="K219" t="str">
        <f>_xll.BDP("2804 HK Equity","FUND_INCEPT_DT")</f>
        <v>7/18/2019</v>
      </c>
      <c r="L219" t="str">
        <f>_xll.BDP("2804 HK Equity","PX388","PX395=TURNOVER_EXCH_RATIO","DY262=D","PY204=N","PX391=20251201","PX392=20251210")</f>
        <v>#N/A N/A</v>
      </c>
      <c r="M219">
        <f>_xll.BDP("2804 HK Equity","EQY_SH_OUT")</f>
        <v>0.42</v>
      </c>
      <c r="N219">
        <f>_xll.BDP("2804 HK Equity","EQY_TRR_PCT_YTD")</f>
        <v>3.858222</v>
      </c>
      <c r="O219">
        <f>_xll.BDP("2804 HK Equity","CHG_PCT_YTD")</f>
        <v>4.4932109999999996</v>
      </c>
      <c r="P219">
        <f>_xll.BDP("2804 HK Equity","CHG_PCT_1M")</f>
        <v>-0.5469946</v>
      </c>
      <c r="Q219" t="str">
        <f>_xll.BDP("2804 HK Equity","LISTING_DATE")</f>
        <v>7/18/2019</v>
      </c>
      <c r="R219" t="str">
        <f>_xll.BDP("2804 HK Equity","FUND_INCEPT_DT")</f>
        <v>7/18/2019</v>
      </c>
      <c r="S219">
        <f>_xll.BDP("2804 HK Equity","AVG_DAILY_VALUE_TRADED_3M")</f>
        <v>275243.59999999998</v>
      </c>
      <c r="T219" t="str">
        <f>_xll.BDP("2804 HK Equity","PX596","PX395=HISTORICAL_MARKET_CAP","DY262=D","PY204=N","PX391=20231231","PX392=20231231","DS004=HKD")</f>
        <v>#N/A N/A</v>
      </c>
      <c r="U219">
        <f>_xll.BDP("2804 HK Equity","PX385","PX395=FUND_FLOW","DY262=D","PY204=N","PX391=20240102","PX392=20240930","DS004=HKD")</f>
        <v>-37.190377999999988</v>
      </c>
      <c r="V219">
        <f>_xll.BDP("2804 HK Equity","PX596","PX395=CUR_MKT_CAP","DY262=D","PY204=N","PX391=20240101","DS004=HKD")</f>
        <v>49.764000000000003</v>
      </c>
      <c r="W219" t="str">
        <f>_xll.BDP("2804 HK Equity","FUND_INCEPT_DT")</f>
        <v>7/18/2019</v>
      </c>
      <c r="X219">
        <f>_xll.BDP("2804 HK Equity","PX388","PX395=TURNOVER","DY262=D","PY204=N","PX391=20240502","PX392=20240606","DS004=HKD")</f>
        <v>60271.3</v>
      </c>
      <c r="Y219" t="str">
        <f>_xll.BDP("2804 HK Equity","PARENT_COMP_NAME")</f>
        <v>Premia Partners Co Ltd/Hong Ko</v>
      </c>
      <c r="Z219" t="str">
        <f>_xll.BDP("2804 HK Equity","NAV_CRNCY")</f>
        <v>HKD</v>
      </c>
      <c r="AA219" t="str">
        <f>_xll.BDP("2804 HK Equity","FUND_GEO_FOCUS")</f>
        <v>Vietnam</v>
      </c>
      <c r="AB219" t="str">
        <f>_xll.BDP("2804 HK Equity","FUND_ASSET_CLASS_FOCUS")</f>
        <v>Equity</v>
      </c>
      <c r="AC219">
        <f>_xll.BDP("2804 HK Equity","PX_LAST")</f>
        <v>100</v>
      </c>
      <c r="AD219">
        <f>_xll.BDP("2804 HK Equity","PX388","PX395=TIME_WAVG_BID_ASK_SPREAD_PCT","DY262=D","PY204=N","PX391=20260601","PX392=20260626")</f>
        <v>0.57444445166785685</v>
      </c>
      <c r="AE219">
        <f>_xll.BDP("2804 HK Equity","PX388","PX395=AVERAGE_BID_ASK_SPREAD_%","DY262=D","PY204=N","PX391=20260601","PX392=20260626")</f>
        <v>0.74091683501380923</v>
      </c>
    </row>
    <row r="220" spans="1:31" x14ac:dyDescent="0.25">
      <c r="A220" t="s">
        <v>245</v>
      </c>
      <c r="B220" t="str">
        <f>_xll.BDP("3088 HK Equity","LONG_COMP_NAME")</f>
        <v>ChinaAMC Global ETF Series - ChinaAMC Hang Seng TECH Index ETF</v>
      </c>
      <c r="C220">
        <f>_xll.BDP("3088 HK Equity","PX385","PX395=FUND_FLOW","DY262=D","PY204=N","PX391=20260622","PX392=20260626","DS004=USD")</f>
        <v>-0.97522416899670672</v>
      </c>
      <c r="D220">
        <f>_xll.BDP("3088 HK Equity","PX388","PX395=TURNOVER","DY262=D","PY204=N","PX391=20260601","PX392=20260626","DS004=HKD")</f>
        <v>46221044.684210524</v>
      </c>
      <c r="E220">
        <f>_xll.BDP("3088 HK Equity","PX388","PX395=TURNOVER","DY262=D","PY204=N","PX391=20250101","PX392=20251231","DS004=HKD")</f>
        <v>54455644.981707297</v>
      </c>
      <c r="F220">
        <f>_xll.BDP("3088 HK Equity","PX596","PX395=FUND_TOTAL_ASSETS","DY262=D","PY204=N","PX391=20260626","PX392=20260626","DS004=USD")</f>
        <v>123.64035143647746</v>
      </c>
      <c r="G220">
        <f>_xll.BDP("3088 HK Equity","PX388","PX395=CUR_MKT_CAP","DY262=D","PY204=N","PX391=20260626","PX392=20260626","DS004=HKD")</f>
        <v>964.76</v>
      </c>
      <c r="H220" t="str">
        <f>_xll.BDP("3088 HK Equity","FUND_LEVERAGE_TYPE")</f>
        <v>#N/A N/A</v>
      </c>
      <c r="I220">
        <f>_xll.BDP("3088 HK Equity","PX388","PX395=TURNOVER","DY262=D","PY204=N","PX391=20260101","PX392=20260131","DS004=HKD")</f>
        <v>85167852.285714284</v>
      </c>
      <c r="J220">
        <v>-1</v>
      </c>
      <c r="K220" t="str">
        <f>_xll.BDP("3088 HK Equity","FUND_INCEPT_DT")</f>
        <v>9/1/2020</v>
      </c>
      <c r="L220" t="str">
        <f>_xll.BDP("3088 HK Equity","PX388","PX395=TURNOVER_EXCH_RATIO","DY262=D","PY204=N","PX391=20251201","PX392=20251210")</f>
        <v>#N/A N/A</v>
      </c>
      <c r="M220">
        <f>_xll.BDP("3088 HK Equity","EQY_SH_OUT")</f>
        <v>178</v>
      </c>
      <c r="N220">
        <f>_xll.BDP("3088 HK Equity","EQY_TRR_PCT_YTD")</f>
        <v>-22.54917</v>
      </c>
      <c r="O220">
        <f>_xll.BDP("3088 HK Equity","CHG_PCT_YTD")</f>
        <v>-19.828199999999999</v>
      </c>
      <c r="P220">
        <f>_xll.BDP("3088 HK Equity","CHG_PCT_1M")</f>
        <v>-9.8954170000000001</v>
      </c>
      <c r="Q220" t="str">
        <f>_xll.BDP("3088 HK Equity","LISTING_DATE")</f>
        <v>9/3/2020</v>
      </c>
      <c r="R220" t="str">
        <f>_xll.BDP("3088 HK Equity","FUND_INCEPT_DT")</f>
        <v>9/1/2020</v>
      </c>
      <c r="S220">
        <f>_xll.BDP("3088 HK Equity","AVG_DAILY_VALUE_TRADED_3M")</f>
        <v>30344180</v>
      </c>
      <c r="T220" t="str">
        <f>_xll.BDP("3088 HK Equity","PX596","PX395=HISTORICAL_MARKET_CAP","DY262=D","PY204=N","PX391=20231231","PX392=20231231","DS004=HKD")</f>
        <v>#N/A N/A</v>
      </c>
      <c r="U220">
        <f>_xll.BDP("3088 HK Equity","PX385","PX395=FUND_FLOW","DY262=D","PY204=N","PX391=20240102","PX392=20240930","DS004=HKD")</f>
        <v>-298.7915799999999</v>
      </c>
      <c r="V220">
        <f>_xll.BDP("3088 HK Equity","PX596","PX395=CUR_MKT_CAP","DY262=D","PY204=N","PX391=20240101","DS004=HKD")</f>
        <v>1725.2950000000001</v>
      </c>
      <c r="W220" t="str">
        <f>_xll.BDP("3088 HK Equity","FUND_INCEPT_DT")</f>
        <v>9/1/2020</v>
      </c>
      <c r="X220">
        <f>_xll.BDP("3088 HK Equity","PX388","PX395=TURNOVER","DY262=D","PY204=N","PX391=20240502","PX392=20240606","DS004=HKD")</f>
        <v>23924203.376000002</v>
      </c>
      <c r="Y220" t="str">
        <f>_xll.BDP("3088 HK Equity","PARENT_COMP_NAME")</f>
        <v>China Asset Management Hong Ko</v>
      </c>
      <c r="Z220" t="str">
        <f>_xll.BDP("3088 HK Equity","NAV_CRNCY")</f>
        <v>HKD</v>
      </c>
      <c r="AA220" t="str">
        <f>_xll.BDP("3088 HK Equity","FUND_GEO_FOCUS")</f>
        <v>Hong Kong</v>
      </c>
      <c r="AB220" t="str">
        <f>_xll.BDP("3088 HK Equity","FUND_ASSET_CLASS_FOCUS")</f>
        <v>Equity</v>
      </c>
      <c r="AC220">
        <f>_xll.BDP("3088 HK Equity","PX_LAST")</f>
        <v>5.6</v>
      </c>
      <c r="AD220">
        <f>_xll.BDP("3088 HK Equity","PX388","PX395=TIME_WAVG_BID_ASK_SPREAD_PCT","DY262=D","PY204=N","PX391=20260601","PX392=20260626")</f>
        <v>0.10833289011659514</v>
      </c>
      <c r="AE220">
        <f>_xll.BDP("3088 HK Equity","PX388","PX395=AVERAGE_BID_ASK_SPREAD_%","DY262=D","PY204=N","PX391=20260601","PX392=20260626")</f>
        <v>0.1081259543423751</v>
      </c>
    </row>
    <row r="221" spans="1:31" x14ac:dyDescent="0.25">
      <c r="A221" t="s">
        <v>246</v>
      </c>
      <c r="B221" t="str">
        <f>_xll.BDP("3152 HK Equity","LONG_COMP_NAME")</f>
        <v>Bosera HKD Money Market ETF</v>
      </c>
      <c r="C221">
        <f>_xll.BDP("3152 HK Equity","PX385","PX395=FUND_FLOW","DY262=D","PY204=N","PX391=20260622","PX392=20260626","DS004=USD")</f>
        <v>-1.2205727904603996</v>
      </c>
      <c r="D221">
        <f>_xll.BDP("3152 HK Equity","PX388","PX395=TURNOVER","DY262=D","PY204=N","PX391=20260601","PX392=20260626","DS004=HKD")</f>
        <v>9454029.2105263155</v>
      </c>
      <c r="E221">
        <f>_xll.BDP("3152 HK Equity","PX388","PX395=TURNOVER","DY262=D","PY204=N","PX391=20250101","PX392=20251231","DS004=HKD")</f>
        <v>2700359.4504065034</v>
      </c>
      <c r="F221">
        <f>_xll.BDP("3152 HK Equity","PX596","PX395=FUND_TOTAL_ASSETS","DY262=D","PY204=N","PX391=20260626","PX392=20260626","DS004=USD")</f>
        <v>17.706649475268105</v>
      </c>
      <c r="G221">
        <f>_xll.BDP("3152 HK Equity","PX388","PX395=CUR_MKT_CAP","DY262=D","PY204=N","PX391=20260626","PX392=20260626","DS004=HKD")</f>
        <v>138.89128500000001</v>
      </c>
      <c r="H221" t="str">
        <f>_xll.BDP("3152 HK Equity","FUND_LEVERAGE_TYPE")</f>
        <v>#N/A N/A</v>
      </c>
      <c r="I221">
        <f>_xll.BDP("3152 HK Equity","PX388","PX395=TURNOVER","DY262=D","PY204=N","PX391=20260101","PX392=20260131","DS004=HKD")</f>
        <v>3379822.2857142854</v>
      </c>
      <c r="J221">
        <v>-1</v>
      </c>
      <c r="K221" t="str">
        <f>_xll.BDP("3152 HK Equity","FUND_INCEPT_DT")</f>
        <v>2/14/2023</v>
      </c>
      <c r="L221" t="str">
        <f>_xll.BDP("3152 HK Equity","PX388","PX395=TURNOVER_EXCH_RATIO","DY262=D","PY204=N","PX391=20251201","PX392=20251210")</f>
        <v>#N/A N/A</v>
      </c>
      <c r="M221">
        <f>_xll.BDP("3152 HK Equity","EQY_SH_OUT")</f>
        <v>0.12329999999999999</v>
      </c>
      <c r="N221">
        <f>_xll.BDP("3152 HK Equity","EQY_TRR_PCT_YTD")</f>
        <v>1.210027</v>
      </c>
      <c r="O221">
        <f>_xll.BDP("3152 HK Equity","CHG_PCT_YTD")</f>
        <v>1.226248</v>
      </c>
      <c r="P221">
        <f>_xll.BDP("3152 HK Equity","CHG_PCT_1M")</f>
        <v>0.14664489999999999</v>
      </c>
      <c r="Q221" t="str">
        <f>_xll.BDP("3152 HK Equity","LISTING_DATE")</f>
        <v>2/14/2023</v>
      </c>
      <c r="R221" t="str">
        <f>_xll.BDP("3152 HK Equity","FUND_INCEPT_DT")</f>
        <v>2/14/2023</v>
      </c>
      <c r="S221">
        <f>_xll.BDP("3152 HK Equity","AVG_DAILY_VALUE_TRADED_3M")</f>
        <v>6632664</v>
      </c>
      <c r="T221" t="str">
        <f>_xll.BDP("3152 HK Equity","PX596","PX395=HISTORICAL_MARKET_CAP","DY262=D","PY204=N","PX391=20231231","PX392=20231231","DS004=HKD")</f>
        <v>#N/A N/A</v>
      </c>
      <c r="U221">
        <f>_xll.BDP("3152 HK Equity","PX385","PX395=FUND_FLOW","DY262=D","PY204=N","PX391=20240102","PX392=20240930","DS004=HKD")</f>
        <v>17.314903779999995</v>
      </c>
      <c r="V221">
        <f>_xll.BDP("3152 HK Equity","PX596","PX395=CUR_MKT_CAP","DY262=D","PY204=N","PX391=20240101","DS004=HKD")</f>
        <v>105.52662000000001</v>
      </c>
      <c r="W221" t="str">
        <f>_xll.BDP("3152 HK Equity","FUND_INCEPT_DT")</f>
        <v>2/14/2023</v>
      </c>
      <c r="X221">
        <f>_xll.BDP("3152 HK Equity","PX388","PX395=TURNOVER","DY262=D","PY204=N","PX391=20240502","PX392=20240606","DS004=HKD")</f>
        <v>1041188.1740000001</v>
      </c>
      <c r="Y221" t="str">
        <f>_xll.BDP("3152 HK Equity","PARENT_COMP_NAME")</f>
        <v>Bosera Asset Management Intern</v>
      </c>
      <c r="Z221" t="str">
        <f>_xll.BDP("3152 HK Equity","NAV_CRNCY")</f>
        <v>HKD</v>
      </c>
      <c r="AA221" t="str">
        <f>_xll.BDP("3152 HK Equity","FUND_GEO_FOCUS")</f>
        <v>Hong Kong</v>
      </c>
      <c r="AB221" t="str">
        <f>_xll.BDP("3152 HK Equity","FUND_ASSET_CLASS_FOCUS")</f>
        <v>Money Market</v>
      </c>
      <c r="AC221">
        <f>_xll.BDP("3152 HK Equity","PX_LAST")</f>
        <v>1126.8</v>
      </c>
      <c r="AD221">
        <f>_xll.BDP("3152 HK Equity","PX388","PX395=TIME_WAVG_BID_ASK_SPREAD_PCT","DY262=D","PY204=N","PX391=20260601","PX392=20260626")</f>
        <v>6.5290728523408293E-3</v>
      </c>
      <c r="AE221">
        <f>_xll.BDP("3152 HK Equity","PX388","PX395=AVERAGE_BID_ASK_SPREAD_%","DY262=D","PY204=N","PX391=20260601","PX392=20260626")</f>
        <v>8.0830986809450247E-3</v>
      </c>
    </row>
    <row r="222" spans="1:31" x14ac:dyDescent="0.25">
      <c r="A222" t="s">
        <v>247</v>
      </c>
      <c r="B222" t="str">
        <f>_xll.BDP("3404 HK Equity","LONG_COMP_NAME")</f>
        <v>ChinaAMC MSCI India ETF</v>
      </c>
      <c r="C222">
        <f>_xll.BDP("3404 HK Equity","PX385","PX395=FUND_FLOW","DY262=D","PY204=N","PX391=20260622","PX392=20260626","DS004=USD")</f>
        <v>-1.2363236518888858</v>
      </c>
      <c r="D222">
        <f>_xll.BDP("3404 HK Equity","PX388","PX395=TURNOVER","DY262=D","PY204=N","PX391=20260601","PX392=20260626","DS004=HKD")</f>
        <v>668520.8529411765</v>
      </c>
      <c r="E222">
        <f>_xll.BDP("3404 HK Equity","PX388","PX395=TURNOVER","DY262=D","PY204=N","PX391=20250101","PX392=20251231","DS004=HKD")</f>
        <v>2663007.7038626615</v>
      </c>
      <c r="F222" t="str">
        <f>_xll.BDP("3404 HK Equity","PX596","PX395=FUND_TOTAL_ASSETS","DY262=D","PY204=N","PX391=20260626","PX392=20260626","DS004=USD")</f>
        <v>#N/A N/A</v>
      </c>
      <c r="G222">
        <f>_xll.BDP("3404 HK Equity","PX388","PX395=CUR_MKT_CAP","DY262=D","PY204=N","PX391=20260626","PX392=20260626","DS004=HKD")</f>
        <v>306.71999999999997</v>
      </c>
      <c r="H222" t="str">
        <f>_xll.BDP("3404 HK Equity","FUND_LEVERAGE_TYPE")</f>
        <v>#N/A N/A</v>
      </c>
      <c r="I222">
        <f>_xll.BDP("3404 HK Equity","PX388","PX395=TURNOVER","DY262=D","PY204=N","PX391=20260101","PX392=20260131","DS004=HKD")</f>
        <v>1633344.8333333335</v>
      </c>
      <c r="J222" t="s">
        <v>31</v>
      </c>
      <c r="K222" t="str">
        <f>_xll.BDP("3404 HK Equity","FUND_INCEPT_DT")</f>
        <v>9/30/2024</v>
      </c>
      <c r="L222" t="str">
        <f>_xll.BDP("3404 HK Equity","PX388","PX395=TURNOVER_EXCH_RATIO","DY262=D","PY204=N","PX391=20251201","PX392=20251210")</f>
        <v>#N/A N/A</v>
      </c>
      <c r="M222">
        <f>_xll.BDP("3404 HK Equity","EQY_SH_OUT")</f>
        <v>48</v>
      </c>
      <c r="N222">
        <f>_xll.BDP("3404 HK Equity","EQY_TRR_PCT_YTD")</f>
        <v>-8.4707039999999996</v>
      </c>
      <c r="O222">
        <f>_xll.BDP("3404 HK Equity","CHG_PCT_YTD")</f>
        <v>-8.8235270000000003</v>
      </c>
      <c r="P222">
        <f>_xll.BDP("3404 HK Equity","CHG_PCT_1M")</f>
        <v>1.0333870000000001</v>
      </c>
      <c r="Q222" t="str">
        <f>_xll.BDP("3404 HK Equity","LISTING_DATE")</f>
        <v>9/30/2024</v>
      </c>
      <c r="R222" t="str">
        <f>_xll.BDP("3404 HK Equity","FUND_INCEPT_DT")</f>
        <v>9/30/2024</v>
      </c>
      <c r="S222">
        <f>_xll.BDP("3404 HK Equity","AVG_DAILY_VALUE_TRADED_3M")</f>
        <v>443331.8</v>
      </c>
      <c r="T222" t="str">
        <f>_xll.BDP("3404 HK Equity","PX596","PX395=HISTORICAL_MARKET_CAP","DY262=D","PY204=N","PX391=20231231","PX392=20231231","DS004=HKD")</f>
        <v>#N/A N/A</v>
      </c>
      <c r="U222" t="str">
        <f>_xll.BDP("3404 HK Equity","PX385","PX395=FUND_FLOW","DY262=D","PY204=N","PX391=20240102","PX392=20240930","DS004=HKD")</f>
        <v>#N/A N/A</v>
      </c>
      <c r="V222">
        <f>_xll.BDP("3404 HK Equity","PX596","PX395=CUR_MKT_CAP","DY262=D","PY204=N","PX391=20240101","DS004=HKD")</f>
        <v>397.28999999999996</v>
      </c>
      <c r="W222" t="str">
        <f>_xll.BDP("3404 HK Equity","FUND_INCEPT_DT")</f>
        <v>9/30/2024</v>
      </c>
      <c r="X222" t="str">
        <f>_xll.BDP("3404 HK Equity","PX388","PX395=TURNOVER","DY262=D","PY204=N","PX391=20240502","PX392=20240606","DS004=HKD")</f>
        <v>#N/A N/A</v>
      </c>
      <c r="Y222" t="str">
        <f>_xll.BDP("3404 HK Equity","PARENT_COMP_NAME")</f>
        <v>China Asset Management Hong Ko</v>
      </c>
      <c r="Z222" t="str">
        <f>_xll.BDP("3404 HK Equity","NAV_CRNCY")</f>
        <v>HKD</v>
      </c>
      <c r="AA222" t="str">
        <f>_xll.BDP("3404 HK Equity","FUND_GEO_FOCUS")</f>
        <v>India</v>
      </c>
      <c r="AB222" t="str">
        <f>_xll.BDP("3404 HK Equity","FUND_ASSET_CLASS_FOCUS")</f>
        <v>Equity</v>
      </c>
      <c r="AC222">
        <f>_xll.BDP("3404 HK Equity","PX_LAST")</f>
        <v>6.3550000000000004</v>
      </c>
      <c r="AD222">
        <f>_xll.BDP("3404 HK Equity","PX388","PX395=TIME_WAVG_BID_ASK_SPREAD_PCT","DY262=D","PY204=N","PX391=20260601","PX392=20260626")</f>
        <v>0.41343916503453115</v>
      </c>
      <c r="AE222">
        <f>_xll.BDP("3404 HK Equity","PX388","PX395=AVERAGE_BID_ASK_SPREAD_%","DY262=D","PY204=N","PX391=20260601","PX392=20260626")</f>
        <v>0.50388229093475012</v>
      </c>
    </row>
    <row r="223" spans="1:31" x14ac:dyDescent="0.25">
      <c r="A223" t="s">
        <v>248</v>
      </c>
      <c r="B223" t="str">
        <f>_xll.BDP("2845 HK Equity","LONG_COMP_NAME")</f>
        <v>Global X China Electric Vehicle and Battery ETF</v>
      </c>
      <c r="C223">
        <f>_xll.BDP("2845 HK Equity","PX385","PX395=FUND_FLOW","DY262=D","PY204=N","PX391=20260622","PX392=20260626","DS004=USD")</f>
        <v>-1.3071814657659517</v>
      </c>
      <c r="D223">
        <f>_xll.BDP("2845 HK Equity","PX388","PX395=TURNOVER","DY262=D","PY204=N","PX391=20260601","PX392=20260626","DS004=HKD")</f>
        <v>3917156.4736842099</v>
      </c>
      <c r="E223">
        <f>_xll.BDP("2845 HK Equity","PX388","PX395=TURNOVER","DY262=D","PY204=N","PX391=20250101","PX392=20251231","DS004=HKD")</f>
        <v>3381795.1930894284</v>
      </c>
      <c r="F223">
        <f>_xll.BDP("2845 HK Equity","PX596","PX395=FUND_TOTAL_ASSETS","DY262=D","PY204=N","PX391=20260626","PX392=20260626","DS004=USD")</f>
        <v>112.45397910763695</v>
      </c>
      <c r="G223">
        <f>_xll.BDP("2845 HK Equity","PX388","PX395=CUR_MKT_CAP","DY262=D","PY204=N","PX391=20260626","PX392=20260626","DS004=HKD")</f>
        <v>884.48199999999997</v>
      </c>
      <c r="H223" t="str">
        <f>_xll.BDP("2845 HK Equity","FUND_LEVERAGE_TYPE")</f>
        <v>#N/A N/A</v>
      </c>
      <c r="I223">
        <f>_xll.BDP("2845 HK Equity","PX388","PX395=TURNOVER","DY262=D","PY204=N","PX391=20260101","PX392=20260131","DS004=HKD")</f>
        <v>3226961.7142857146</v>
      </c>
      <c r="J223">
        <v>-1</v>
      </c>
      <c r="K223" t="str">
        <f>_xll.BDP("2845 HK Equity","FUND_INCEPT_DT")</f>
        <v>1/17/2020</v>
      </c>
      <c r="L223" t="str">
        <f>_xll.BDP("2845 HK Equity","PX388","PX395=TURNOVER_EXCH_RATIO","DY262=D","PY204=N","PX391=20251201","PX392=20251210")</f>
        <v>#N/A N/A</v>
      </c>
      <c r="M223">
        <f>_xll.BDP("2845 HK Equity","EQY_SH_OUT")</f>
        <v>8.85</v>
      </c>
      <c r="N223">
        <f>_xll.BDP("2845 HK Equity","EQY_TRR_PCT_YTD")</f>
        <v>-3.6246230000000002</v>
      </c>
      <c r="O223">
        <f>_xll.BDP("2845 HK Equity","CHG_PCT_YTD")</f>
        <v>-6.860036</v>
      </c>
      <c r="P223">
        <f>_xll.BDP("2845 HK Equity","CHG_PCT_1M")</f>
        <v>-11.349690000000001</v>
      </c>
      <c r="Q223" t="str">
        <f>_xll.BDP("2845 HK Equity","LISTING_DATE")</f>
        <v>1/17/2020</v>
      </c>
      <c r="R223" t="str">
        <f>_xll.BDP("2845 HK Equity","FUND_INCEPT_DT")</f>
        <v>1/17/2020</v>
      </c>
      <c r="S223">
        <f>_xll.BDP("2845 HK Equity","AVG_DAILY_VALUE_TRADED_3M")</f>
        <v>4910991</v>
      </c>
      <c r="T223" t="str">
        <f>_xll.BDP("2845 HK Equity","PX596","PX395=HISTORICAL_MARKET_CAP","DY262=D","PY204=N","PX391=20231231","PX392=20231231","DS004=HKD")</f>
        <v>#N/A N/A</v>
      </c>
      <c r="U223">
        <f>_xll.BDP("2845 HK Equity","PX385","PX395=FUND_FLOW","DY262=D","PY204=N","PX391=20240102","PX392=20240930","DS004=HKD")</f>
        <v>-421.47699999999986</v>
      </c>
      <c r="V223">
        <f>_xll.BDP("2845 HK Equity","PX596","PX395=CUR_MKT_CAP","DY262=D","PY204=N","PX391=20240101","DS004=HKD")</f>
        <v>1091.43</v>
      </c>
      <c r="W223" t="str">
        <f>_xll.BDP("2845 HK Equity","FUND_INCEPT_DT")</f>
        <v>1/17/2020</v>
      </c>
      <c r="X223">
        <f>_xll.BDP("2845 HK Equity","PX388","PX395=TURNOVER","DY262=D","PY204=N","PX391=20240502","PX392=20240606","DS004=HKD")</f>
        <v>5586806.7120000003</v>
      </c>
      <c r="Y223" t="str">
        <f>_xll.BDP("2845 HK Equity","PARENT_COMP_NAME")</f>
        <v>Mirae Asset Global Investments</v>
      </c>
      <c r="Z223" t="str">
        <f>_xll.BDP("2845 HK Equity","NAV_CRNCY")</f>
        <v>HKD</v>
      </c>
      <c r="AA223" t="str">
        <f>_xll.BDP("2845 HK Equity","FUND_GEO_FOCUS")</f>
        <v>China</v>
      </c>
      <c r="AB223" t="str">
        <f>_xll.BDP("2845 HK Equity","FUND_ASSET_CLASS_FOCUS")</f>
        <v>Equity</v>
      </c>
      <c r="AC223">
        <f>_xll.BDP("2845 HK Equity","PX_LAST")</f>
        <v>101.15</v>
      </c>
      <c r="AD223">
        <f>_xll.BDP("2845 HK Equity","PX388","PX395=TIME_WAVG_BID_ASK_SPREAD_PCT","DY262=D","PY204=N","PX391=20260601","PX392=20260626")</f>
        <v>0.22538361820607636</v>
      </c>
      <c r="AE223">
        <f>_xll.BDP("2845 HK Equity","PX388","PX395=AVERAGE_BID_ASK_SPREAD_%","DY262=D","PY204=N","PX391=20260601","PX392=20260626")</f>
        <v>0.27462422268392173</v>
      </c>
    </row>
    <row r="224" spans="1:31" x14ac:dyDescent="0.25">
      <c r="A224" t="s">
        <v>249</v>
      </c>
      <c r="B224" t="str">
        <f>_xll.BDP("7233 HK Equity","LONG_COMP_NAME")</f>
        <v>CSOP CSI 300 Index Daily 2X Leveraged Product</v>
      </c>
      <c r="C224">
        <f>_xll.BDP("7233 HK Equity","PX385","PX395=FUND_FLOW","DY262=D","PY204=N","PX391=20260622","PX392=20260626","DS004=USD")</f>
        <v>-1.6905110775058303</v>
      </c>
      <c r="D224">
        <f>_xll.BDP("7233 HK Equity","PX388","PX395=TURNOVER","DY262=D","PY204=N","PX391=20260601","PX392=20260626","DS004=HKD")</f>
        <v>5251249.421052631</v>
      </c>
      <c r="E224">
        <f>_xll.BDP("7233 HK Equity","PX388","PX395=TURNOVER","DY262=D","PY204=N","PX391=20250101","PX392=20251231","DS004=HKD")</f>
        <v>10767325.621951224</v>
      </c>
      <c r="F224">
        <f>_xll.BDP("7233 HK Equity","PX596","PX395=FUND_TOTAL_ASSETS","DY262=D","PY204=N","PX391=20260626","PX392=20260626","DS004=USD")</f>
        <v>44.535100626544299</v>
      </c>
      <c r="G224">
        <f>_xll.BDP("7233 HK Equity","PX388","PX395=CUR_MKT_CAP","DY262=D","PY204=N","PX391=20260626","PX392=20260626","DS004=HKD")</f>
        <v>348.82</v>
      </c>
      <c r="H224" t="str">
        <f>_xll.BDP("7233 HK Equity","FUND_LEVERAGE_TYPE")</f>
        <v>Long</v>
      </c>
      <c r="I224">
        <f>_xll.BDP("7233 HK Equity","PX388","PX395=TURNOVER","DY262=D","PY204=N","PX391=20260101","PX392=20260131","DS004=HKD")</f>
        <v>7912789.5238095233</v>
      </c>
      <c r="J224">
        <v>-1</v>
      </c>
      <c r="K224" t="str">
        <f>_xll.BDP("7233 HK Equity","FUND_INCEPT_DT")</f>
        <v>7/24/2020</v>
      </c>
      <c r="L224" t="str">
        <f>_xll.BDP("7233 HK Equity","PX388","PX395=TURNOVER_EXCH_RATIO","DY262=D","PY204=N","PX391=20251201","PX392=20251210")</f>
        <v>#N/A N/A</v>
      </c>
      <c r="M224">
        <f>_xll.BDP("7233 HK Equity","EQY_SH_OUT")</f>
        <v>65.2</v>
      </c>
      <c r="N224">
        <f>_xll.BDP("7233 HK Equity","EQY_TRR_PCT_YTD")</f>
        <v>4.847048</v>
      </c>
      <c r="O224">
        <f>_xll.BDP("7233 HK Equity","CHG_PCT_YTD")</f>
        <v>12.3515</v>
      </c>
      <c r="P224">
        <f>_xll.BDP("7233 HK Equity","CHG_PCT_1M")</f>
        <v>-9.1070520000000002E-2</v>
      </c>
      <c r="Q224" t="str">
        <f>_xll.BDP("7233 HK Equity","LISTING_DATE")</f>
        <v>7/27/2020</v>
      </c>
      <c r="R224" t="str">
        <f>_xll.BDP("7233 HK Equity","FUND_INCEPT_DT")</f>
        <v>7/24/2020</v>
      </c>
      <c r="S224">
        <f>_xll.BDP("7233 HK Equity","AVG_DAILY_VALUE_TRADED_3M")</f>
        <v>4375959</v>
      </c>
      <c r="T224" t="str">
        <f>_xll.BDP("7233 HK Equity","PX596","PX395=HISTORICAL_MARKET_CAP","DY262=D","PY204=N","PX391=20231231","PX392=20231231","DS004=HKD")</f>
        <v>#N/A N/A</v>
      </c>
      <c r="U224">
        <f>_xll.BDP("7233 HK Equity","PX385","PX395=FUND_FLOW","DY262=D","PY204=N","PX391=20240102","PX392=20240930","DS004=HKD")</f>
        <v>36.111096155959395</v>
      </c>
      <c r="V224">
        <f>_xll.BDP("7233 HK Equity","PX596","PX395=CUR_MKT_CAP","DY262=D","PY204=N","PX391=20240101","DS004=HKD")</f>
        <v>517.49199999999996</v>
      </c>
      <c r="W224" t="str">
        <f>_xll.BDP("7233 HK Equity","FUND_INCEPT_DT")</f>
        <v>7/24/2020</v>
      </c>
      <c r="X224">
        <f>_xll.BDP("7233 HK Equity","PX388","PX395=TURNOVER","DY262=D","PY204=N","PX391=20240502","PX392=20240606","DS004=HKD")</f>
        <v>3372630.2960000006</v>
      </c>
      <c r="Y224" t="str">
        <f>_xll.BDP("7233 HK Equity","PARENT_COMP_NAME")</f>
        <v>CSOP Asset Management Ltd/Hong</v>
      </c>
      <c r="Z224" t="str">
        <f>_xll.BDP("7233 HK Equity","NAV_CRNCY")</f>
        <v>CNY</v>
      </c>
      <c r="AA224" t="str">
        <f>_xll.BDP("7233 HK Equity","FUND_GEO_FOCUS")</f>
        <v>China</v>
      </c>
      <c r="AB224" t="str">
        <f>_xll.BDP("7233 HK Equity","FUND_ASSET_CLASS_FOCUS")</f>
        <v>Equity</v>
      </c>
      <c r="AC224">
        <f>_xll.BDP("7233 HK Equity","PX_LAST")</f>
        <v>5.4850000000000003</v>
      </c>
      <c r="AD224">
        <f>_xll.BDP("7233 HK Equity","PX388","PX395=TIME_WAVG_BID_ASK_SPREAD_PCT","DY262=D","PY204=N","PX391=20260601","PX392=20260626")</f>
        <v>0.32540996637377118</v>
      </c>
      <c r="AE224">
        <f>_xll.BDP("7233 HK Equity","PX388","PX395=AVERAGE_BID_ASK_SPREAD_%","DY262=D","PY204=N","PX391=20260601","PX392=20260626")</f>
        <v>0.40104314780616734</v>
      </c>
    </row>
    <row r="225" spans="1:31" x14ac:dyDescent="0.25">
      <c r="A225" t="s">
        <v>250</v>
      </c>
      <c r="B225" t="str">
        <f>_xll.BDP("3109 HK Equity","LONG_COMP_NAME")</f>
        <v>CSOP STAR 50 INDEX ETF</v>
      </c>
      <c r="C225">
        <f>_xll.BDP("3109 HK Equity","PX385","PX395=FUND_FLOW","DY262=D","PY204=N","PX391=20260622","PX392=20260626","DS004=USD")</f>
        <v>-2.290484177075514</v>
      </c>
      <c r="D225">
        <f>_xll.BDP("3109 HK Equity","PX388","PX395=TURNOVER","DY262=D","PY204=N","PX391=20260601","PX392=20260626","DS004=HKD")</f>
        <v>19083856.578947369</v>
      </c>
      <c r="E225">
        <f>_xll.BDP("3109 HK Equity","PX388","PX395=TURNOVER","DY262=D","PY204=N","PX391=20250101","PX392=20251231","DS004=HKD")</f>
        <v>9707846.0727642197</v>
      </c>
      <c r="F225">
        <f>_xll.BDP("3109 HK Equity","PX596","PX395=FUND_TOTAL_ASSETS","DY262=D","PY204=N","PX391=20260626","PX392=20260626","DS004=USD")</f>
        <v>85.323681739028117</v>
      </c>
      <c r="G225">
        <f>_xll.BDP("3109 HK Equity","PX388","PX395=CUR_MKT_CAP","DY262=D","PY204=N","PX391=20260626","PX392=20260626","DS004=HKD")</f>
        <v>670.40600000000006</v>
      </c>
      <c r="H225" t="str">
        <f>_xll.BDP("3109 HK Equity","FUND_LEVERAGE_TYPE")</f>
        <v>#N/A N/A</v>
      </c>
      <c r="I225">
        <f>_xll.BDP("3109 HK Equity","PX388","PX395=TURNOVER","DY262=D","PY204=N","PX391=20260101","PX392=20260131","DS004=HKD")</f>
        <v>8571110.5714285709</v>
      </c>
      <c r="J225">
        <v>-1</v>
      </c>
      <c r="K225" t="str">
        <f>_xll.BDP("3109 HK Equity","FUND_INCEPT_DT")</f>
        <v>2/10/2021</v>
      </c>
      <c r="L225" t="str">
        <f>_xll.BDP("3109 HK Equity","PX388","PX395=TURNOVER_EXCH_RATIO","DY262=D","PY204=N","PX391=20251201","PX392=20251210")</f>
        <v>#N/A N/A</v>
      </c>
      <c r="M225">
        <f>_xll.BDP("3109 HK Equity","EQY_SH_OUT")</f>
        <v>34.1</v>
      </c>
      <c r="N225">
        <f>_xll.BDP("3109 HK Equity","EQY_TRR_PCT_YTD")</f>
        <v>50.482959999999999</v>
      </c>
      <c r="O225">
        <f>_xll.BDP("3109 HK Equity","CHG_PCT_YTD")</f>
        <v>63.738010000000003</v>
      </c>
      <c r="P225">
        <f>_xll.BDP("3109 HK Equity","CHG_PCT_1M")</f>
        <v>20.16413</v>
      </c>
      <c r="Q225" t="str">
        <f>_xll.BDP("3109 HK Equity","LISTING_DATE")</f>
        <v>2/10/2021</v>
      </c>
      <c r="R225" t="str">
        <f>_xll.BDP("3109 HK Equity","FUND_INCEPT_DT")</f>
        <v>2/10/2021</v>
      </c>
      <c r="S225">
        <f>_xll.BDP("3109 HK Equity","AVG_DAILY_VALUE_TRADED_3M")</f>
        <v>12737560</v>
      </c>
      <c r="T225" t="str">
        <f>_xll.BDP("3109 HK Equity","PX596","PX395=HISTORICAL_MARKET_CAP","DY262=D","PY204=N","PX391=20231231","PX392=20231231","DS004=HKD")</f>
        <v>#N/A N/A</v>
      </c>
      <c r="U225">
        <f>_xll.BDP("3109 HK Equity","PX385","PX395=FUND_FLOW","DY262=D","PY204=N","PX391=20240102","PX392=20240930","DS004=HKD")</f>
        <v>-0.61187228336262045</v>
      </c>
      <c r="V225">
        <f>_xll.BDP("3109 HK Equity","PX596","PX395=CUR_MKT_CAP","DY262=D","PY204=N","PX391=20240101","DS004=HKD")</f>
        <v>487.02799999999996</v>
      </c>
      <c r="W225" t="str">
        <f>_xll.BDP("3109 HK Equity","FUND_INCEPT_DT")</f>
        <v>2/10/2021</v>
      </c>
      <c r="X225">
        <f>_xll.BDP("3109 HK Equity","PX388","PX395=TURNOVER","DY262=D","PY204=N","PX391=20240502","PX392=20240606","DS004=HKD")</f>
        <v>622195.97916666663</v>
      </c>
      <c r="Y225" t="str">
        <f>_xll.BDP("3109 HK Equity","PARENT_COMP_NAME")</f>
        <v>CSOP Asset Management Ltd/Hong</v>
      </c>
      <c r="Z225" t="str">
        <f>_xll.BDP("3109 HK Equity","NAV_CRNCY")</f>
        <v>CNY</v>
      </c>
      <c r="AA225" t="str">
        <f>_xll.BDP("3109 HK Equity","FUND_GEO_FOCUS")</f>
        <v>China</v>
      </c>
      <c r="AB225" t="str">
        <f>_xll.BDP("3109 HK Equity","FUND_ASSET_CLASS_FOCUS")</f>
        <v>Equity</v>
      </c>
      <c r="AC225">
        <f>_xll.BDP("3109 HK Equity","PX_LAST")</f>
        <v>20.5</v>
      </c>
      <c r="AD225">
        <f>_xll.BDP("3109 HK Equity","PX388","PX395=TIME_WAVG_BID_ASK_SPREAD_PCT","DY262=D","PY204=N","PX391=20260601","PX392=20260626")</f>
        <v>0.30013361203022593</v>
      </c>
      <c r="AE225">
        <f>_xll.BDP("3109 HK Equity","PX388","PX395=AVERAGE_BID_ASK_SPREAD_%","DY262=D","PY204=N","PX391=20260601","PX392=20260626")</f>
        <v>0.39388905698575655</v>
      </c>
    </row>
    <row r="226" spans="1:31" x14ac:dyDescent="0.25">
      <c r="A226" t="s">
        <v>251</v>
      </c>
      <c r="B226" t="str">
        <f>_xll.BDP("3433 HK Equity","LONG_COMP_NAME")</f>
        <v>CSOP FTSE US Treasury 20+ Yrs Index ETF</v>
      </c>
      <c r="C226">
        <f>_xll.BDP("3433 HK Equity","PX385","PX395=FUND_FLOW","DY262=D","PY204=N","PX391=20260622","PX392=20260626","DS004=USD")</f>
        <v>-3.9299850000000247</v>
      </c>
      <c r="D226">
        <f>_xll.BDP("3433 HK Equity","PX388","PX395=TURNOVER","DY262=D","PY204=N","PX391=20260601","PX392=20260626","DS004=HKD")</f>
        <v>7747575.2105263164</v>
      </c>
      <c r="E226">
        <f>_xll.BDP("3433 HK Equity","PX388","PX395=TURNOVER","DY262=D","PY204=N","PX391=20250101","PX392=20251231","DS004=HKD")</f>
        <v>10874168.891056918</v>
      </c>
      <c r="F226">
        <f>_xll.BDP("3433 HK Equity","PX596","PX395=FUND_TOTAL_ASSETS","DY262=D","PY204=N","PX391=20260626","PX392=20260626","DS004=USD")</f>
        <v>168.50196031000002</v>
      </c>
      <c r="G226">
        <f>_xll.BDP("3433 HK Equity","PX388","PX395=CUR_MKT_CAP","DY262=D","PY204=N","PX391=20260626","PX392=20260626","DS004=HKD")</f>
        <v>1242.912</v>
      </c>
      <c r="H226" t="str">
        <f>_xll.BDP("3433 HK Equity","FUND_LEVERAGE_TYPE")</f>
        <v>#N/A N/A</v>
      </c>
      <c r="I226">
        <f>_xll.BDP("3433 HK Equity","PX388","PX395=TURNOVER","DY262=D","PY204=N","PX391=20260101","PX392=20260131","DS004=HKD")</f>
        <v>10164505.19047619</v>
      </c>
      <c r="J226">
        <v>-1</v>
      </c>
      <c r="K226" t="str">
        <f>_xll.BDP("3433 HK Equity","FUND_INCEPT_DT")</f>
        <v>1/10/2024</v>
      </c>
      <c r="L226" t="str">
        <f>_xll.BDP("3433 HK Equity","PX388","PX395=TURNOVER_EXCH_RATIO","DY262=D","PY204=N","PX391=20251201","PX392=20251210")</f>
        <v>#N/A N/A</v>
      </c>
      <c r="M226">
        <f>_xll.BDP("3433 HK Equity","EQY_SH_OUT")</f>
        <v>18.149999999999999</v>
      </c>
      <c r="N226">
        <f>_xll.BDP("3433 HK Equity","EQY_TRR_PCT_YTD")</f>
        <v>1.748068</v>
      </c>
      <c r="O226">
        <f>_xll.BDP("3433 HK Equity","CHG_PCT_YTD")</f>
        <v>-0.43630330000000001</v>
      </c>
      <c r="P226">
        <f>_xll.BDP("3433 HK Equity","CHG_PCT_1M")</f>
        <v>2.2401450000000001</v>
      </c>
      <c r="Q226" t="str">
        <f>_xll.BDP("3433 HK Equity","LISTING_DATE")</f>
        <v>#N/A Field Not Applicable</v>
      </c>
      <c r="R226" t="str">
        <f>_xll.BDP("3433 HK Equity","FUND_INCEPT_DT")</f>
        <v>1/10/2024</v>
      </c>
      <c r="S226">
        <f>_xll.BDP("3433 HK Equity","AVG_DAILY_VALUE_TRADED_3M")</f>
        <v>10153740</v>
      </c>
      <c r="T226" t="str">
        <f>_xll.BDP("3433 HK Equity","PX596","PX395=HISTORICAL_MARKET_CAP","DY262=D","PY204=N","PX391=20231231","PX392=20231231","DS004=HKD")</f>
        <v>#N/A N/A</v>
      </c>
      <c r="U226">
        <f>_xll.BDP("3433 HK Equity","PX385","PX395=FUND_FLOW","DY262=D","PY204=N","PX391=20240102","PX392=20240930","DS004=HKD")</f>
        <v>120.27362989949999</v>
      </c>
      <c r="V226">
        <f>_xll.BDP("3433 HK Equity","PX596","PX395=CUR_MKT_CAP","DY262=D","PY204=N","PX391=20240101","DS004=HKD")</f>
        <v>1268.6220000000001</v>
      </c>
      <c r="W226" t="str">
        <f>_xll.BDP("3433 HK Equity","FUND_INCEPT_DT")</f>
        <v>1/10/2024</v>
      </c>
      <c r="X226">
        <f>_xll.BDP("3433 HK Equity","PX388","PX395=TURNOVER","DY262=D","PY204=N","PX391=20240502","PX392=20240606","DS004=HKD")</f>
        <v>1558913.4240000001</v>
      </c>
      <c r="Y226" t="str">
        <f>_xll.BDP("3433 HK Equity","PARENT_COMP_NAME")</f>
        <v>CSOP Asset Management Ltd/Hong</v>
      </c>
      <c r="Z226" t="str">
        <f>_xll.BDP("3433 HK Equity","NAV_CRNCY")</f>
        <v>USD</v>
      </c>
      <c r="AA226" t="str">
        <f>_xll.BDP("3433 HK Equity","FUND_GEO_FOCUS")</f>
        <v>U.S.</v>
      </c>
      <c r="AB226" t="str">
        <f>_xll.BDP("3433 HK Equity","FUND_ASSET_CLASS_FOCUS")</f>
        <v>Fixed Income</v>
      </c>
      <c r="AC226">
        <f>_xll.BDP("3433 HK Equity","PX_LAST")</f>
        <v>68.459999999999994</v>
      </c>
      <c r="AD226">
        <f>_xll.BDP("3433 HK Equity","PX388","PX395=TIME_WAVG_BID_ASK_SPREAD_PCT","DY262=D","PY204=N","PX391=20260601","PX392=20260626")</f>
        <v>7.9348815463881256E-2</v>
      </c>
      <c r="AE226">
        <f>_xll.BDP("3433 HK Equity","PX388","PX395=AVERAGE_BID_ASK_SPREAD_%","DY262=D","PY204=N","PX391=20260601","PX392=20260626")</f>
        <v>0.11157843703339913</v>
      </c>
    </row>
    <row r="227" spans="1:31" x14ac:dyDescent="0.25">
      <c r="A227" t="s">
        <v>252</v>
      </c>
      <c r="B227" t="str">
        <f>_xll.BDP("7588 HK Equity","LONG_COMP_NAME")</f>
        <v>CSOP Hang Seng China Enterprises Index Daily -2x Inverse Product</v>
      </c>
      <c r="C227">
        <f>_xll.BDP("7588 HK Equity","PX385","PX395=FUND_FLOW","DY262=D","PY204=N","PX391=20260622","PX392=20260626","DS004=USD")</f>
        <v>-4.3349335510037488</v>
      </c>
      <c r="D227">
        <f>_xll.BDP("7588 HK Equity","PX388","PX395=TURNOVER","DY262=D","PY204=N","PX391=20260601","PX392=20260626","DS004=HKD")</f>
        <v>3397998.2631578948</v>
      </c>
      <c r="E227">
        <f>_xll.BDP("7588 HK Equity","PX388","PX395=TURNOVER","DY262=D","PY204=N","PX391=20250101","PX392=20251231","DS004=HKD")</f>
        <v>6479967.1943089459</v>
      </c>
      <c r="F227">
        <f>_xll.BDP("7588 HK Equity","PX596","PX395=FUND_TOTAL_ASSETS","DY262=D","PY204=N","PX391=20260626","PX392=20260626","DS004=USD")</f>
        <v>8.511196829930757</v>
      </c>
      <c r="G227">
        <f>_xll.BDP("7588 HK Equity","PX388","PX395=CUR_MKT_CAP","DY262=D","PY204=N","PX391=20260626","PX392=20260626","DS004=HKD")</f>
        <v>66.864000000000004</v>
      </c>
      <c r="H227" t="str">
        <f>_xll.BDP("7588 HK Equity","FUND_LEVERAGE_TYPE")</f>
        <v>Short</v>
      </c>
      <c r="I227">
        <f>_xll.BDP("7588 HK Equity","PX388","PX395=TURNOVER","DY262=D","PY204=N","PX391=20260101","PX392=20260131","DS004=HKD")</f>
        <v>6412592.333333333</v>
      </c>
      <c r="J227">
        <v>-1</v>
      </c>
      <c r="K227" t="str">
        <f>_xll.BDP("7588 HK Equity","FUND_INCEPT_DT")</f>
        <v>6/25/2019</v>
      </c>
      <c r="L227" t="str">
        <f>_xll.BDP("7588 HK Equity","PX388","PX395=TURNOVER_EXCH_RATIO","DY262=D","PY204=N","PX391=20251201","PX392=20251210")</f>
        <v>#N/A N/A</v>
      </c>
      <c r="M227">
        <f>_xll.BDP("7588 HK Equity","EQY_SH_OUT")</f>
        <v>33.6</v>
      </c>
      <c r="N227">
        <f>_xll.BDP("7588 HK Equity","EQY_TRR_PCT_YTD")</f>
        <v>30.296469999999999</v>
      </c>
      <c r="O227">
        <f>_xll.BDP("7588 HK Equity","CHG_PCT_YTD")</f>
        <v>25.196850000000001</v>
      </c>
      <c r="P227">
        <f>_xll.BDP("7588 HK Equity","CHG_PCT_1M")</f>
        <v>19.54888</v>
      </c>
      <c r="Q227" t="str">
        <f>_xll.BDP("7588 HK Equity","LISTING_DATE")</f>
        <v>3/14/2017</v>
      </c>
      <c r="R227" t="str">
        <f>_xll.BDP("7588 HK Equity","FUND_INCEPT_DT")</f>
        <v>6/25/2019</v>
      </c>
      <c r="S227">
        <f>_xll.BDP("7588 HK Equity","AVG_DAILY_VALUE_TRADED_3M")</f>
        <v>5960498</v>
      </c>
      <c r="T227" t="str">
        <f>_xll.BDP("7588 HK Equity","PX596","PX395=HISTORICAL_MARKET_CAP","DY262=D","PY204=N","PX391=20231231","PX392=20231231","DS004=HKD")</f>
        <v>#N/A N/A</v>
      </c>
      <c r="U227">
        <f>_xll.BDP("7588 HK Equity","PX385","PX395=FUND_FLOW","DY262=D","PY204=N","PX391=20240102","PX392=20240930","DS004=HKD")</f>
        <v>19.177759999999992</v>
      </c>
      <c r="V227">
        <f>_xll.BDP("7588 HK Equity","PX596","PX395=CUR_MKT_CAP","DY262=D","PY204=N","PX391=20240101","DS004=HKD")</f>
        <v>54.864000000000004</v>
      </c>
      <c r="W227" t="str">
        <f>_xll.BDP("7588 HK Equity","FUND_INCEPT_DT")</f>
        <v>6/25/2019</v>
      </c>
      <c r="X227">
        <f>_xll.BDP("7588 HK Equity","PX388","PX395=TURNOVER","DY262=D","PY204=N","PX391=20240502","PX392=20240606","DS004=HKD")</f>
        <v>4807192.4000000013</v>
      </c>
      <c r="Y227" t="str">
        <f>_xll.BDP("7588 HK Equity","PARENT_COMP_NAME")</f>
        <v>CSOP Asset Management Ltd/Hong</v>
      </c>
      <c r="Z227" t="str">
        <f>_xll.BDP("7588 HK Equity","NAV_CRNCY")</f>
        <v>HKD</v>
      </c>
      <c r="AA227" t="str">
        <f>_xll.BDP("7588 HK Equity","FUND_GEO_FOCUS")</f>
        <v>China</v>
      </c>
      <c r="AB227" t="str">
        <f>_xll.BDP("7588 HK Equity","FUND_ASSET_CLASS_FOCUS")</f>
        <v>Equity</v>
      </c>
      <c r="AC227">
        <f>_xll.BDP("7588 HK Equity","PX_LAST")</f>
        <v>1.9079999999999999</v>
      </c>
      <c r="AD227">
        <f>_xll.BDP("7588 HK Equity","PX388","PX395=TIME_WAVG_BID_ASK_SPREAD_PCT","DY262=D","PY204=N","PX391=20260601","PX392=20260626")</f>
        <v>0.17230256472725733</v>
      </c>
      <c r="AE227">
        <f>_xll.BDP("7588 HK Equity","PX388","PX395=AVERAGE_BID_ASK_SPREAD_%","DY262=D","PY204=N","PX391=20260601","PX392=20260626")</f>
        <v>0.15409119863133633</v>
      </c>
    </row>
    <row r="228" spans="1:31" x14ac:dyDescent="0.25">
      <c r="A228" t="s">
        <v>253</v>
      </c>
      <c r="B228" t="str">
        <f>_xll.BDP("3032 HK Equity","LONG_COMP_NAME")</f>
        <v>Hang Seng TECH Index ETF</v>
      </c>
      <c r="C228">
        <f>_xll.BDP("3032 HK Equity","PX385","PX395=FUND_FLOW","DY262=D","PY204=N","PX391=20260622","PX392=20260626","DS004=USD")</f>
        <v>-4.378110265503798</v>
      </c>
      <c r="D228">
        <f>_xll.BDP("3032 HK Equity","PX388","PX395=TURNOVER","DY262=D","PY204=N","PX391=20260601","PX392=20260626","DS004=HKD")</f>
        <v>281630731.57894742</v>
      </c>
      <c r="E228">
        <f>_xll.BDP("3032 HK Equity","PX388","PX395=TURNOVER","DY262=D","PY204=N","PX391=20250101","PX392=20251231","DS004=HKD")</f>
        <v>169429123.7398375</v>
      </c>
      <c r="F228">
        <f>_xll.BDP("3032 HK Equity","PX596","PX395=FUND_TOTAL_ASSETS","DY262=D","PY204=N","PX391=20260626","PX392=20260626","DS004=USD")</f>
        <v>793.38294570714459</v>
      </c>
      <c r="G228">
        <f>_xll.BDP("3032 HK Equity","PX388","PX395=CUR_MKT_CAP","DY262=D","PY204=N","PX391=20260626","PX392=20260626","DS004=HKD")</f>
        <v>5514.375</v>
      </c>
      <c r="H228" t="str">
        <f>_xll.BDP("3032 HK Equity","FUND_LEVERAGE_TYPE")</f>
        <v>#N/A N/A</v>
      </c>
      <c r="I228">
        <f>_xll.BDP("3032 HK Equity","PX388","PX395=TURNOVER","DY262=D","PY204=N","PX391=20260101","PX392=20260131","DS004=HKD")</f>
        <v>241054407.61904758</v>
      </c>
      <c r="J228">
        <v>-1</v>
      </c>
      <c r="K228" t="str">
        <f>_xll.BDP("3032 HK Equity","FUND_INCEPT_DT")</f>
        <v>8/31/2020</v>
      </c>
      <c r="L228" t="str">
        <f>_xll.BDP("3032 HK Equity","PX388","PX395=TURNOVER_EXCH_RATIO","DY262=D","PY204=N","PX391=20251201","PX392=20251210")</f>
        <v>#N/A N/A</v>
      </c>
      <c r="M228">
        <f>_xll.BDP("3032 HK Equity","EQY_SH_OUT")</f>
        <v>1297.5</v>
      </c>
      <c r="N228">
        <f>_xll.BDP("3032 HK Equity","EQY_TRR_PCT_YTD")</f>
        <v>-22.620519999999999</v>
      </c>
      <c r="O228">
        <f>_xll.BDP("3032 HK Equity","CHG_PCT_YTD")</f>
        <v>-20.145849999999999</v>
      </c>
      <c r="P228">
        <f>_xll.BDP("3032 HK Equity","CHG_PCT_1M")</f>
        <v>-10.13541</v>
      </c>
      <c r="Q228" t="str">
        <f>_xll.BDP("3032 HK Equity","LISTING_DATE")</f>
        <v>9/4/2020</v>
      </c>
      <c r="R228" t="str">
        <f>_xll.BDP("3032 HK Equity","FUND_INCEPT_DT")</f>
        <v>8/31/2020</v>
      </c>
      <c r="S228">
        <f>_xll.BDP("3032 HK Equity","AVG_DAILY_VALUE_TRADED_3M")</f>
        <v>218073300</v>
      </c>
      <c r="T228" t="str">
        <f>_xll.BDP("3032 HK Equity","PX596","PX395=HISTORICAL_MARKET_CAP","DY262=D","PY204=N","PX391=20231231","PX392=20231231","DS004=HKD")</f>
        <v>#N/A N/A</v>
      </c>
      <c r="U228">
        <f>_xll.BDP("3032 HK Equity","PX385","PX395=FUND_FLOW","DY262=D","PY204=N","PX391=20240102","PX392=20240930","DS004=HKD")</f>
        <v>304.11654711864469</v>
      </c>
      <c r="V228">
        <f>_xll.BDP("3032 HK Equity","PX596","PX395=CUR_MKT_CAP","DY262=D","PY204=N","PX391=20240101","DS004=HKD")</f>
        <v>6351.63</v>
      </c>
      <c r="W228" t="str">
        <f>_xll.BDP("3032 HK Equity","FUND_INCEPT_DT")</f>
        <v>8/31/2020</v>
      </c>
      <c r="X228">
        <f>_xll.BDP("3032 HK Equity","PX388","PX395=TURNOVER","DY262=D","PY204=N","PX391=20240502","PX392=20240606","DS004=HKD")</f>
        <v>54528537.20000001</v>
      </c>
      <c r="Y228" t="str">
        <f>_xll.BDP("3032 HK Equity","PARENT_COMP_NAME")</f>
        <v>Hang Seng Investment Managemen</v>
      </c>
      <c r="Z228" t="str">
        <f>_xll.BDP("3032 HK Equity","NAV_CRNCY")</f>
        <v>HKD</v>
      </c>
      <c r="AA228" t="str">
        <f>_xll.BDP("3032 HK Equity","FUND_GEO_FOCUS")</f>
        <v>Hong Kong</v>
      </c>
      <c r="AB228" t="str">
        <f>_xll.BDP("3032 HK Equity","FUND_ASSET_CLASS_FOCUS")</f>
        <v>Equity</v>
      </c>
      <c r="AC228">
        <f>_xll.BDP("3032 HK Equity","PX_LAST")</f>
        <v>4.38</v>
      </c>
      <c r="AD228">
        <f>_xll.BDP("3032 HK Equity","PX388","PX395=TIME_WAVG_BID_ASK_SPREAD_PCT","DY262=D","PY204=N","PX391=20260601","PX392=20260626")</f>
        <v>6.2631352584836111E-2</v>
      </c>
      <c r="AE228">
        <f>_xll.BDP("3032 HK Equity","PX388","PX395=AVERAGE_BID_ASK_SPREAD_%","DY262=D","PY204=N","PX391=20260601","PX392=20260626")</f>
        <v>5.8017830537829489E-2</v>
      </c>
    </row>
    <row r="229" spans="1:31" x14ac:dyDescent="0.25">
      <c r="A229" t="s">
        <v>254</v>
      </c>
      <c r="B229" t="str">
        <f>_xll.BDP("2822 HK Equity","LONG_COMP_NAME")</f>
        <v>CSOP FTSE China A50 ETF</v>
      </c>
      <c r="C229">
        <f>_xll.BDP("2822 HK Equity","PX385","PX395=FUND_FLOW","DY262=D","PY204=N","PX391=20260622","PX392=20260626","DS004=USD")</f>
        <v>-6.1780271917965468</v>
      </c>
      <c r="D229">
        <f>_xll.BDP("2822 HK Equity","PX388","PX395=TURNOVER","DY262=D","PY204=N","PX391=20260601","PX392=20260626","DS004=HKD")</f>
        <v>51145374.210526317</v>
      </c>
      <c r="E229">
        <f>_xll.BDP("2822 HK Equity","PX388","PX395=TURNOVER","DY262=D","PY204=N","PX391=20250101","PX392=20251231","DS004=HKD")</f>
        <v>50272128.703252055</v>
      </c>
      <c r="F229">
        <f>_xll.BDP("2822 HK Equity","PX596","PX395=FUND_TOTAL_ASSETS","DY262=D","PY204=N","PX391=20260626","PX392=20260626","DS004=USD")</f>
        <v>937.82130531386042</v>
      </c>
      <c r="G229">
        <f>_xll.BDP("2822 HK Equity","PX388","PX395=CUR_MKT_CAP","DY262=D","PY204=N","PX391=20260626","PX392=20260626","DS004=HKD")</f>
        <v>7376.26</v>
      </c>
      <c r="H229" t="str">
        <f>_xll.BDP("2822 HK Equity","FUND_LEVERAGE_TYPE")</f>
        <v>#N/A N/A</v>
      </c>
      <c r="I229">
        <f>_xll.BDP("2822 HK Equity","PX388","PX395=TURNOVER","DY262=D","PY204=N","PX391=20260101","PX392=20260131","DS004=HKD")</f>
        <v>32471708.095238097</v>
      </c>
      <c r="J229">
        <v>-1</v>
      </c>
      <c r="K229" t="str">
        <f>_xll.BDP("2822 HK Equity","FUND_INCEPT_DT")</f>
        <v>11/8/2012</v>
      </c>
      <c r="L229" t="str">
        <f>_xll.BDP("2822 HK Equity","PX388","PX395=TURNOVER_EXCH_RATIO","DY262=D","PY204=N","PX391=20251201","PX392=20251210")</f>
        <v>#N/A N/A</v>
      </c>
      <c r="M229">
        <f>_xll.BDP("2822 HK Equity","EQY_SH_OUT")</f>
        <v>464.5</v>
      </c>
      <c r="N229">
        <f>_xll.BDP("2822 HK Equity","EQY_TRR_PCT_YTD")</f>
        <v>4.1624090000000002</v>
      </c>
      <c r="O229">
        <f>_xll.BDP("2822 HK Equity","CHG_PCT_YTD")</f>
        <v>6.5476200000000002</v>
      </c>
      <c r="P229">
        <f>_xll.BDP("2822 HK Equity","CHG_PCT_1M")</f>
        <v>-1.467892</v>
      </c>
      <c r="Q229" t="str">
        <f>_xll.BDP("2822 HK Equity","LISTING_DATE")</f>
        <v>11/8/2012</v>
      </c>
      <c r="R229" t="str">
        <f>_xll.BDP("2822 HK Equity","FUND_INCEPT_DT")</f>
        <v>11/8/2012</v>
      </c>
      <c r="S229">
        <f>_xll.BDP("2822 HK Equity","AVG_DAILY_VALUE_TRADED_3M")</f>
        <v>48126710</v>
      </c>
      <c r="T229" t="str">
        <f>_xll.BDP("2822 HK Equity","PX596","PX395=HISTORICAL_MARKET_CAP","DY262=D","PY204=N","PX391=20231231","PX392=20231231","DS004=HKD")</f>
        <v>#N/A N/A</v>
      </c>
      <c r="U229">
        <f>_xll.BDP("2822 HK Equity","PX385","PX395=FUND_FLOW","DY262=D","PY204=N","PX391=20240102","PX392=20240930","DS004=HKD")</f>
        <v>-446.51217000000008</v>
      </c>
      <c r="V229">
        <f>_xll.BDP("2822 HK Equity","PX596","PX395=CUR_MKT_CAP","DY262=D","PY204=N","PX391=20240101","DS004=HKD")</f>
        <v>8247.9599999999991</v>
      </c>
      <c r="W229" t="str">
        <f>_xll.BDP("2822 HK Equity","FUND_INCEPT_DT")</f>
        <v>11/8/2012</v>
      </c>
      <c r="X229">
        <f>_xll.BDP("2822 HK Equity","PX388","PX395=TURNOVER","DY262=D","PY204=N","PX391=20240502","PX392=20240606","DS004=HKD")</f>
        <v>37160528.960000001</v>
      </c>
      <c r="Y229" t="str">
        <f>_xll.BDP("2822 HK Equity","PARENT_COMP_NAME")</f>
        <v>CSOP Asset Management Ltd/Hong</v>
      </c>
      <c r="Z229" t="str">
        <f>_xll.BDP("2822 HK Equity","NAV_CRNCY")</f>
        <v>HKD</v>
      </c>
      <c r="AA229" t="str">
        <f>_xll.BDP("2822 HK Equity","FUND_GEO_FOCUS")</f>
        <v>China</v>
      </c>
      <c r="AB229" t="str">
        <f>_xll.BDP("2822 HK Equity","FUND_ASSET_CLASS_FOCUS")</f>
        <v>Equity</v>
      </c>
      <c r="AC229">
        <f>_xll.BDP("2822 HK Equity","PX_LAST")</f>
        <v>16.11</v>
      </c>
      <c r="AD229">
        <f>_xll.BDP("2822 HK Equity","PX388","PX395=TIME_WAVG_BID_ASK_SPREAD_PCT","DY262=D","PY204=N","PX391=20260601","PX392=20260626")</f>
        <v>9.5293958972840931E-2</v>
      </c>
      <c r="AE229">
        <f>_xll.BDP("2822 HK Equity","PX388","PX395=AVERAGE_BID_ASK_SPREAD_%","DY262=D","PY204=N","PX391=20260601","PX392=20260626")</f>
        <v>0.10140121464145344</v>
      </c>
    </row>
    <row r="230" spans="1:31" x14ac:dyDescent="0.25">
      <c r="A230" t="s">
        <v>255</v>
      </c>
      <c r="B230" t="str">
        <f>_xll.BDP("7300 HK Equity","LONG_COMP_NAME")</f>
        <v>CSOP Hang Seng Index Daily -1x Inverse Product</v>
      </c>
      <c r="C230">
        <f>_xll.BDP("7300 HK Equity","PX385","PX395=FUND_FLOW","DY262=D","PY204=N","PX391=20260622","PX392=20260626","DS004=USD")</f>
        <v>-6.7101803433410714</v>
      </c>
      <c r="D230">
        <f>_xll.BDP("7300 HK Equity","PX388","PX395=TURNOVER","DY262=D","PY204=N","PX391=20260601","PX392=20260626","DS004=HKD")</f>
        <v>4474514.3894736851</v>
      </c>
      <c r="E230">
        <f>_xll.BDP("7300 HK Equity","PX388","PX395=TURNOVER","DY262=D","PY204=N","PX391=20250101","PX392=20251231","DS004=HKD")</f>
        <v>6412836.3520325199</v>
      </c>
      <c r="F230">
        <f>_xll.BDP("7300 HK Equity","PX596","PX395=FUND_TOTAL_ASSETS","DY262=D","PY204=N","PX391=20260626","PX392=20260626","DS004=USD")</f>
        <v>14.970976054883256</v>
      </c>
      <c r="G230">
        <f>_xll.BDP("7300 HK Equity","PX388","PX395=CUR_MKT_CAP","DY262=D","PY204=N","PX391=20260626","PX392=20260626","DS004=HKD")</f>
        <v>117.56159999999998</v>
      </c>
      <c r="H230" t="str">
        <f>_xll.BDP("7300 HK Equity","FUND_LEVERAGE_TYPE")</f>
        <v>Short</v>
      </c>
      <c r="I230">
        <f>_xll.BDP("7300 HK Equity","PX388","PX395=TURNOVER","DY262=D","PY204=N","PX391=20260101","PX392=20260131","DS004=HKD")</f>
        <v>4755689.9571428569</v>
      </c>
      <c r="J230">
        <v>-1</v>
      </c>
      <c r="K230" t="str">
        <f>_xll.BDP("7300 HK Equity","FUND_INCEPT_DT")</f>
        <v>3/14/2017</v>
      </c>
      <c r="L230" t="str">
        <f>_xll.BDP("7300 HK Equity","PX388","PX395=TURNOVER_EXCH_RATIO","DY262=D","PY204=N","PX391=20251201","PX392=20251210")</f>
        <v>#N/A N/A</v>
      </c>
      <c r="M230">
        <f>_xll.BDP("7300 HK Equity","EQY_SH_OUT")</f>
        <v>31.2</v>
      </c>
      <c r="N230">
        <f>_xll.BDP("7300 HK Equity","EQY_TRR_PCT_YTD")</f>
        <v>9.1898330000000001</v>
      </c>
      <c r="O230">
        <f>_xll.BDP("7300 HK Equity","CHG_PCT_YTD")</f>
        <v>7.5362299999999998</v>
      </c>
      <c r="P230">
        <f>_xll.BDP("7300 HK Equity","CHG_PCT_1M")</f>
        <v>8.4795300000000005</v>
      </c>
      <c r="Q230" t="str">
        <f>_xll.BDP("7300 HK Equity","LISTING_DATE")</f>
        <v>3/14/2017</v>
      </c>
      <c r="R230" t="str">
        <f>_xll.BDP("7300 HK Equity","FUND_INCEPT_DT")</f>
        <v>3/14/2017</v>
      </c>
      <c r="S230">
        <f>_xll.BDP("7300 HK Equity","AVG_DAILY_VALUE_TRADED_3M")</f>
        <v>6366240</v>
      </c>
      <c r="T230" t="str">
        <f>_xll.BDP("7300 HK Equity","PX596","PX395=HISTORICAL_MARKET_CAP","DY262=D","PY204=N","PX391=20231231","PX392=20231231","DS004=HKD")</f>
        <v>#N/A N/A</v>
      </c>
      <c r="U230">
        <f>_xll.BDP("7300 HK Equity","PX385","PX395=FUND_FLOW","DY262=D","PY204=N","PX391=20240102","PX392=20240930","DS004=HKD")</f>
        <v>-17.161679999999997</v>
      </c>
      <c r="V230">
        <f>_xll.BDP("7300 HK Equity","PX596","PX395=CUR_MKT_CAP","DY262=D","PY204=N","PX391=20240101","DS004=HKD")</f>
        <v>135.24</v>
      </c>
      <c r="W230" t="str">
        <f>_xll.BDP("7300 HK Equity","FUND_INCEPT_DT")</f>
        <v>3/14/2017</v>
      </c>
      <c r="X230">
        <f>_xll.BDP("7300 HK Equity","PX388","PX395=TURNOVER","DY262=D","PY204=N","PX391=20240502","PX392=20240606","DS004=HKD")</f>
        <v>8404044.3600000013</v>
      </c>
      <c r="Y230" t="str">
        <f>_xll.BDP("7300 HK Equity","PARENT_COMP_NAME")</f>
        <v>CSOP Asset Management Ltd/Hong</v>
      </c>
      <c r="Z230" t="str">
        <f>_xll.BDP("7300 HK Equity","NAV_CRNCY")</f>
        <v>HKD</v>
      </c>
      <c r="AA230" t="str">
        <f>_xll.BDP("7300 HK Equity","FUND_GEO_FOCUS")</f>
        <v>Hong Kong</v>
      </c>
      <c r="AB230" t="str">
        <f>_xll.BDP("7300 HK Equity","FUND_ASSET_CLASS_FOCUS")</f>
        <v>Equity</v>
      </c>
      <c r="AC230">
        <f>_xll.BDP("7300 HK Equity","PX_LAST")</f>
        <v>3.71</v>
      </c>
      <c r="AD230">
        <f>_xll.BDP("7300 HK Equity","PX388","PX395=TIME_WAVG_BID_ASK_SPREAD_PCT","DY262=D","PY204=N","PX391=20260601","PX392=20260626")</f>
        <v>7.8104873624719309E-2</v>
      </c>
      <c r="AE230">
        <f>_xll.BDP("7300 HK Equity","PX388","PX395=AVERAGE_BID_ASK_SPREAD_%","DY262=D","PY204=N","PX391=20260601","PX392=20260626")</f>
        <v>6.8948160834192668E-2</v>
      </c>
    </row>
    <row r="231" spans="1:31" x14ac:dyDescent="0.25">
      <c r="A231" t="s">
        <v>256</v>
      </c>
      <c r="B231" t="str">
        <f>_xll.BDP("3040 HK Equity","LONG_COMP_NAME")</f>
        <v>Global X MSCI China</v>
      </c>
      <c r="C231">
        <f>_xll.BDP("3040 HK Equity","PX385","PX395=FUND_FLOW","DY262=D","PY204=N","PX391=20260622","PX392=20260626","DS004=USD")</f>
        <v>-6.7573742888486352</v>
      </c>
      <c r="D231">
        <f>_xll.BDP("3040 HK Equity","PX388","PX395=TURNOVER","DY262=D","PY204=N","PX391=20260601","PX392=20260626","DS004=HKD")</f>
        <v>472467.51624999993</v>
      </c>
      <c r="E231">
        <f>_xll.BDP("3040 HK Equity","PX388","PX395=TURNOVER","DY262=D","PY204=N","PX391=20250101","PX392=20251231","DS004=HKD")</f>
        <v>2080593.203862661</v>
      </c>
      <c r="F231">
        <f>_xll.BDP("3040 HK Equity","PX596","PX395=FUND_TOTAL_ASSETS","DY262=D","PY204=N","PX391=20260626","PX392=20260626","DS004=USD")</f>
        <v>50.938559306818313</v>
      </c>
      <c r="G231">
        <f>_xll.BDP("3040 HK Equity","PX388","PX395=CUR_MKT_CAP","DY262=D","PY204=N","PX391=20260626","PX392=20260626","DS004=HKD")</f>
        <v>398.33600000000001</v>
      </c>
      <c r="H231" t="str">
        <f>_xll.BDP("3040 HK Equity","FUND_LEVERAGE_TYPE")</f>
        <v>#N/A N/A</v>
      </c>
      <c r="I231">
        <f>_xll.BDP("3040 HK Equity","PX388","PX395=TURNOVER","DY262=D","PY204=N","PX391=20260101","PX392=20260131","DS004=HKD")</f>
        <v>324403.52380952373</v>
      </c>
      <c r="J231">
        <v>-1</v>
      </c>
      <c r="K231" t="str">
        <f>_xll.BDP("3040 HK Equity","FUND_INCEPT_DT")</f>
        <v>6/17/2013</v>
      </c>
      <c r="L231" t="str">
        <f>_xll.BDP("3040 HK Equity","PX388","PX395=TURNOVER_EXCH_RATIO","DY262=D","PY204=N","PX391=20251201","PX392=20251210")</f>
        <v>#N/A N/A</v>
      </c>
      <c r="M231">
        <f>_xll.BDP("3040 HK Equity","EQY_SH_OUT")</f>
        <v>12.799999999999999</v>
      </c>
      <c r="N231">
        <f>_xll.BDP("3040 HK Equity","EQY_TRR_PCT_YTD")</f>
        <v>-14.1272</v>
      </c>
      <c r="O231">
        <f>_xll.BDP("3040 HK Equity","CHG_PCT_YTD")</f>
        <v>-14.531750000000001</v>
      </c>
      <c r="P231">
        <f>_xll.BDP("3040 HK Equity","CHG_PCT_1M")</f>
        <v>-7.3512219999999999</v>
      </c>
      <c r="Q231" t="str">
        <f>_xll.BDP("3040 HK Equity","LISTING_DATE")</f>
        <v>6/17/2013</v>
      </c>
      <c r="R231" t="str">
        <f>_xll.BDP("3040 HK Equity","FUND_INCEPT_DT")</f>
        <v>6/17/2013</v>
      </c>
      <c r="S231">
        <f>_xll.BDP("3040 HK Equity","AVG_DAILY_VALUE_TRADED_3M")</f>
        <v>347836.3</v>
      </c>
      <c r="T231" t="str">
        <f>_xll.BDP("3040 HK Equity","PX596","PX395=HISTORICAL_MARKET_CAP","DY262=D","PY204=N","PX391=20231231","PX392=20231231","DS004=HKD")</f>
        <v>#N/A N/A</v>
      </c>
      <c r="U231">
        <f>_xll.BDP("3040 HK Equity","PX385","PX395=FUND_FLOW","DY262=D","PY204=N","PX391=20240102","PX392=20240930","DS004=HKD")</f>
        <v>3316.1197199999983</v>
      </c>
      <c r="V231">
        <f>_xll.BDP("3040 HK Equity","PX596","PX395=CUR_MKT_CAP","DY262=D","PY204=N","PX391=20240101","DS004=HKD")</f>
        <v>1226.28</v>
      </c>
      <c r="W231" t="str">
        <f>_xll.BDP("3040 HK Equity","FUND_INCEPT_DT")</f>
        <v>6/17/2013</v>
      </c>
      <c r="X231">
        <f>_xll.BDP("3040 HK Equity","PX388","PX395=TURNOVER","DY262=D","PY204=N","PX391=20240502","PX392=20240606","DS004=HKD")</f>
        <v>119334.36363636362</v>
      </c>
      <c r="Y231" t="str">
        <f>_xll.BDP("3040 HK Equity","PARENT_COMP_NAME")</f>
        <v>Mirae Asset Global Investments</v>
      </c>
      <c r="Z231" t="str">
        <f>_xll.BDP("3040 HK Equity","NAV_CRNCY")</f>
        <v>HKD</v>
      </c>
      <c r="AA231" t="str">
        <f>_xll.BDP("3040 HK Equity","FUND_GEO_FOCUS")</f>
        <v>China</v>
      </c>
      <c r="AB231" t="str">
        <f>_xll.BDP("3040 HK Equity","FUND_ASSET_CLASS_FOCUS")</f>
        <v>Equity</v>
      </c>
      <c r="AC231">
        <f>_xll.BDP("3040 HK Equity","PX_LAST")</f>
        <v>31.76</v>
      </c>
      <c r="AD231">
        <f>_xll.BDP("3040 HK Equity","PX388","PX395=TIME_WAVG_BID_ASK_SPREAD_PCT","DY262=D","PY204=N","PX391=20260601","PX392=20260626")</f>
        <v>0.38235468133717471</v>
      </c>
      <c r="AE231">
        <f>_xll.BDP("3040 HK Equity","PX388","PX395=AVERAGE_BID_ASK_SPREAD_%","DY262=D","PY204=N","PX391=20260601","PX392=20260626")</f>
        <v>0.43539686318360071</v>
      </c>
    </row>
    <row r="232" spans="1:31" x14ac:dyDescent="0.25">
      <c r="A232" t="s">
        <v>257</v>
      </c>
      <c r="B232" t="str">
        <f>_xll.BDP("3171 HK Equity","LONG_COMP_NAME")</f>
        <v>Samsung Blockchain Technologies ETF</v>
      </c>
      <c r="C232">
        <f>_xll.BDP("3171 HK Equity","PX385","PX395=FUND_FLOW","DY262=D","PY204=N","PX391=20260622","PX392=20260626","DS004=USD")</f>
        <v>-10.648002066168404</v>
      </c>
      <c r="D232">
        <f>_xll.BDP("3171 HK Equity","PX388","PX395=TURNOVER","DY262=D","PY204=N","PX391=20260601","PX392=20260626","DS004=HKD")</f>
        <v>231405.875</v>
      </c>
      <c r="E232">
        <f>_xll.BDP("3171 HK Equity","PX388","PX395=TURNOVER","DY262=D","PY204=N","PX391=20250101","PX392=20251231","DS004=HKD")</f>
        <v>185302.54807692312</v>
      </c>
      <c r="F232">
        <f>_xll.BDP("3171 HK Equity","PX596","PX395=FUND_TOTAL_ASSETS","DY262=D","PY204=N","PX391=20260626","PX392=20260626","DS004=USD")</f>
        <v>11.663586889999999</v>
      </c>
      <c r="G232">
        <f>_xll.BDP("3171 HK Equity","PX388","PX395=CUR_MKT_CAP","DY262=D","PY204=N","PX391=20260626","PX392=20260626","DS004=HKD")</f>
        <v>90.070290000000014</v>
      </c>
      <c r="H232" t="str">
        <f>_xll.BDP("3171 HK Equity","FUND_LEVERAGE_TYPE")</f>
        <v>#N/A N/A</v>
      </c>
      <c r="I232">
        <f>_xll.BDP("3171 HK Equity","PX388","PX395=TURNOVER","DY262=D","PY204=N","PX391=20260101","PX392=20260131","DS004=HKD")</f>
        <v>198158.07142857142</v>
      </c>
      <c r="J232">
        <v>-1</v>
      </c>
      <c r="K232" t="str">
        <f>_xll.BDP("3171 HK Equity","FUND_INCEPT_DT")</f>
        <v>6/23/2022</v>
      </c>
      <c r="L232" t="str">
        <f>_xll.BDP("3171 HK Equity","PX388","PX395=TURNOVER_EXCH_RATIO","DY262=D","PY204=N","PX391=20251201","PX392=20251210")</f>
        <v>#N/A N/A</v>
      </c>
      <c r="M232">
        <f>_xll.BDP("3171 HK Equity","EQY_SH_OUT")</f>
        <v>1.9286999999999999</v>
      </c>
      <c r="N232">
        <f>_xll.BDP("3171 HK Equity","EQY_TRR_PCT_YTD")</f>
        <v>10.814959999999999</v>
      </c>
      <c r="O232">
        <f>_xll.BDP("3171 HK Equity","CHG_PCT_YTD")</f>
        <v>11.235429999999999</v>
      </c>
      <c r="P232">
        <f>_xll.BDP("3171 HK Equity","CHG_PCT_1M")</f>
        <v>-5.7289589999999997</v>
      </c>
      <c r="Q232" t="str">
        <f>_xll.BDP("3171 HK Equity","LISTING_DATE")</f>
        <v>6/23/2022</v>
      </c>
      <c r="R232" t="str">
        <f>_xll.BDP("3171 HK Equity","FUND_INCEPT_DT")</f>
        <v>6/23/2022</v>
      </c>
      <c r="S232">
        <f>_xll.BDP("3171 HK Equity","AVG_DAILY_VALUE_TRADED_3M")</f>
        <v>114974.9</v>
      </c>
      <c r="T232" t="str">
        <f>_xll.BDP("3171 HK Equity","PX596","PX395=HISTORICAL_MARKET_CAP","DY262=D","PY204=N","PX391=20231231","PX392=20231231","DS004=HKD")</f>
        <v>#N/A N/A</v>
      </c>
      <c r="U232">
        <f>_xll.BDP("3171 HK Equity","PX385","PX395=FUND_FLOW","DY262=D","PY204=N","PX391=20240102","PX392=20240930","DS004=HKD")</f>
        <v>-5.3107650000000151</v>
      </c>
      <c r="V232">
        <f>_xll.BDP("3171 HK Equity","PX596","PX395=CUR_MKT_CAP","DY262=D","PY204=N","PX391=20240101","DS004=HKD")</f>
        <v>159.96123</v>
      </c>
      <c r="W232" t="str">
        <f>_xll.BDP("3171 HK Equity","FUND_INCEPT_DT")</f>
        <v>6/23/2022</v>
      </c>
      <c r="X232">
        <f>_xll.BDP("3171 HK Equity","PX388","PX395=TURNOVER","DY262=D","PY204=N","PX391=20240502","PX392=20240606","DS004=HKD")</f>
        <v>879942</v>
      </c>
      <c r="Y232" t="str">
        <f>_xll.BDP("3171 HK Equity","PARENT_COMP_NAME")</f>
        <v>Samsung Asset Management Hong</v>
      </c>
      <c r="Z232" t="str">
        <f>_xll.BDP("3171 HK Equity","NAV_CRNCY")</f>
        <v>HKD</v>
      </c>
      <c r="AA232" t="str">
        <f>_xll.BDP("3171 HK Equity","FUND_GEO_FOCUS")</f>
        <v>Global</v>
      </c>
      <c r="AB232" t="str">
        <f>_xll.BDP("3171 HK Equity","FUND_ASSET_CLASS_FOCUS")</f>
        <v>Equity</v>
      </c>
      <c r="AC232">
        <f>_xll.BDP("3171 HK Equity","PX_LAST")</f>
        <v>47.72</v>
      </c>
      <c r="AD232">
        <f>_xll.BDP("3171 HK Equity","PX388","PX395=TIME_WAVG_BID_ASK_SPREAD_PCT","DY262=D","PY204=N","PX391=20260601","PX392=20260626")</f>
        <v>0.59932811574975398</v>
      </c>
      <c r="AE232">
        <f>_xll.BDP("3171 HK Equity","PX388","PX395=AVERAGE_BID_ASK_SPREAD_%","DY262=D","PY204=N","PX391=20260601","PX392=20260626")</f>
        <v>0.64359105471789124</v>
      </c>
    </row>
    <row r="233" spans="1:31" x14ac:dyDescent="0.25">
      <c r="A233" t="s">
        <v>258</v>
      </c>
      <c r="B233" t="str">
        <f>_xll.BDP("2803 HK Equity","LONG_COMP_NAME")</f>
        <v>Premia CSI Caixin China Bedrock Economy ETF</v>
      </c>
      <c r="C233">
        <f>_xll.BDP("2803 HK Equity","PX385","PX395=FUND_FLOW","DY262=D","PY204=N","PX391=20260622","PX392=20260626","DS004=USD")</f>
        <v>-13.373177842565598</v>
      </c>
      <c r="D233">
        <f>_xll.BDP("2803 HK Equity","PX388","PX395=TURNOVER","DY262=D","PY204=N","PX391=20260601","PX392=20260626","DS004=HKD")</f>
        <v>408769.15791666671</v>
      </c>
      <c r="E233">
        <f>_xll.BDP("2803 HK Equity","PX388","PX395=TURNOVER","DY262=D","PY204=N","PX391=20250101","PX392=20251231","DS004=HKD")</f>
        <v>103066.97954545452</v>
      </c>
      <c r="F233">
        <f>_xll.BDP("2803 HK Equity","PX596","PX395=FUND_TOTAL_ASSETS","DY262=D","PY204=N","PX391=20260626","PX392=20260626","DS004=USD")</f>
        <v>30.238690406224258</v>
      </c>
      <c r="G233">
        <f>_xll.BDP("2803 HK Equity","PX388","PX395=CUR_MKT_CAP","DY262=D","PY204=N","PX391=20260626","PX392=20260626","DS004=HKD")</f>
        <v>236.85999999999999</v>
      </c>
      <c r="H233" t="str">
        <f>_xll.BDP("2803 HK Equity","FUND_LEVERAGE_TYPE")</f>
        <v>#N/A N/A</v>
      </c>
      <c r="I233">
        <f>_xll.BDP("2803 HK Equity","PX388","PX395=TURNOVER","DY262=D","PY204=N","PX391=20260101","PX392=20260131","DS004=HKD")</f>
        <v>44271.25</v>
      </c>
      <c r="J233">
        <v>-1</v>
      </c>
      <c r="K233" t="str">
        <f>_xll.BDP("2803 HK Equity","FUND_INCEPT_DT")</f>
        <v>10/20/2017</v>
      </c>
      <c r="L233" t="str">
        <f>_xll.BDP("2803 HK Equity","PX388","PX395=TURNOVER_EXCH_RATIO","DY262=D","PY204=N","PX391=20251201","PX392=20251210")</f>
        <v>#N/A N/A</v>
      </c>
      <c r="M233">
        <f>_xll.BDP("2803 HK Equity","EQY_SH_OUT")</f>
        <v>26</v>
      </c>
      <c r="N233">
        <f>_xll.BDP("2803 HK Equity","EQY_TRR_PCT_YTD")</f>
        <v>-9.4036779999999993</v>
      </c>
      <c r="O233">
        <f>_xll.BDP("2803 HK Equity","CHG_PCT_YTD")</f>
        <v>-5.0051560000000004</v>
      </c>
      <c r="P233">
        <f>_xll.BDP("2803 HK Equity","CHG_PCT_1M")</f>
        <v>-7.95</v>
      </c>
      <c r="Q233" t="str">
        <f>_xll.BDP("2803 HK Equity","LISTING_DATE")</f>
        <v>10/24/2017</v>
      </c>
      <c r="R233" t="str">
        <f>_xll.BDP("2803 HK Equity","FUND_INCEPT_DT")</f>
        <v>10/20/2017</v>
      </c>
      <c r="S233">
        <f>_xll.BDP("2803 HK Equity","AVG_DAILY_VALUE_TRADED_3M")</f>
        <v>157781.6</v>
      </c>
      <c r="T233" t="str">
        <f>_xll.BDP("2803 HK Equity","PX596","PX395=HISTORICAL_MARKET_CAP","DY262=D","PY204=N","PX391=20231231","PX392=20231231","DS004=HKD")</f>
        <v>#N/A N/A</v>
      </c>
      <c r="U233">
        <f>_xll.BDP("2803 HK Equity","PX385","PX395=FUND_FLOW","DY262=D","PY204=N","PX391=20240102","PX392=20240930","DS004=HKD")</f>
        <v>90.330907085413003</v>
      </c>
      <c r="V233">
        <f>_xll.BDP("2803 HK Equity","PX596","PX395=CUR_MKT_CAP","DY262=D","PY204=N","PX391=20240101","DS004=HKD")</f>
        <v>358.53</v>
      </c>
      <c r="W233" t="str">
        <f>_xll.BDP("2803 HK Equity","FUND_INCEPT_DT")</f>
        <v>10/20/2017</v>
      </c>
      <c r="X233">
        <f>_xll.BDP("2803 HK Equity","PX388","PX395=TURNOVER","DY262=D","PY204=N","PX391=20240502","PX392=20240606","DS004=HKD")</f>
        <v>258874</v>
      </c>
      <c r="Y233" t="str">
        <f>_xll.BDP("2803 HK Equity","PARENT_COMP_NAME")</f>
        <v>Premia Partners Co Ltd/Hong Ko</v>
      </c>
      <c r="Z233" t="str">
        <f>_xll.BDP("2803 HK Equity","NAV_CRNCY")</f>
        <v>CNY</v>
      </c>
      <c r="AA233" t="str">
        <f>_xll.BDP("2803 HK Equity","FUND_GEO_FOCUS")</f>
        <v>China</v>
      </c>
      <c r="AB233" t="str">
        <f>_xll.BDP("2803 HK Equity","FUND_ASSET_CLASS_FOCUS")</f>
        <v>Equity</v>
      </c>
      <c r="AC233">
        <f>_xll.BDP("2803 HK Equity","PX_LAST")</f>
        <v>9.2050000000000001</v>
      </c>
      <c r="AD233">
        <f>_xll.BDP("2803 HK Equity","PX388","PX395=TIME_WAVG_BID_ASK_SPREAD_PCT","DY262=D","PY204=N","PX391=20260601","PX392=20260626")</f>
        <v>0.35133798713325171</v>
      </c>
      <c r="AE233">
        <f>_xll.BDP("2803 HK Equity","PX388","PX395=AVERAGE_BID_ASK_SPREAD_%","DY262=D","PY204=N","PX391=20260601","PX392=20260626")</f>
        <v>0.41948252116617468</v>
      </c>
    </row>
    <row r="234" spans="1:31" x14ac:dyDescent="0.25">
      <c r="A234" t="s">
        <v>259</v>
      </c>
      <c r="B234" t="str">
        <f>_xll.BDP("2846 HK Equity","LONG_COMP_NAME")</f>
        <v>iShares Core CSI 300 ETF</v>
      </c>
      <c r="C234">
        <f>_xll.BDP("2846 HK Equity","PX385","PX395=FUND_FLOW","DY262=D","PY204=N","PX391=20260622","PX392=20260626","DS004=USD")</f>
        <v>-26.167908068260079</v>
      </c>
      <c r="D234">
        <f>_xll.BDP("2846 HK Equity","PX388","PX395=TURNOVER","DY262=D","PY204=N","PX391=20260601","PX392=20260626","DS004=HKD")</f>
        <v>4036111.3421052638</v>
      </c>
      <c r="E234">
        <f>_xll.BDP("2846 HK Equity","PX388","PX395=TURNOVER","DY262=D","PY204=N","PX391=20250101","PX392=20251231","DS004=HKD")</f>
        <v>13203406.188211381</v>
      </c>
      <c r="F234">
        <f>_xll.BDP("2846 HK Equity","PX596","PX395=FUND_TOTAL_ASSETS","DY262=D","PY204=N","PX391=20260626","PX392=20260626","DS004=USD")</f>
        <v>1035.9368213981056</v>
      </c>
      <c r="G234">
        <f>_xll.BDP("2846 HK Equity","PX388","PX395=CUR_MKT_CAP","DY262=D","PY204=N","PX391=20260626","PX392=20260626","DS004=HKD")</f>
        <v>8123.4400000000005</v>
      </c>
      <c r="H234" t="str">
        <f>_xll.BDP("2846 HK Equity","FUND_LEVERAGE_TYPE")</f>
        <v>#N/A N/A</v>
      </c>
      <c r="I234">
        <f>_xll.BDP("2846 HK Equity","PX388","PX395=TURNOVER","DY262=D","PY204=N","PX391=20260101","PX392=20260131","DS004=HKD")</f>
        <v>5644757.2380952379</v>
      </c>
      <c r="J234">
        <v>-1</v>
      </c>
      <c r="K234" t="str">
        <f>_xll.BDP("2846 HK Equity","FUND_INCEPT_DT")</f>
        <v>11/12/2009</v>
      </c>
      <c r="L234" t="str">
        <f>_xll.BDP("2846 HK Equity","PX388","PX395=TURNOVER_EXCH_RATIO","DY262=D","PY204=N","PX391=20251201","PX392=20251210")</f>
        <v>#N/A N/A</v>
      </c>
      <c r="M234">
        <f>_xll.BDP("2846 HK Equity","EQY_SH_OUT")</f>
        <v>214</v>
      </c>
      <c r="N234">
        <f>_xll.BDP("2846 HK Equity","EQY_TRR_PCT_YTD")</f>
        <v>12.76337</v>
      </c>
      <c r="O234">
        <f>_xll.BDP("2846 HK Equity","CHG_PCT_YTD")</f>
        <v>10.720459999999999</v>
      </c>
      <c r="P234">
        <f>_xll.BDP("2846 HK Equity","CHG_PCT_1M")</f>
        <v>0.73413899999999999</v>
      </c>
      <c r="Q234" t="str">
        <f>_xll.BDP("2846 HK Equity","LISTING_DATE")</f>
        <v>11/18/2009</v>
      </c>
      <c r="R234" t="str">
        <f>_xll.BDP("2846 HK Equity","FUND_INCEPT_DT")</f>
        <v>11/12/2009</v>
      </c>
      <c r="S234">
        <f>_xll.BDP("2846 HK Equity","AVG_DAILY_VALUE_TRADED_3M")</f>
        <v>4425078</v>
      </c>
      <c r="T234" t="str">
        <f>_xll.BDP("2846 HK Equity","PX596","PX395=HISTORICAL_MARKET_CAP","DY262=D","PY204=N","PX391=20231231","PX392=20231231","DS004=HKD")</f>
        <v>#N/A N/A</v>
      </c>
      <c r="U234">
        <f>_xll.BDP("2846 HK Equity","PX385","PX395=FUND_FLOW","DY262=D","PY204=N","PX391=20240102","PX392=20240930","DS004=HKD")</f>
        <v>4649.1931499999982</v>
      </c>
      <c r="V234">
        <f>_xll.BDP("2846 HK Equity","PX596","PX395=CUR_MKT_CAP","DY262=D","PY204=N","PX391=20240101","DS004=HKD")</f>
        <v>8675</v>
      </c>
      <c r="W234" t="str">
        <f>_xll.BDP("2846 HK Equity","FUND_INCEPT_DT")</f>
        <v>11/12/2009</v>
      </c>
      <c r="X234">
        <f>_xll.BDP("2846 HK Equity","PX388","PX395=TURNOVER","DY262=D","PY204=N","PX391=20240502","PX392=20240606","DS004=HKD")</f>
        <v>6162567.1199999973</v>
      </c>
      <c r="Y234" t="str">
        <f>_xll.BDP("2846 HK Equity","PARENT_COMP_NAME")</f>
        <v>iShares ETFs/Hong Kong</v>
      </c>
      <c r="Z234" t="str">
        <f>_xll.BDP("2846 HK Equity","NAV_CRNCY")</f>
        <v>HKD</v>
      </c>
      <c r="AA234" t="str">
        <f>_xll.BDP("2846 HK Equity","FUND_GEO_FOCUS")</f>
        <v>China</v>
      </c>
      <c r="AB234" t="str">
        <f>_xll.BDP("2846 HK Equity","FUND_ASSET_CLASS_FOCUS")</f>
        <v>Equity</v>
      </c>
      <c r="AC234">
        <f>_xll.BDP("2846 HK Equity","PX_LAST")</f>
        <v>38.42</v>
      </c>
      <c r="AD234">
        <f>_xll.BDP("2846 HK Equity","PX388","PX395=TIME_WAVG_BID_ASK_SPREAD_PCT","DY262=D","PY204=N","PX391=20260601","PX392=20260626")</f>
        <v>0.15916107395290224</v>
      </c>
      <c r="AE234">
        <f>_xll.BDP("2846 HK Equity","PX388","PX395=AVERAGE_BID_ASK_SPREAD_%","DY262=D","PY204=N","PX391=20260601","PX392=20260626")</f>
        <v>0.20792806619925203</v>
      </c>
    </row>
    <row r="235" spans="1:31" x14ac:dyDescent="0.25">
      <c r="A235" t="s">
        <v>260</v>
      </c>
      <c r="B235" t="str">
        <f>_xll.BDP("2823 HK Equity","LONG_COMP_NAME")</f>
        <v>iShares FTSE China A50 ETF</v>
      </c>
      <c r="C235">
        <f>_xll.BDP("2823 HK Equity","PX385","PX395=FUND_FLOW","DY262=D","PY204=N","PX391=20260622","PX392=20260626","DS004=USD")</f>
        <v>-30.551995001338927</v>
      </c>
      <c r="D235">
        <f>_xll.BDP("2823 HK Equity","PX388","PX395=TURNOVER","DY262=D","PY204=N","PX391=20260601","PX392=20260626","DS004=HKD")</f>
        <v>81075641.052631587</v>
      </c>
      <c r="E235">
        <f>_xll.BDP("2823 HK Equity","PX388","PX395=TURNOVER","DY262=D","PY204=N","PX391=20250101","PX392=20251231","DS004=HKD")</f>
        <v>104807228.73170732</v>
      </c>
      <c r="F235">
        <f>_xll.BDP("2823 HK Equity","PX596","PX395=FUND_TOTAL_ASSETS","DY262=D","PY204=N","PX391=20260626","PX392=20260626","DS004=USD")</f>
        <v>1930.2864076611952</v>
      </c>
      <c r="G235">
        <f>_xll.BDP("2823 HK Equity","PX388","PX395=CUR_MKT_CAP","DY262=D","PY204=N","PX391=20260626","PX392=20260626","DS004=HKD")</f>
        <v>15400.699999999999</v>
      </c>
      <c r="H235" t="str">
        <f>_xll.BDP("2823 HK Equity","FUND_LEVERAGE_TYPE")</f>
        <v>#N/A N/A</v>
      </c>
      <c r="I235">
        <f>_xll.BDP("2823 HK Equity","PX388","PX395=TURNOVER","DY262=D","PY204=N","PX391=20260101","PX392=20260131","DS004=HKD")</f>
        <v>79329390.476190493</v>
      </c>
      <c r="J235">
        <v>-1</v>
      </c>
      <c r="K235" t="str">
        <f>_xll.BDP("2823 HK Equity","FUND_INCEPT_DT")</f>
        <v>11/15/2004</v>
      </c>
      <c r="L235" t="str">
        <f>_xll.BDP("2823 HK Equity","PX388","PX395=TURNOVER_EXCH_RATIO","DY262=D","PY204=N","PX391=20251201","PX392=20251210")</f>
        <v>#N/A N/A</v>
      </c>
      <c r="M235">
        <f>_xll.BDP("2823 HK Equity","EQY_SH_OUT")</f>
        <v>884</v>
      </c>
      <c r="N235">
        <f>_xll.BDP("2823 HK Equity","EQY_TRR_PCT_YTD")</f>
        <v>7.8346859999999996</v>
      </c>
      <c r="O235">
        <f>_xll.BDP("2823 HK Equity","CHG_PCT_YTD")</f>
        <v>6.3530790000000001</v>
      </c>
      <c r="P235">
        <f>_xll.BDP("2823 HK Equity","CHG_PCT_1M")</f>
        <v>-1.638422</v>
      </c>
      <c r="Q235" t="str">
        <f>_xll.BDP("2823 HK Equity","LISTING_DATE")</f>
        <v>11/18/2004</v>
      </c>
      <c r="R235" t="str">
        <f>_xll.BDP("2823 HK Equity","FUND_INCEPT_DT")</f>
        <v>11/15/2004</v>
      </c>
      <c r="S235">
        <f>_xll.BDP("2823 HK Equity","AVG_DAILY_VALUE_TRADED_3M")</f>
        <v>75226250</v>
      </c>
      <c r="T235" t="str">
        <f>_xll.BDP("2823 HK Equity","PX596","PX395=HISTORICAL_MARKET_CAP","DY262=D","PY204=N","PX391=20231231","PX392=20231231","DS004=HKD")</f>
        <v>#N/A N/A</v>
      </c>
      <c r="U235">
        <f>_xll.BDP("2823 HK Equity","PX385","PX395=FUND_FLOW","DY262=D","PY204=N","PX391=20240102","PX392=20240930","DS004=HKD")</f>
        <v>2915.7885999999912</v>
      </c>
      <c r="V235">
        <f>_xll.BDP("2823 HK Equity","PX596","PX395=CUR_MKT_CAP","DY262=D","PY204=N","PX391=20240101","DS004=HKD")</f>
        <v>18498.100000000002</v>
      </c>
      <c r="W235" t="str">
        <f>_xll.BDP("2823 HK Equity","FUND_INCEPT_DT")</f>
        <v>11/15/2004</v>
      </c>
      <c r="X235">
        <f>_xll.BDP("2823 HK Equity","PX388","PX395=TURNOVER","DY262=D","PY204=N","PX391=20240502","PX392=20240606","DS004=HKD")</f>
        <v>74250910.799999997</v>
      </c>
      <c r="Y235" t="str">
        <f>_xll.BDP("2823 HK Equity","PARENT_COMP_NAME")</f>
        <v>iShares ETFs/Hong Kong</v>
      </c>
      <c r="Z235" t="str">
        <f>_xll.BDP("2823 HK Equity","NAV_CRNCY")</f>
        <v>HKD</v>
      </c>
      <c r="AA235" t="str">
        <f>_xll.BDP("2823 HK Equity","FUND_GEO_FOCUS")</f>
        <v>China</v>
      </c>
      <c r="AB235" t="str">
        <f>_xll.BDP("2823 HK Equity","FUND_ASSET_CLASS_FOCUS")</f>
        <v>Equity</v>
      </c>
      <c r="AC235">
        <f>_xll.BDP("2823 HK Equity","PX_LAST")</f>
        <v>17.41</v>
      </c>
      <c r="AD235">
        <f>_xll.BDP("2823 HK Equity","PX388","PX395=TIME_WAVG_BID_ASK_SPREAD_PCT","DY262=D","PY204=N","PX391=20260601","PX392=20260626")</f>
        <v>8.6329132329613131E-2</v>
      </c>
      <c r="AE235">
        <f>_xll.BDP("2823 HK Equity","PX388","PX395=AVERAGE_BID_ASK_SPREAD_%","DY262=D","PY204=N","PX391=20260601","PX392=20260626")</f>
        <v>9.6283482166907866E-2</v>
      </c>
    </row>
    <row r="236" spans="1:31" x14ac:dyDescent="0.25">
      <c r="A236" t="s">
        <v>261</v>
      </c>
      <c r="B236" t="str">
        <f>_xll.BDP("7500 HK Equity","LONG_COMP_NAME")</f>
        <v>CSOP Hang Seng Index Daily -2x Inverse Product</v>
      </c>
      <c r="C236">
        <f>_xll.BDP("7500 HK Equity","PX385","PX395=FUND_FLOW","DY262=D","PY204=N","PX391=20260622","PX392=20260626","DS004=USD")</f>
        <v>-58.755022383325588</v>
      </c>
      <c r="D236">
        <f>_xll.BDP("7500 HK Equity","PX388","PX395=TURNOVER","DY262=D","PY204=N","PX391=20260601","PX392=20260626","DS004=HKD")</f>
        <v>314501936.84210521</v>
      </c>
      <c r="E236">
        <f>_xll.BDP("7500 HK Equity","PX388","PX395=TURNOVER","DY262=D","PY204=N","PX391=20250101","PX392=20251231","DS004=HKD")</f>
        <v>402676609.34959352</v>
      </c>
      <c r="F236">
        <f>_xll.BDP("7500 HK Equity","PX596","PX395=FUND_TOTAL_ASSETS","DY262=D","PY204=N","PX391=20260626","PX392=20260626","DS004=USD")</f>
        <v>397.50966680225957</v>
      </c>
      <c r="G236">
        <f>_xll.BDP("7500 HK Equity","PX388","PX395=CUR_MKT_CAP","DY262=D","PY204=N","PX391=20260626","PX392=20260626","DS004=HKD")</f>
        <v>3122.4383999999995</v>
      </c>
      <c r="H236" t="str">
        <f>_xll.BDP("7500 HK Equity","FUND_LEVERAGE_TYPE")</f>
        <v>Short</v>
      </c>
      <c r="I236">
        <f>_xll.BDP("7500 HK Equity","PX388","PX395=TURNOVER","DY262=D","PY204=N","PX391=20260101","PX392=20260131","DS004=HKD")</f>
        <v>319215595.23809528</v>
      </c>
      <c r="J236">
        <v>-1</v>
      </c>
      <c r="K236" t="str">
        <f>_xll.BDP("7500 HK Equity","FUND_INCEPT_DT")</f>
        <v>5/28/2019</v>
      </c>
      <c r="L236" t="str">
        <f>_xll.BDP("7500 HK Equity","PX388","PX395=TURNOVER_EXCH_RATIO","DY262=D","PY204=N","PX391=20251201","PX392=20251210")</f>
        <v>#N/A N/A</v>
      </c>
      <c r="M236">
        <f>_xll.BDP("7500 HK Equity","EQY_SH_OUT")</f>
        <v>1449.6</v>
      </c>
      <c r="N236">
        <f>_xll.BDP("7500 HK Equity","EQY_TRR_PCT_YTD")</f>
        <v>16.824210000000001</v>
      </c>
      <c r="O236">
        <f>_xll.BDP("7500 HK Equity","CHG_PCT_YTD")</f>
        <v>13.478260000000001</v>
      </c>
      <c r="P236">
        <f>_xll.BDP("7500 HK Equity","CHG_PCT_1M")</f>
        <v>16.909289999999999</v>
      </c>
      <c r="Q236" t="str">
        <f>_xll.BDP("7500 HK Equity","LISTING_DATE")</f>
        <v>5/28/2019</v>
      </c>
      <c r="R236" t="str">
        <f>_xll.BDP("7500 HK Equity","FUND_INCEPT_DT")</f>
        <v>5/28/2019</v>
      </c>
      <c r="S236">
        <f>_xll.BDP("7500 HK Equity","AVG_DAILY_VALUE_TRADED_3M")</f>
        <v>285660000</v>
      </c>
      <c r="T236" t="str">
        <f>_xll.BDP("7500 HK Equity","PX596","PX395=HISTORICAL_MARKET_CAP","DY262=D","PY204=N","PX391=20231231","PX392=20231231","DS004=HKD")</f>
        <v>#N/A N/A</v>
      </c>
      <c r="U236">
        <f>_xll.BDP("7500 HK Equity","PX385","PX395=FUND_FLOW","DY262=D","PY204=N","PX391=20240102","PX392=20240930","DS004=HKD")</f>
        <v>2067.0591200000003</v>
      </c>
      <c r="V236">
        <f>_xll.BDP("7500 HK Equity","PX596","PX395=CUR_MKT_CAP","DY262=D","PY204=N","PX391=20240101","DS004=HKD")</f>
        <v>3878.7200000000003</v>
      </c>
      <c r="W236" t="str">
        <f>_xll.BDP("7500 HK Equity","FUND_INCEPT_DT")</f>
        <v>5/28/2019</v>
      </c>
      <c r="X236">
        <f>_xll.BDP("7500 HK Equity","PX388","PX395=TURNOVER","DY262=D","PY204=N","PX391=20240502","PX392=20240606","DS004=HKD")</f>
        <v>392123624</v>
      </c>
      <c r="Y236" t="str">
        <f>_xll.BDP("7500 HK Equity","PARENT_COMP_NAME")</f>
        <v>CSOP Asset Management Ltd/Hong</v>
      </c>
      <c r="Z236" t="str">
        <f>_xll.BDP("7500 HK Equity","NAV_CRNCY")</f>
        <v>HKD</v>
      </c>
      <c r="AA236" t="str">
        <f>_xll.BDP("7500 HK Equity","FUND_GEO_FOCUS")</f>
        <v>Hong Kong</v>
      </c>
      <c r="AB236" t="str">
        <f>_xll.BDP("7500 HK Equity","FUND_ASSET_CLASS_FOCUS")</f>
        <v>Equity</v>
      </c>
      <c r="AC236">
        <f>_xll.BDP("7500 HK Equity","PX_LAST")</f>
        <v>2.0880000000000001</v>
      </c>
      <c r="AD236">
        <f>_xll.BDP("7500 HK Equity","PX388","PX395=TIME_WAVG_BID_ASK_SPREAD_PCT","DY262=D","PY204=N","PX391=20260601","PX392=20260626")</f>
        <v>0.10905096140871109</v>
      </c>
      <c r="AE236">
        <f>_xll.BDP("7500 HK Equity","PX388","PX395=AVERAGE_BID_ASK_SPREAD_%","DY262=D","PY204=N","PX391=20260601","PX392=20260626")</f>
        <v>0.11143822895096586</v>
      </c>
    </row>
    <row r="237" spans="1:31" x14ac:dyDescent="0.25">
      <c r="A237" t="s">
        <v>262</v>
      </c>
      <c r="B237" t="str">
        <f>_xll.BDP("7552 HK Equity","LONG_COMP_NAME")</f>
        <v>CSOP Hang Seng TECH Index Daily -2X Inverse Product</v>
      </c>
      <c r="C237">
        <f>_xll.BDP("7552 HK Equity","PX385","PX395=FUND_FLOW","DY262=D","PY204=N","PX391=20260622","PX392=20260626","DS004=USD")</f>
        <v>-77.90812830134135</v>
      </c>
      <c r="D237">
        <f>_xll.BDP("7552 HK Equity","PX388","PX395=TURNOVER","DY262=D","PY204=N","PX391=20260601","PX392=20260626","DS004=HKD")</f>
        <v>704733705.26315784</v>
      </c>
      <c r="E237">
        <f>_xll.BDP("7552 HK Equity","PX388","PX395=TURNOVER","DY262=D","PY204=N","PX391=20250101","PX392=20251231","DS004=HKD")</f>
        <v>979245865.04065096</v>
      </c>
      <c r="F237">
        <f>_xll.BDP("7552 HK Equity","PX596","PX395=FUND_TOTAL_ASSETS","DY262=D","PY204=N","PX391=20260626","PX392=20260626","DS004=USD")</f>
        <v>335.19229195623615</v>
      </c>
      <c r="G237">
        <f>_xll.BDP("7552 HK Equity","PX388","PX395=CUR_MKT_CAP","DY262=D","PY204=N","PX391=20260626","PX392=20260626","DS004=HKD")</f>
        <v>2623.0587999999998</v>
      </c>
      <c r="H237" t="str">
        <f>_xll.BDP("7552 HK Equity","FUND_LEVERAGE_TYPE")</f>
        <v>Short</v>
      </c>
      <c r="I237">
        <f>_xll.BDP("7552 HK Equity","PX388","PX395=TURNOVER","DY262=D","PY204=N","PX391=20260101","PX392=20260131","DS004=HKD")</f>
        <v>520336371.42857134</v>
      </c>
      <c r="J237">
        <v>-1</v>
      </c>
      <c r="K237" t="str">
        <f>_xll.BDP("7552 HK Equity","FUND_INCEPT_DT")</f>
        <v>12/10/2020</v>
      </c>
      <c r="L237" t="str">
        <f>_xll.BDP("7552 HK Equity","PX388","PX395=TURNOVER_EXCH_RATIO","DY262=D","PY204=N","PX391=20251201","PX392=20251210")</f>
        <v>#N/A N/A</v>
      </c>
      <c r="M237">
        <f>_xll.BDP("7552 HK Equity","EQY_SH_OUT")</f>
        <v>1233.8</v>
      </c>
      <c r="N237">
        <f>_xll.BDP("7552 HK Equity","EQY_TRR_PCT_YTD")</f>
        <v>47.459859999999999</v>
      </c>
      <c r="O237">
        <f>_xll.BDP("7552 HK Equity","CHG_PCT_YTD")</f>
        <v>37.759340000000002</v>
      </c>
      <c r="P237">
        <f>_xll.BDP("7552 HK Equity","CHG_PCT_1M")</f>
        <v>19.28144</v>
      </c>
      <c r="Q237" t="str">
        <f>_xll.BDP("7552 HK Equity","LISTING_DATE")</f>
        <v>12/10/2020</v>
      </c>
      <c r="R237" t="str">
        <f>_xll.BDP("7552 HK Equity","FUND_INCEPT_DT")</f>
        <v>12/10/2020</v>
      </c>
      <c r="S237">
        <f>_xll.BDP("7552 HK Equity","AVG_DAILY_VALUE_TRADED_3M")</f>
        <v>607910100</v>
      </c>
      <c r="T237" t="str">
        <f>_xll.BDP("7552 HK Equity","PX596","PX395=HISTORICAL_MARKET_CAP","DY262=D","PY204=N","PX391=20231231","PX392=20231231","DS004=HKD")</f>
        <v>#N/A N/A</v>
      </c>
      <c r="U237">
        <f>_xll.BDP("7552 HK Equity","PX385","PX395=FUND_FLOW","DY262=D","PY204=N","PX391=20240102","PX392=20240930","DS004=HKD")</f>
        <v>1759.6932000000002</v>
      </c>
      <c r="V237">
        <f>_xll.BDP("7552 HK Equity","PX596","PX395=CUR_MKT_CAP","DY262=D","PY204=N","PX391=20240101","DS004=HKD")</f>
        <v>4223.1875999999993</v>
      </c>
      <c r="W237" t="str">
        <f>_xll.BDP("7552 HK Equity","FUND_INCEPT_DT")</f>
        <v>12/10/2020</v>
      </c>
      <c r="X237">
        <f>_xll.BDP("7552 HK Equity","PX388","PX395=TURNOVER","DY262=D","PY204=N","PX391=20240502","PX392=20240606","DS004=HKD")</f>
        <v>788908679.99999988</v>
      </c>
      <c r="Y237" t="str">
        <f>_xll.BDP("7552 HK Equity","PARENT_COMP_NAME")</f>
        <v>CSOP Asset Management Ltd/Hong</v>
      </c>
      <c r="Z237" t="str">
        <f>_xll.BDP("7552 HK Equity","NAV_CRNCY")</f>
        <v>HKD</v>
      </c>
      <c r="AA237" t="str">
        <f>_xll.BDP("7552 HK Equity","FUND_GEO_FOCUS")</f>
        <v>Hong Kong</v>
      </c>
      <c r="AB237" t="str">
        <f>_xll.BDP("7552 HK Equity","FUND_ASSET_CLASS_FOCUS")</f>
        <v>Equity</v>
      </c>
      <c r="AC237">
        <f>_xll.BDP("7552 HK Equity","PX_LAST")</f>
        <v>1.992</v>
      </c>
      <c r="AD237">
        <f>_xll.BDP("7552 HK Equity","PX388","PX395=TIME_WAVG_BID_ASK_SPREAD_PCT","DY262=D","PY204=N","PX391=20260601","PX392=20260626")</f>
        <v>0.11615025828979816</v>
      </c>
      <c r="AE237">
        <f>_xll.BDP("7552 HK Equity","PX388","PX395=AVERAGE_BID_ASK_SPREAD_%","DY262=D","PY204=N","PX391=20260601","PX392=20260626")</f>
        <v>0.11716103228879786</v>
      </c>
    </row>
    <row r="238" spans="1:31" x14ac:dyDescent="0.25">
      <c r="A238" t="s">
        <v>263</v>
      </c>
      <c r="B238" t="str">
        <f>_xll.BDP("3443 HK Equity","LONG_COMP_NAME")</f>
        <v>CSOP FTSE Hong Kong Equity ETF</v>
      </c>
      <c r="C238">
        <f>_xll.BDP("3443 HK Equity","PX385","PX395=FUND_FLOW","DY262=D","PY204=N","PX391=20260622","PX392=20260626","DS004=USD")</f>
        <v>-196.71046034398381</v>
      </c>
      <c r="D238">
        <f>_xll.BDP("3443 HK Equity","PX388","PX395=TURNOVER","DY262=D","PY204=N","PX391=20260601","PX392=20260626","DS004=HKD")</f>
        <v>1130626.1470588236</v>
      </c>
      <c r="E238">
        <f>_xll.BDP("3443 HK Equity","PX388","PX395=TURNOVER","DY262=D","PY204=N","PX391=20250101","PX392=20251231","DS004=HKD")</f>
        <v>949667.00000000023</v>
      </c>
      <c r="F238">
        <f>_xll.BDP("3443 HK Equity","PX596","PX395=FUND_TOTAL_ASSETS","DY262=D","PY204=N","PX391=20260626","PX392=20260626","DS004=USD")</f>
        <v>1683.6726703255504</v>
      </c>
      <c r="G238">
        <f>_xll.BDP("3443 HK Equity","PX388","PX395=CUR_MKT_CAP","DY262=D","PY204=N","PX391=20260626","PX392=20260626","DS004=HKD")</f>
        <v>13209.651000000002</v>
      </c>
      <c r="H238" t="str">
        <f>_xll.BDP("3443 HK Equity","FUND_LEVERAGE_TYPE")</f>
        <v>#N/A N/A</v>
      </c>
      <c r="I238">
        <f>_xll.BDP("3443 HK Equity","PX388","PX395=TURNOVER","DY262=D","PY204=N","PX391=20260101","PX392=20260131","DS004=HKD")</f>
        <v>19213.833333333332</v>
      </c>
      <c r="J238">
        <v>-0.91</v>
      </c>
      <c r="K238" t="str">
        <f>_xll.BDP("3443 HK Equity","FUND_INCEPT_DT")</f>
        <v>5/8/2025</v>
      </c>
      <c r="L238" t="str">
        <f>_xll.BDP("3443 HK Equity","PX388","PX395=TURNOVER_EXCH_RATIO","DY262=D","PY204=N","PX391=20251201","PX392=20251210")</f>
        <v>#N/A N/A</v>
      </c>
      <c r="M238">
        <f>_xll.BDP("3443 HK Equity","EQY_SH_OUT")</f>
        <v>1600.1999999999998</v>
      </c>
      <c r="N238">
        <f>_xll.BDP("3443 HK Equity","EQY_TRR_PCT_YTD")</f>
        <v>-11.505789999999999</v>
      </c>
      <c r="O238">
        <f>_xll.BDP("3443 HK Equity","CHG_PCT_YTD")</f>
        <v>-10.123189999999999</v>
      </c>
      <c r="P238">
        <f>_xll.BDP("3443 HK Equity","CHG_PCT_1M")</f>
        <v>-7.0874829999999998</v>
      </c>
      <c r="Q238" t="str">
        <f>_xll.BDP("3443 HK Equity","LISTING_DATE")</f>
        <v>5/8/2025</v>
      </c>
      <c r="R238" t="str">
        <f>_xll.BDP("3443 HK Equity","FUND_INCEPT_DT")</f>
        <v>5/8/2025</v>
      </c>
      <c r="S238">
        <f>_xll.BDP("3443 HK Equity","AVG_DAILY_VALUE_TRADED_3M")</f>
        <v>45523010</v>
      </c>
      <c r="T238" t="str">
        <f>_xll.BDP("3443 HK Equity","PX596","PX395=HISTORICAL_MARKET_CAP","DY262=D","PY204=N","PX391=20231231","PX392=20231231","DS004=HKD")</f>
        <v>#N/A N/A</v>
      </c>
      <c r="U238" t="str">
        <f>_xll.BDP("3443 HK Equity","PX385","PX395=FUND_FLOW","DY262=D","PY204=N","PX391=20240102","PX392=20240930","DS004=HKD")</f>
        <v>#N/A N/A</v>
      </c>
      <c r="V238">
        <f>_xll.BDP("3443 HK Equity","PX596","PX395=CUR_MKT_CAP","DY262=D","PY204=N","PX391=20240101","DS004=HKD")</f>
        <v>5514.1845000000012</v>
      </c>
      <c r="W238" t="str">
        <f>_xll.BDP("3443 HK Equity","FUND_INCEPT_DT")</f>
        <v>5/8/2025</v>
      </c>
      <c r="X238" t="str">
        <f>_xll.BDP("3443 HK Equity","PX388","PX395=TURNOVER","DY262=D","PY204=N","PX391=20240502","PX392=20240606","DS004=HKD")</f>
        <v>#N/A N/A</v>
      </c>
      <c r="Y238" t="str">
        <f>_xll.BDP("3443 HK Equity","PARENT_COMP_NAME")</f>
        <v>CSOP Asset Management Ltd/Hong</v>
      </c>
      <c r="Z238" t="str">
        <f>_xll.BDP("3443 HK Equity","NAV_CRNCY")</f>
        <v>HKD</v>
      </c>
      <c r="AA238" t="str">
        <f>_xll.BDP("3443 HK Equity","FUND_GEO_FOCUS")</f>
        <v>Hong Kong</v>
      </c>
      <c r="AB238" t="str">
        <f>_xll.BDP("3443 HK Equity","FUND_ASSET_CLASS_FOCUS")</f>
        <v>Equity</v>
      </c>
      <c r="AC238">
        <f>_xll.BDP("3443 HK Equity","PX_LAST")</f>
        <v>8.39</v>
      </c>
      <c r="AD238">
        <f>_xll.BDP("3443 HK Equity","PX388","PX395=TIME_WAVG_BID_ASK_SPREAD_PCT","DY262=D","PY204=N","PX391=20260601","PX392=20260626")</f>
        <v>0.2730214539070191</v>
      </c>
      <c r="AE238">
        <f>_xll.BDP("3443 HK Equity","PX388","PX395=AVERAGE_BID_ASK_SPREAD_%","DY262=D","PY204=N","PX391=20260601","PX392=20260626")</f>
        <v>0.30864669524716137</v>
      </c>
    </row>
    <row r="239" spans="1:31" x14ac:dyDescent="0.25">
      <c r="A239" t="s">
        <v>264</v>
      </c>
      <c r="B239" t="str">
        <f>_xll.BDP("7709 HK Equity","LONG_COMP_NAME")</f>
        <v>CSOP SK Hynix Daily 2x Leveraged Product</v>
      </c>
      <c r="C239">
        <f>_xll.BDP("7709 HK Equity","PX385","PX395=FUND_FLOW","DY262=D","PY204=N","PX391=20260622","PX392=20260626","DS004=USD")</f>
        <v>-234.97400000000002</v>
      </c>
      <c r="D239">
        <f>_xll.BDP("7709 HK Equity","PX388","PX395=TURNOVER","DY262=D","PY204=N","PX391=20260601","PX392=20260626","DS004=HKD")</f>
        <v>13580422000</v>
      </c>
      <c r="E239">
        <f>_xll.BDP("7709 HK Equity","PX388","PX395=TURNOVER","DY262=D","PY204=N","PX391=20250101","PX392=20251231","DS004=HKD")</f>
        <v>282740644.23076928</v>
      </c>
      <c r="F239">
        <f>_xll.BDP("7709 HK Equity","PX596","PX395=FUND_TOTAL_ASSETS","DY262=D","PY204=N","PX391=20260626","PX392=20260626","DS004=USD")</f>
        <v>13059.382215170001</v>
      </c>
      <c r="G239">
        <f>_xll.BDP("7709 HK Equity","PX388","PX395=CUR_MKT_CAP","DY262=D","PY204=N","PX391=20260626","PX392=20260626","DS004=HKD")</f>
        <v>108094.5</v>
      </c>
      <c r="H239" t="str">
        <f>_xll.BDP("7709 HK Equity","FUND_LEVERAGE_TYPE")</f>
        <v>Long</v>
      </c>
      <c r="I239">
        <f>_xll.BDP("7709 HK Equity","PX388","PX395=TURNOVER","DY262=D","PY204=N","PX391=20260101","PX392=20260131","DS004=HKD")</f>
        <v>656792338.09523809</v>
      </c>
      <c r="J239">
        <v>-1</v>
      </c>
      <c r="K239" t="str">
        <f>_xll.BDP("7709 HK Equity","FUND_INCEPT_DT")</f>
        <v>10/15/2025</v>
      </c>
      <c r="L239" t="str">
        <f>_xll.BDP("7709 HK Equity","PX388","PX395=TURNOVER_EXCH_RATIO","DY262=D","PY204=N","PX391=20251201","PX392=20251210")</f>
        <v>#N/A N/A</v>
      </c>
      <c r="M239">
        <f>_xll.BDP("7709 HK Equity","EQY_SH_OUT")</f>
        <v>688.5</v>
      </c>
      <c r="N239">
        <f>_xll.BDP("7709 HK Equity","EQY_TRR_PCT_YTD")</f>
        <v>814.07159999999999</v>
      </c>
      <c r="O239">
        <f>_xll.BDP("7709 HK Equity","CHG_PCT_YTD")</f>
        <v>808.97829999999999</v>
      </c>
      <c r="P239">
        <f>_xll.BDP("7709 HK Equity","CHG_PCT_1M")</f>
        <v>6.6472990000000003</v>
      </c>
      <c r="Q239" t="str">
        <f>_xll.BDP("7709 HK Equity","LISTING_DATE")</f>
        <v>10/16/2025</v>
      </c>
      <c r="R239" t="str">
        <f>_xll.BDP("7709 HK Equity","FUND_INCEPT_DT")</f>
        <v>10/15/2025</v>
      </c>
      <c r="S239">
        <f>_xll.BDP("7709 HK Equity","AVG_DAILY_VALUE_TRADED_3M")</f>
        <v>7199684000</v>
      </c>
      <c r="T239" t="str">
        <f>_xll.BDP("7709 HK Equity","PX596","PX395=HISTORICAL_MARKET_CAP","DY262=D","PY204=N","PX391=20231231","PX392=20231231","DS004=HKD")</f>
        <v>#N/A N/A</v>
      </c>
      <c r="U239" t="str">
        <f>_xll.BDP("7709 HK Equity","PX385","PX395=FUND_FLOW","DY262=D","PY204=N","PX391=20240102","PX392=20240930","DS004=HKD")</f>
        <v>#N/A N/A</v>
      </c>
      <c r="V239">
        <f>_xll.BDP("7709 HK Equity","PX596","PX395=CUR_MKT_CAP","DY262=D","PY204=N","PX391=20240101","DS004=HKD")</f>
        <v>4949.9749999999995</v>
      </c>
      <c r="W239" t="str">
        <f>_xll.BDP("7709 HK Equity","FUND_INCEPT_DT")</f>
        <v>10/15/2025</v>
      </c>
      <c r="X239" t="str">
        <f>_xll.BDP("7709 HK Equity","PX388","PX395=TURNOVER","DY262=D","PY204=N","PX391=20240502","PX392=20240606","DS004=HKD")</f>
        <v>#N/A N/A</v>
      </c>
      <c r="Y239" t="str">
        <f>_xll.BDP("7709 HK Equity","PARENT_COMP_NAME")</f>
        <v>CSOP Asset Management Ltd/Hong</v>
      </c>
      <c r="Z239" t="str">
        <f>_xll.BDP("7709 HK Equity","NAV_CRNCY")</f>
        <v>USD</v>
      </c>
      <c r="AA239" t="str">
        <f>_xll.BDP("7709 HK Equity","FUND_GEO_FOCUS")</f>
        <v>South Korea</v>
      </c>
      <c r="AB239" t="str">
        <f>_xll.BDP("7709 HK Equity","FUND_ASSET_CLASS_FOCUS")</f>
        <v>Specialty</v>
      </c>
      <c r="AC239">
        <f>_xll.BDP("7709 HK Equity","PX_LAST")</f>
        <v>146.80000000000001</v>
      </c>
      <c r="AD239">
        <f>_xll.BDP("7709 HK Equity","PX388","PX395=TIME_WAVG_BID_ASK_SPREAD_PCT","DY262=D","PY204=N","PX391=20260601","PX392=20260626")</f>
        <v>5.4768023617631036E-2</v>
      </c>
      <c r="AE239">
        <f>_xll.BDP("7709 HK Equity","PX388","PX395=AVERAGE_BID_ASK_SPREAD_%","DY262=D","PY204=N","PX391=20260601","PX392=20260626")</f>
        <v>5.9544708918013993E-2</v>
      </c>
    </row>
    <row r="240" spans="1:31" x14ac:dyDescent="0.25">
      <c r="A240" t="s">
        <v>265</v>
      </c>
      <c r="B240" t="str">
        <f>_xll.BDP("3456 HK Equity","LONG_COMP_NAME")</f>
        <v>E Fund HK HKEX Tech 100 Index ETF</v>
      </c>
      <c r="C240" t="str">
        <f>_xll.BDP("3456 HK Equity","PX385","PX395=FUND_FLOW","DY262=D","PY204=N","PX391=20260622","PX392=20260626","DS004=USD")</f>
        <v>#N/A N/A</v>
      </c>
      <c r="D240">
        <f>_xll.BDP("3456 HK Equity","PX388","PX395=TURNOVER","DY262=D","PY204=N","PX391=20260601","PX392=20260626","DS004=HKD")</f>
        <v>14778030</v>
      </c>
      <c r="E240" t="str">
        <f>_xll.BDP("3456 HK Equity","PX388","PX395=TURNOVER","DY262=D","PY204=N","PX391=20250101","PX392=20251231","DS004=HKD")</f>
        <v>#N/A N/A</v>
      </c>
      <c r="F240">
        <f>_xll.BDP("3456 HK Equity","PX596","PX395=FUND_TOTAL_ASSETS","DY262=D","PY204=N","PX391=20260626","PX392=20260626","DS004=USD")</f>
        <v>38.805666589816717</v>
      </c>
      <c r="G240">
        <f>_xll.BDP("3456 HK Equity","PX388","PX395=CUR_MKT_CAP","DY262=D","PY204=N","PX391=20260626","PX392=20260626","DS004=HKD")</f>
        <v>305.10899999999998</v>
      </c>
      <c r="H240" t="str">
        <f>_xll.BDP("3456 HK Equity","FUND_LEVERAGE_TYPE")</f>
        <v>#N/A N/A</v>
      </c>
      <c r="I240" t="str">
        <f>_xll.BDP("3456 HK Equity","PX388","PX395=TURNOVER","DY262=D","PY204=N","PX391=20260101","PX392=20260131","DS004=HKD")</f>
        <v>#N/A N/A</v>
      </c>
      <c r="J240" t="s">
        <v>31</v>
      </c>
      <c r="K240" t="str">
        <f>_xll.BDP("3456 HK Equity","FUND_INCEPT_DT")</f>
        <v>6/26/2026</v>
      </c>
      <c r="L240" t="str">
        <f>_xll.BDP("3456 HK Equity","PX388","PX395=TURNOVER_EXCH_RATIO","DY262=D","PY204=N","PX391=20251201","PX392=20251210")</f>
        <v>#N/A N/A</v>
      </c>
      <c r="M240">
        <f>_xll.BDP("3456 HK Equity","EQY_SH_OUT")</f>
        <v>40.6</v>
      </c>
      <c r="N240" t="str">
        <f>_xll.BDP("3456 HK Equity","EQY_TRR_PCT_YTD")</f>
        <v>#N/A N/A</v>
      </c>
      <c r="O240" t="str">
        <f>_xll.BDP("3456 HK Equity","CHG_PCT_YTD")</f>
        <v>#N/A N/A</v>
      </c>
      <c r="P240" t="str">
        <f>_xll.BDP("3456 HK Equity","CHG_PCT_1M")</f>
        <v>#N/A N/A</v>
      </c>
      <c r="Q240" t="str">
        <f>_xll.BDP("3456 HK Equity","LISTING_DATE")</f>
        <v>6/26/2026</v>
      </c>
      <c r="R240" t="str">
        <f>_xll.BDP("3456 HK Equity","FUND_INCEPT_DT")</f>
        <v>6/26/2026</v>
      </c>
      <c r="S240" t="str">
        <f>_xll.BDP("3456 HK Equity","AVG_DAILY_VALUE_TRADED_3M")</f>
        <v>#N/A N/A</v>
      </c>
      <c r="T240" t="str">
        <f>_xll.BDP("3456 HK Equity","PX596","PX395=HISTORICAL_MARKET_CAP","DY262=D","PY204=N","PX391=20231231","PX392=20231231","DS004=HKD")</f>
        <v>#N/A N/A</v>
      </c>
      <c r="U240" t="str">
        <f>_xll.BDP("3456 HK Equity","PX385","PX395=FUND_FLOW","DY262=D","PY204=N","PX391=20240102","PX392=20240930","DS004=HKD")</f>
        <v>#N/A N/A</v>
      </c>
      <c r="V240" t="str">
        <f>_xll.BDP("3456 HK Equity","PX596","PX395=CUR_MKT_CAP","DY262=D","PY204=N","PX391=20240101","DS004=HKD")</f>
        <v>#N/A N/A</v>
      </c>
      <c r="W240" t="str">
        <f>_xll.BDP("3456 HK Equity","FUND_INCEPT_DT")</f>
        <v>6/26/2026</v>
      </c>
      <c r="X240" t="str">
        <f>_xll.BDP("3456 HK Equity","PX388","PX395=TURNOVER","DY262=D","PY204=N","PX391=20240502","PX392=20240606","DS004=HKD")</f>
        <v>#N/A N/A</v>
      </c>
      <c r="Y240" t="str">
        <f>_xll.BDP("3456 HK Equity","PARENT_COMP_NAME")</f>
        <v>E Fund Management Hong Kong Co</v>
      </c>
      <c r="Z240" t="str">
        <f>_xll.BDP("3456 HK Equity","NAV_CRNCY")</f>
        <v>HKD</v>
      </c>
      <c r="AA240" t="str">
        <f>_xll.BDP("3456 HK Equity","FUND_GEO_FOCUS")</f>
        <v>Greater China</v>
      </c>
      <c r="AB240" t="str">
        <f>_xll.BDP("3456 HK Equity","FUND_ASSET_CLASS_FOCUS")</f>
        <v>Equity</v>
      </c>
      <c r="AC240">
        <f>_xll.BDP("3456 HK Equity","PX_LAST")</f>
        <v>7.75</v>
      </c>
      <c r="AD240">
        <f>_xll.BDP("3456 HK Equity","PX388","PX395=TIME_WAVG_BID_ASK_SPREAD_PCT","DY262=D","PY204=N","PX391=20260601","PX392=20260626")</f>
        <v>0.12954199316162479</v>
      </c>
      <c r="AE240">
        <f>_xll.BDP("3456 HK Equity","PX388","PX395=AVERAGE_BID_ASK_SPREAD_%","DY262=D","PY204=N","PX391=20260601","PX392=20260626")</f>
        <v>0.1883161273275793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7E1C4-018D-4C29-BA1B-753B0BF9D5F6}">
  <dimension ref="A1:AE240"/>
  <sheetViews>
    <sheetView tabSelected="1" workbookViewId="0">
      <selection sqref="A1:XFD1048576"/>
    </sheetView>
  </sheetViews>
  <sheetFormatPr defaultRowHeight="15" x14ac:dyDescent="0.25"/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4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9</v>
      </c>
      <c r="S1" t="s">
        <v>16</v>
      </c>
      <c r="T1" t="s">
        <v>17</v>
      </c>
      <c r="U1" t="s">
        <v>2</v>
      </c>
      <c r="V1" t="s">
        <v>18</v>
      </c>
      <c r="W1" t="s">
        <v>9</v>
      </c>
      <c r="X1" t="s">
        <v>4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</row>
    <row r="2" spans="1:31" x14ac:dyDescent="0.25">
      <c r="A2" t="s">
        <v>26</v>
      </c>
      <c r="B2" t="s">
        <v>266</v>
      </c>
      <c r="C2">
        <v>1308.5186429748194</v>
      </c>
      <c r="D2">
        <v>19973626315.789471</v>
      </c>
      <c r="E2">
        <v>15098926833.333334</v>
      </c>
      <c r="F2">
        <v>16690.92201130182</v>
      </c>
      <c r="G2">
        <v>131001.9069</v>
      </c>
      <c r="H2" t="s">
        <v>267</v>
      </c>
      <c r="I2">
        <v>14864323809.523808</v>
      </c>
      <c r="J2">
        <v>-1</v>
      </c>
      <c r="K2" t="s">
        <v>268</v>
      </c>
      <c r="L2" t="s">
        <v>267</v>
      </c>
      <c r="M2">
        <v>5675.9929999999995</v>
      </c>
      <c r="N2">
        <v>-10.13029</v>
      </c>
      <c r="O2">
        <v>-9.3725780000000007</v>
      </c>
      <c r="P2">
        <v>-7.8740139999999998</v>
      </c>
      <c r="Q2" t="s">
        <v>268</v>
      </c>
      <c r="R2" t="s">
        <v>268</v>
      </c>
      <c r="S2">
        <v>18535840000</v>
      </c>
      <c r="T2" t="s">
        <v>267</v>
      </c>
      <c r="U2">
        <v>1923.8521000000055</v>
      </c>
      <c r="V2">
        <v>136071.20635000002</v>
      </c>
      <c r="W2" t="s">
        <v>268</v>
      </c>
      <c r="X2">
        <v>8159234560</v>
      </c>
      <c r="Y2" t="s">
        <v>269</v>
      </c>
      <c r="Z2" t="s">
        <v>270</v>
      </c>
      <c r="AA2" t="s">
        <v>271</v>
      </c>
      <c r="AB2" t="s">
        <v>272</v>
      </c>
      <c r="AC2">
        <v>23.4</v>
      </c>
      <c r="AD2">
        <v>8.124663747005198E-2</v>
      </c>
      <c r="AE2">
        <v>8.3935511258370385E-2</v>
      </c>
    </row>
    <row r="3" spans="1:31" x14ac:dyDescent="0.25">
      <c r="A3" t="s">
        <v>27</v>
      </c>
      <c r="B3" t="s">
        <v>273</v>
      </c>
      <c r="C3">
        <v>316.45697087072972</v>
      </c>
      <c r="D3">
        <v>7342533684.2105255</v>
      </c>
      <c r="E3">
        <v>9554909356.5040627</v>
      </c>
      <c r="F3">
        <v>3024.0432366968025</v>
      </c>
      <c r="G3">
        <v>23708.183047439998</v>
      </c>
      <c r="H3" t="s">
        <v>267</v>
      </c>
      <c r="I3">
        <v>10036083714.285715</v>
      </c>
      <c r="J3">
        <v>-1</v>
      </c>
      <c r="K3" t="s">
        <v>274</v>
      </c>
      <c r="L3" t="s">
        <v>267</v>
      </c>
      <c r="M3">
        <v>310.39779999999996</v>
      </c>
      <c r="N3">
        <v>-15.6492</v>
      </c>
      <c r="O3">
        <v>-14.74907</v>
      </c>
      <c r="P3">
        <v>-9.9328520000000005</v>
      </c>
      <c r="Q3" t="s">
        <v>274</v>
      </c>
      <c r="R3" t="s">
        <v>274</v>
      </c>
      <c r="S3">
        <v>8703043000</v>
      </c>
      <c r="T3" t="s">
        <v>267</v>
      </c>
      <c r="U3">
        <v>-11953.568023104202</v>
      </c>
      <c r="V3">
        <v>31538.088833940001</v>
      </c>
      <c r="W3" t="s">
        <v>274</v>
      </c>
      <c r="X3">
        <v>3832370400</v>
      </c>
      <c r="Y3" t="s">
        <v>269</v>
      </c>
      <c r="Z3" t="s">
        <v>270</v>
      </c>
      <c r="AA3" t="s">
        <v>275</v>
      </c>
      <c r="AB3" t="s">
        <v>272</v>
      </c>
      <c r="AC3">
        <v>77.8</v>
      </c>
      <c r="AD3">
        <v>2.6080022957096074E-2</v>
      </c>
      <c r="AE3">
        <v>2.727751380369178E-2</v>
      </c>
    </row>
    <row r="4" spans="1:31" x14ac:dyDescent="0.25">
      <c r="A4" t="s">
        <v>28</v>
      </c>
      <c r="B4" t="s">
        <v>276</v>
      </c>
      <c r="C4">
        <v>171.76601773543382</v>
      </c>
      <c r="D4">
        <v>4149444368.4210529</v>
      </c>
      <c r="E4">
        <v>7276772.833333333</v>
      </c>
      <c r="F4">
        <v>3887.9117330100003</v>
      </c>
      <c r="G4">
        <v>30508.55</v>
      </c>
      <c r="H4" t="s">
        <v>277</v>
      </c>
      <c r="I4">
        <v>159858722.85714287</v>
      </c>
      <c r="J4">
        <v>-1</v>
      </c>
      <c r="K4" t="s">
        <v>278</v>
      </c>
      <c r="L4" t="s">
        <v>267</v>
      </c>
      <c r="M4">
        <v>173</v>
      </c>
      <c r="N4">
        <v>431.03930000000003</v>
      </c>
      <c r="O4">
        <v>371.64179999999999</v>
      </c>
      <c r="P4">
        <v>-10.810040000000001</v>
      </c>
      <c r="Q4" t="s">
        <v>278</v>
      </c>
      <c r="R4" t="s">
        <v>278</v>
      </c>
      <c r="S4">
        <v>2345286000</v>
      </c>
      <c r="T4" t="s">
        <v>267</v>
      </c>
      <c r="U4" t="s">
        <v>267</v>
      </c>
      <c r="V4">
        <v>418.75</v>
      </c>
      <c r="W4" t="s">
        <v>278</v>
      </c>
      <c r="X4" t="s">
        <v>267</v>
      </c>
      <c r="Y4" t="s">
        <v>279</v>
      </c>
      <c r="Z4" t="s">
        <v>270</v>
      </c>
      <c r="AA4" t="s">
        <v>280</v>
      </c>
      <c r="AB4" t="s">
        <v>281</v>
      </c>
      <c r="AC4">
        <v>158</v>
      </c>
      <c r="AD4">
        <v>7.0046491287508547E-2</v>
      </c>
      <c r="AE4">
        <v>7.3349563747154747E-2</v>
      </c>
    </row>
    <row r="5" spans="1:31" x14ac:dyDescent="0.25">
      <c r="A5" t="s">
        <v>29</v>
      </c>
      <c r="B5" t="s">
        <v>282</v>
      </c>
      <c r="C5">
        <v>150.06724794738702</v>
      </c>
      <c r="D5">
        <v>2013283.8421052631</v>
      </c>
      <c r="E5">
        <v>3290541.2666964289</v>
      </c>
      <c r="F5">
        <v>214.38257442052006</v>
      </c>
      <c r="G5">
        <v>1683.02</v>
      </c>
      <c r="H5" t="s">
        <v>267</v>
      </c>
      <c r="I5">
        <v>594309.42099999986</v>
      </c>
      <c r="J5">
        <v>-1</v>
      </c>
      <c r="K5" t="s">
        <v>283</v>
      </c>
      <c r="L5" t="s">
        <v>267</v>
      </c>
      <c r="M5">
        <v>57.699999999999996</v>
      </c>
      <c r="N5">
        <v>9.3143340000000006</v>
      </c>
      <c r="O5">
        <v>11.267609999999999</v>
      </c>
      <c r="P5">
        <v>-1.073348</v>
      </c>
      <c r="Q5" t="s">
        <v>283</v>
      </c>
      <c r="R5" t="s">
        <v>283</v>
      </c>
      <c r="S5">
        <v>1321199</v>
      </c>
      <c r="T5" t="s">
        <v>267</v>
      </c>
      <c r="U5">
        <v>-63.02526160119595</v>
      </c>
      <c r="V5">
        <v>6038.55</v>
      </c>
      <c r="W5" t="s">
        <v>283</v>
      </c>
      <c r="X5">
        <v>1219210.9519999996</v>
      </c>
      <c r="Y5" t="s">
        <v>284</v>
      </c>
      <c r="Z5" t="s">
        <v>270</v>
      </c>
      <c r="AA5" t="s">
        <v>275</v>
      </c>
      <c r="AB5" t="s">
        <v>272</v>
      </c>
      <c r="AC5">
        <v>33.18</v>
      </c>
      <c r="AD5">
        <v>0.16372748363159179</v>
      </c>
      <c r="AE5">
        <v>0.19909503172955464</v>
      </c>
    </row>
    <row r="6" spans="1:31" x14ac:dyDescent="0.25">
      <c r="A6" t="s">
        <v>30</v>
      </c>
      <c r="B6" t="s">
        <v>285</v>
      </c>
      <c r="C6">
        <v>104.59208916197868</v>
      </c>
      <c r="D6">
        <v>240166263.33333334</v>
      </c>
      <c r="E6" t="s">
        <v>267</v>
      </c>
      <c r="F6">
        <v>108.23486542443965</v>
      </c>
      <c r="G6">
        <v>857.28</v>
      </c>
      <c r="H6" t="s">
        <v>267</v>
      </c>
      <c r="I6" t="s">
        <v>267</v>
      </c>
      <c r="J6" t="s">
        <v>31</v>
      </c>
      <c r="K6" t="s">
        <v>286</v>
      </c>
      <c r="L6" t="s">
        <v>267</v>
      </c>
      <c r="M6">
        <v>114</v>
      </c>
      <c r="N6" t="s">
        <v>267</v>
      </c>
      <c r="O6" t="s">
        <v>267</v>
      </c>
      <c r="P6" t="s">
        <v>267</v>
      </c>
      <c r="Q6" t="s">
        <v>287</v>
      </c>
      <c r="R6" t="s">
        <v>286</v>
      </c>
      <c r="S6" t="s">
        <v>267</v>
      </c>
      <c r="T6" t="s">
        <v>267</v>
      </c>
      <c r="U6" t="s">
        <v>267</v>
      </c>
      <c r="V6" t="s">
        <v>267</v>
      </c>
      <c r="W6" t="s">
        <v>286</v>
      </c>
      <c r="X6" t="s">
        <v>267</v>
      </c>
      <c r="Y6" t="s">
        <v>279</v>
      </c>
      <c r="Z6" t="s">
        <v>288</v>
      </c>
      <c r="AA6" t="s">
        <v>280</v>
      </c>
      <c r="AB6" t="s">
        <v>272</v>
      </c>
      <c r="AC6">
        <v>7.3650000000000002</v>
      </c>
      <c r="AD6">
        <v>0.11593670799483805</v>
      </c>
      <c r="AE6">
        <v>0.13580547203608767</v>
      </c>
    </row>
    <row r="7" spans="1:31" x14ac:dyDescent="0.25">
      <c r="A7" t="s">
        <v>32</v>
      </c>
      <c r="B7" t="s">
        <v>289</v>
      </c>
      <c r="C7">
        <v>78.028093332528385</v>
      </c>
      <c r="D7">
        <v>121924178.94736843</v>
      </c>
      <c r="E7">
        <v>110502229.06504066</v>
      </c>
      <c r="F7">
        <v>2580.583009765855</v>
      </c>
      <c r="G7">
        <v>20250.846000000001</v>
      </c>
      <c r="H7" t="s">
        <v>267</v>
      </c>
      <c r="I7">
        <v>124410886.19047621</v>
      </c>
      <c r="J7">
        <v>-1</v>
      </c>
      <c r="K7" t="s">
        <v>290</v>
      </c>
      <c r="L7" t="s">
        <v>267</v>
      </c>
      <c r="M7">
        <v>346.05</v>
      </c>
      <c r="N7">
        <v>9.1536550000000005</v>
      </c>
      <c r="O7">
        <v>11.14029</v>
      </c>
      <c r="P7">
        <v>-6.745234E-2</v>
      </c>
      <c r="Q7" t="s">
        <v>291</v>
      </c>
      <c r="R7" t="s">
        <v>290</v>
      </c>
      <c r="S7">
        <v>108466900</v>
      </c>
      <c r="T7" t="s">
        <v>267</v>
      </c>
      <c r="U7">
        <v>1295.2544399999992</v>
      </c>
      <c r="V7">
        <v>22586.352000000003</v>
      </c>
      <c r="W7" t="s">
        <v>290</v>
      </c>
      <c r="X7">
        <v>53262456.399999999</v>
      </c>
      <c r="Y7" t="s">
        <v>284</v>
      </c>
      <c r="Z7" t="s">
        <v>270</v>
      </c>
      <c r="AA7" t="s">
        <v>275</v>
      </c>
      <c r="AB7" t="s">
        <v>272</v>
      </c>
      <c r="AC7">
        <v>59.26</v>
      </c>
      <c r="AD7">
        <v>8.0495800596206465E-2</v>
      </c>
      <c r="AE7">
        <v>9.6053190243331005E-2</v>
      </c>
    </row>
    <row r="8" spans="1:31" x14ac:dyDescent="0.25">
      <c r="A8" t="s">
        <v>33</v>
      </c>
      <c r="B8" t="s">
        <v>292</v>
      </c>
      <c r="C8">
        <v>67.392419205959101</v>
      </c>
      <c r="D8">
        <v>42960568.105263151</v>
      </c>
      <c r="E8">
        <v>20086139.669999987</v>
      </c>
      <c r="F8">
        <v>190.71111625584982</v>
      </c>
      <c r="G8">
        <v>952.41000000000008</v>
      </c>
      <c r="H8" t="s">
        <v>267</v>
      </c>
      <c r="I8">
        <v>5727819.4761904767</v>
      </c>
      <c r="J8">
        <v>-1</v>
      </c>
      <c r="K8" t="s">
        <v>293</v>
      </c>
      <c r="L8" t="s">
        <v>267</v>
      </c>
      <c r="M8">
        <v>124.5</v>
      </c>
      <c r="N8">
        <v>16.098410000000001</v>
      </c>
      <c r="O8">
        <v>14.08046</v>
      </c>
      <c r="P8">
        <v>-4.72</v>
      </c>
      <c r="Q8" t="s">
        <v>293</v>
      </c>
      <c r="R8" t="s">
        <v>293</v>
      </c>
      <c r="S8">
        <v>19010420</v>
      </c>
      <c r="T8" t="s">
        <v>267</v>
      </c>
      <c r="U8" t="s">
        <v>267</v>
      </c>
      <c r="V8">
        <v>741.24</v>
      </c>
      <c r="W8" t="s">
        <v>293</v>
      </c>
      <c r="X8" t="s">
        <v>267</v>
      </c>
      <c r="Y8" t="s">
        <v>279</v>
      </c>
      <c r="Z8" t="s">
        <v>270</v>
      </c>
      <c r="AA8" t="s">
        <v>294</v>
      </c>
      <c r="AB8" t="s">
        <v>272</v>
      </c>
      <c r="AC8">
        <v>11.91</v>
      </c>
      <c r="AD8">
        <v>0.14129858444911395</v>
      </c>
      <c r="AE8">
        <v>0.18049069996632677</v>
      </c>
    </row>
    <row r="9" spans="1:31" x14ac:dyDescent="0.25">
      <c r="A9" t="s">
        <v>34</v>
      </c>
      <c r="B9" t="s">
        <v>295</v>
      </c>
      <c r="C9">
        <v>55.988382109702684</v>
      </c>
      <c r="D9">
        <v>478979247.36842108</v>
      </c>
      <c r="E9">
        <v>305074282.52032512</v>
      </c>
      <c r="F9">
        <v>376.23196956044927</v>
      </c>
      <c r="G9">
        <v>2944.2543999999998</v>
      </c>
      <c r="H9" t="s">
        <v>277</v>
      </c>
      <c r="I9">
        <v>218668157.14285716</v>
      </c>
      <c r="J9">
        <v>-1</v>
      </c>
      <c r="K9" t="s">
        <v>296</v>
      </c>
      <c r="L9" t="s">
        <v>267</v>
      </c>
      <c r="M9">
        <v>648.79999999999995</v>
      </c>
      <c r="N9">
        <v>-22.436</v>
      </c>
      <c r="O9">
        <v>-20.034210000000002</v>
      </c>
      <c r="P9">
        <v>-15.93525</v>
      </c>
      <c r="Q9" t="s">
        <v>296</v>
      </c>
      <c r="R9" t="s">
        <v>296</v>
      </c>
      <c r="S9">
        <v>342636900</v>
      </c>
      <c r="T9" t="s">
        <v>267</v>
      </c>
      <c r="U9">
        <v>-3758.9796800000008</v>
      </c>
      <c r="V9">
        <v>2623.2359999999999</v>
      </c>
      <c r="W9" t="s">
        <v>296</v>
      </c>
      <c r="X9">
        <v>334008084.00000006</v>
      </c>
      <c r="Y9" t="s">
        <v>279</v>
      </c>
      <c r="Z9" t="s">
        <v>270</v>
      </c>
      <c r="AA9" t="s">
        <v>271</v>
      </c>
      <c r="AB9" t="s">
        <v>272</v>
      </c>
      <c r="AC9">
        <v>4.6740000000000004</v>
      </c>
      <c r="AD9">
        <v>8.8809810050273663E-2</v>
      </c>
      <c r="AE9">
        <v>8.5007168907625275E-2</v>
      </c>
    </row>
    <row r="10" spans="1:31" x14ac:dyDescent="0.25">
      <c r="A10" t="s">
        <v>35</v>
      </c>
      <c r="B10" t="s">
        <v>297</v>
      </c>
      <c r="C10">
        <v>45.741852690066992</v>
      </c>
      <c r="D10">
        <v>1398459873.6842105</v>
      </c>
      <c r="E10">
        <v>1489783366.2601626</v>
      </c>
      <c r="F10">
        <v>1400.0387445594927</v>
      </c>
      <c r="G10">
        <v>10959.33432</v>
      </c>
      <c r="H10" t="s">
        <v>277</v>
      </c>
      <c r="I10">
        <v>1016300699.9999999</v>
      </c>
      <c r="J10">
        <v>-1</v>
      </c>
      <c r="K10" t="s">
        <v>298</v>
      </c>
      <c r="L10" t="s">
        <v>267</v>
      </c>
      <c r="M10">
        <v>3861.64</v>
      </c>
      <c r="N10">
        <v>-44.493679999999998</v>
      </c>
      <c r="O10">
        <v>-40.842309999999998</v>
      </c>
      <c r="P10">
        <v>-19.68085</v>
      </c>
      <c r="Q10" t="s">
        <v>298</v>
      </c>
      <c r="R10" t="s">
        <v>298</v>
      </c>
      <c r="S10">
        <v>1213152000</v>
      </c>
      <c r="T10" t="s">
        <v>267</v>
      </c>
      <c r="U10">
        <v>-3587.8368400000018</v>
      </c>
      <c r="V10">
        <v>11943.8622</v>
      </c>
      <c r="W10" t="s">
        <v>298</v>
      </c>
      <c r="X10">
        <v>999315459.99999988</v>
      </c>
      <c r="Y10" t="s">
        <v>279</v>
      </c>
      <c r="Z10" t="s">
        <v>270</v>
      </c>
      <c r="AA10" t="s">
        <v>271</v>
      </c>
      <c r="AB10" t="s">
        <v>272</v>
      </c>
      <c r="AC10">
        <v>3.02</v>
      </c>
      <c r="AD10">
        <v>7.0064240703335112E-2</v>
      </c>
      <c r="AE10">
        <v>6.8601332908853424E-2</v>
      </c>
    </row>
    <row r="11" spans="1:31" x14ac:dyDescent="0.25">
      <c r="A11" t="s">
        <v>36</v>
      </c>
      <c r="B11" t="s">
        <v>299</v>
      </c>
      <c r="C11">
        <v>43.137338474430528</v>
      </c>
      <c r="D11">
        <v>13286275.631578948</v>
      </c>
      <c r="E11">
        <v>1302668.7499999988</v>
      </c>
      <c r="F11">
        <v>55.509777919179804</v>
      </c>
      <c r="G11">
        <v>438.68400000000003</v>
      </c>
      <c r="H11" t="s">
        <v>267</v>
      </c>
      <c r="I11">
        <v>361157.52380952385</v>
      </c>
      <c r="J11">
        <v>-1</v>
      </c>
      <c r="K11" t="s">
        <v>300</v>
      </c>
      <c r="L11" t="s">
        <v>267</v>
      </c>
      <c r="M11">
        <v>26.299999999999997</v>
      </c>
      <c r="N11">
        <v>4.5367459999999999</v>
      </c>
      <c r="O11">
        <v>3.9081830000000002</v>
      </c>
      <c r="P11">
        <v>-7.7134970000000003</v>
      </c>
      <c r="Q11" t="s">
        <v>301</v>
      </c>
      <c r="R11" t="s">
        <v>300</v>
      </c>
      <c r="S11">
        <v>5341690</v>
      </c>
      <c r="T11" t="s">
        <v>267</v>
      </c>
      <c r="U11" t="s">
        <v>267</v>
      </c>
      <c r="V11">
        <v>617.39599999999996</v>
      </c>
      <c r="W11" t="s">
        <v>300</v>
      </c>
      <c r="X11" t="s">
        <v>267</v>
      </c>
      <c r="Y11" t="s">
        <v>302</v>
      </c>
      <c r="Z11" t="s">
        <v>270</v>
      </c>
      <c r="AA11" t="s">
        <v>303</v>
      </c>
      <c r="AB11" t="s">
        <v>272</v>
      </c>
      <c r="AC11">
        <v>16.75</v>
      </c>
      <c r="AD11">
        <v>0.24317082054958239</v>
      </c>
      <c r="AE11">
        <v>0.35783525463932769</v>
      </c>
    </row>
    <row r="12" spans="1:31" x14ac:dyDescent="0.25">
      <c r="A12" t="s">
        <v>37</v>
      </c>
      <c r="B12" t="s">
        <v>304</v>
      </c>
      <c r="C12">
        <v>41.484582234665623</v>
      </c>
      <c r="D12">
        <v>12985640473.684208</v>
      </c>
      <c r="E12">
        <v>6968622593.4959345</v>
      </c>
      <c r="F12">
        <v>8425.4079835592493</v>
      </c>
      <c r="G12">
        <v>66181.522835999989</v>
      </c>
      <c r="H12" t="s">
        <v>267</v>
      </c>
      <c r="I12">
        <v>8532916047.6190472</v>
      </c>
      <c r="J12">
        <v>-1</v>
      </c>
      <c r="K12" t="s">
        <v>305</v>
      </c>
      <c r="L12" t="s">
        <v>267</v>
      </c>
      <c r="M12">
        <v>15832.9</v>
      </c>
      <c r="N12">
        <v>-22.768080000000001</v>
      </c>
      <c r="O12">
        <v>-20.074210000000001</v>
      </c>
      <c r="P12">
        <v>-9.9498309999999996</v>
      </c>
      <c r="Q12" t="s">
        <v>305</v>
      </c>
      <c r="R12" t="s">
        <v>305</v>
      </c>
      <c r="S12">
        <v>9320610000</v>
      </c>
      <c r="T12" t="s">
        <v>267</v>
      </c>
      <c r="U12">
        <v>-821.63370000000032</v>
      </c>
      <c r="V12">
        <v>71557.102077999996</v>
      </c>
      <c r="W12" t="s">
        <v>305</v>
      </c>
      <c r="X12">
        <v>2277046068</v>
      </c>
      <c r="Y12" t="s">
        <v>279</v>
      </c>
      <c r="Z12" t="s">
        <v>270</v>
      </c>
      <c r="AA12" t="s">
        <v>271</v>
      </c>
      <c r="AB12" t="s">
        <v>272</v>
      </c>
      <c r="AC12">
        <v>4.3079999999999998</v>
      </c>
      <c r="AD12">
        <v>4.6889968645361019E-2</v>
      </c>
      <c r="AE12">
        <v>4.8033764560882902E-2</v>
      </c>
    </row>
    <row r="13" spans="1:31" x14ac:dyDescent="0.25">
      <c r="A13" t="s">
        <v>38</v>
      </c>
      <c r="B13" t="s">
        <v>306</v>
      </c>
      <c r="C13">
        <v>40.776438501582035</v>
      </c>
      <c r="D13">
        <v>15978594.210526317</v>
      </c>
      <c r="E13">
        <v>1969943.8593749998</v>
      </c>
      <c r="F13">
        <v>53.903141765598491</v>
      </c>
      <c r="G13">
        <v>419.32799999999997</v>
      </c>
      <c r="H13" t="s">
        <v>267</v>
      </c>
      <c r="I13">
        <v>753956.19047619053</v>
      </c>
      <c r="J13">
        <v>-1</v>
      </c>
      <c r="K13" t="s">
        <v>300</v>
      </c>
      <c r="L13" t="s">
        <v>267</v>
      </c>
      <c r="M13">
        <v>31.7</v>
      </c>
      <c r="N13">
        <v>0.97896760000000005</v>
      </c>
      <c r="O13">
        <v>2.5203869999999999</v>
      </c>
      <c r="P13">
        <v>-0.93123239999999996</v>
      </c>
      <c r="Q13" t="s">
        <v>301</v>
      </c>
      <c r="R13" t="s">
        <v>300</v>
      </c>
      <c r="S13">
        <v>6167360</v>
      </c>
      <c r="T13" t="s">
        <v>267</v>
      </c>
      <c r="U13" t="s">
        <v>267</v>
      </c>
      <c r="V13">
        <v>539.6</v>
      </c>
      <c r="W13" t="s">
        <v>300</v>
      </c>
      <c r="X13" t="s">
        <v>267</v>
      </c>
      <c r="Y13" t="s">
        <v>302</v>
      </c>
      <c r="Z13" t="s">
        <v>270</v>
      </c>
      <c r="AA13" t="s">
        <v>307</v>
      </c>
      <c r="AB13" t="s">
        <v>272</v>
      </c>
      <c r="AC13">
        <v>13.83</v>
      </c>
      <c r="AD13">
        <v>0.24872197680643246</v>
      </c>
      <c r="AE13">
        <v>0.33894718595447121</v>
      </c>
    </row>
    <row r="14" spans="1:31" x14ac:dyDescent="0.25">
      <c r="A14" t="s">
        <v>39</v>
      </c>
      <c r="B14" t="s">
        <v>308</v>
      </c>
      <c r="C14">
        <v>31.512320012984013</v>
      </c>
      <c r="D14">
        <v>37781388.736842103</v>
      </c>
      <c r="E14">
        <v>11505251.02845528</v>
      </c>
      <c r="F14">
        <v>567.03563291592809</v>
      </c>
      <c r="G14">
        <v>4419.6274999999996</v>
      </c>
      <c r="H14" t="s">
        <v>267</v>
      </c>
      <c r="I14">
        <v>18441601.380952381</v>
      </c>
      <c r="J14">
        <v>-1</v>
      </c>
      <c r="K14" t="s">
        <v>309</v>
      </c>
      <c r="L14" t="s">
        <v>267</v>
      </c>
      <c r="M14">
        <v>39.049999999999997</v>
      </c>
      <c r="N14">
        <v>96.801730000000006</v>
      </c>
      <c r="O14">
        <v>108.9029</v>
      </c>
      <c r="P14">
        <v>33.19896</v>
      </c>
      <c r="Q14" t="s">
        <v>309</v>
      </c>
      <c r="R14" t="s">
        <v>309</v>
      </c>
      <c r="S14">
        <v>29712040</v>
      </c>
      <c r="T14" t="s">
        <v>267</v>
      </c>
      <c r="U14">
        <v>-95.953275000000019</v>
      </c>
      <c r="V14">
        <v>1404.48</v>
      </c>
      <c r="W14" t="s">
        <v>309</v>
      </c>
      <c r="X14">
        <v>624595.4800000001</v>
      </c>
      <c r="Y14" t="s">
        <v>310</v>
      </c>
      <c r="Z14" t="s">
        <v>270</v>
      </c>
      <c r="AA14" t="s">
        <v>275</v>
      </c>
      <c r="AB14" t="s">
        <v>272</v>
      </c>
      <c r="AC14">
        <v>122.25</v>
      </c>
      <c r="AD14">
        <v>0.23823637699241276</v>
      </c>
      <c r="AE14">
        <v>0.31141094824752025</v>
      </c>
    </row>
    <row r="15" spans="1:31" x14ac:dyDescent="0.25">
      <c r="A15" t="s">
        <v>40</v>
      </c>
      <c r="B15" t="s">
        <v>311</v>
      </c>
      <c r="C15">
        <v>27.250573906389491</v>
      </c>
      <c r="D15">
        <v>4249589.6105263159</v>
      </c>
      <c r="E15">
        <v>6182076.8902439</v>
      </c>
      <c r="F15">
        <v>288.04892108236311</v>
      </c>
      <c r="G15">
        <v>2259.232</v>
      </c>
      <c r="H15" t="s">
        <v>267</v>
      </c>
      <c r="I15">
        <v>8204420.4761904757</v>
      </c>
      <c r="J15">
        <v>-1</v>
      </c>
      <c r="K15" t="s">
        <v>312</v>
      </c>
      <c r="L15" t="s">
        <v>267</v>
      </c>
      <c r="M15">
        <v>27.2</v>
      </c>
      <c r="N15">
        <v>-8.6450750000000003</v>
      </c>
      <c r="O15">
        <v>-9.3293219999999994</v>
      </c>
      <c r="P15">
        <v>-8.7012999999999998</v>
      </c>
      <c r="Q15" t="s">
        <v>313</v>
      </c>
      <c r="R15" t="s">
        <v>312</v>
      </c>
      <c r="S15">
        <v>5918000</v>
      </c>
      <c r="T15" t="s">
        <v>267</v>
      </c>
      <c r="U15">
        <v>189.04846999999992</v>
      </c>
      <c r="V15">
        <v>2284.1320000000001</v>
      </c>
      <c r="W15" t="s">
        <v>312</v>
      </c>
      <c r="X15">
        <v>5283631.1879999992</v>
      </c>
      <c r="Y15" t="s">
        <v>314</v>
      </c>
      <c r="Z15" t="s">
        <v>270</v>
      </c>
      <c r="AA15" t="s">
        <v>271</v>
      </c>
      <c r="AB15" t="s">
        <v>272</v>
      </c>
      <c r="AC15">
        <v>84.36</v>
      </c>
      <c r="AD15">
        <v>0.10534562827020066</v>
      </c>
      <c r="AE15">
        <v>0.11039848343802369</v>
      </c>
    </row>
    <row r="16" spans="1:31" x14ac:dyDescent="0.25">
      <c r="A16" t="s">
        <v>41</v>
      </c>
      <c r="B16" t="s">
        <v>315</v>
      </c>
      <c r="C16">
        <v>17.979728065994955</v>
      </c>
      <c r="D16">
        <v>36366876.315789476</v>
      </c>
      <c r="E16">
        <v>767673.20836134418</v>
      </c>
      <c r="F16">
        <v>156.96472672880986</v>
      </c>
      <c r="G16">
        <v>1194.57</v>
      </c>
      <c r="H16" t="s">
        <v>267</v>
      </c>
      <c r="I16">
        <v>5883976.9047619058</v>
      </c>
      <c r="J16">
        <v>-1</v>
      </c>
      <c r="K16" t="s">
        <v>316</v>
      </c>
      <c r="L16" t="s">
        <v>267</v>
      </c>
      <c r="M16">
        <v>6.1</v>
      </c>
      <c r="N16">
        <v>121.8278</v>
      </c>
      <c r="O16">
        <v>111.0532</v>
      </c>
      <c r="P16">
        <v>8.7879579999999997</v>
      </c>
      <c r="Q16" t="s">
        <v>316</v>
      </c>
      <c r="R16" t="s">
        <v>316</v>
      </c>
      <c r="S16">
        <v>24115820</v>
      </c>
      <c r="T16" t="s">
        <v>267</v>
      </c>
      <c r="U16">
        <v>-40.391485000000003</v>
      </c>
      <c r="V16">
        <v>100.69500000000001</v>
      </c>
      <c r="W16" t="s">
        <v>316</v>
      </c>
      <c r="X16">
        <v>400601.09583333338</v>
      </c>
      <c r="Y16" t="s">
        <v>310</v>
      </c>
      <c r="Z16" t="s">
        <v>270</v>
      </c>
      <c r="AA16" t="s">
        <v>303</v>
      </c>
      <c r="AB16" t="s">
        <v>272</v>
      </c>
      <c r="AC16">
        <v>202.4</v>
      </c>
      <c r="AD16">
        <v>0.14152501372280502</v>
      </c>
      <c r="AE16">
        <v>0.18470082595617304</v>
      </c>
    </row>
    <row r="17" spans="1:31" x14ac:dyDescent="0.25">
      <c r="A17" t="s">
        <v>42</v>
      </c>
      <c r="B17" t="s">
        <v>317</v>
      </c>
      <c r="C17">
        <v>17.4341097620824</v>
      </c>
      <c r="D17">
        <v>128618025.78947368</v>
      </c>
      <c r="E17">
        <v>14711936.46153846</v>
      </c>
      <c r="F17">
        <v>1072.3595510883563</v>
      </c>
      <c r="G17">
        <v>8415.2525000000005</v>
      </c>
      <c r="H17" t="s">
        <v>267</v>
      </c>
      <c r="I17">
        <v>194014172.42857146</v>
      </c>
      <c r="J17">
        <v>-1</v>
      </c>
      <c r="K17" t="s">
        <v>318</v>
      </c>
      <c r="L17" t="s">
        <v>267</v>
      </c>
      <c r="M17">
        <v>1194.5</v>
      </c>
      <c r="N17">
        <v>-13.38716</v>
      </c>
      <c r="O17">
        <v>-18.602029999999999</v>
      </c>
      <c r="P17">
        <v>-6.9587659999999998</v>
      </c>
      <c r="Q17" t="s">
        <v>319</v>
      </c>
      <c r="R17" t="s">
        <v>318</v>
      </c>
      <c r="S17">
        <v>158484900</v>
      </c>
      <c r="T17" t="s">
        <v>267</v>
      </c>
      <c r="U17" t="s">
        <v>267</v>
      </c>
      <c r="V17">
        <v>141.91999999999999</v>
      </c>
      <c r="W17" t="s">
        <v>318</v>
      </c>
      <c r="X17" t="s">
        <v>267</v>
      </c>
      <c r="Y17" t="s">
        <v>279</v>
      </c>
      <c r="Z17" t="s">
        <v>270</v>
      </c>
      <c r="AA17" t="s">
        <v>271</v>
      </c>
      <c r="AB17" t="s">
        <v>272</v>
      </c>
      <c r="AC17">
        <v>7.22</v>
      </c>
      <c r="AD17">
        <v>6.4499339533006447E-2</v>
      </c>
      <c r="AE17">
        <v>7.0557502111793638E-2</v>
      </c>
    </row>
    <row r="18" spans="1:31" x14ac:dyDescent="0.25">
      <c r="A18" t="s">
        <v>43</v>
      </c>
      <c r="B18" t="s">
        <v>320</v>
      </c>
      <c r="C18">
        <v>13.360036551169767</v>
      </c>
      <c r="D18">
        <v>168190907.36842108</v>
      </c>
      <c r="E18">
        <v>71354241.994535476</v>
      </c>
      <c r="F18">
        <v>1530.8028121013499</v>
      </c>
      <c r="G18">
        <v>11068.092000000001</v>
      </c>
      <c r="H18" t="s">
        <v>267</v>
      </c>
      <c r="I18">
        <v>87136592.380952388</v>
      </c>
      <c r="J18">
        <v>-1</v>
      </c>
      <c r="K18" t="s">
        <v>321</v>
      </c>
      <c r="L18" t="s">
        <v>267</v>
      </c>
      <c r="M18">
        <v>601.19999999999993</v>
      </c>
      <c r="N18">
        <v>-2.6247820000000002</v>
      </c>
      <c r="O18">
        <v>-5.8405310000000004</v>
      </c>
      <c r="P18">
        <v>-14.40443</v>
      </c>
      <c r="Q18" t="s">
        <v>322</v>
      </c>
      <c r="R18" t="s">
        <v>321</v>
      </c>
      <c r="S18">
        <v>128849200</v>
      </c>
      <c r="T18" t="s">
        <v>267</v>
      </c>
      <c r="U18" t="s">
        <v>267</v>
      </c>
      <c r="V18">
        <v>5954.2560000000003</v>
      </c>
      <c r="W18" t="s">
        <v>321</v>
      </c>
      <c r="X18" t="s">
        <v>267</v>
      </c>
      <c r="Y18" t="s">
        <v>269</v>
      </c>
      <c r="Z18" t="s">
        <v>270</v>
      </c>
      <c r="AA18" t="s">
        <v>271</v>
      </c>
      <c r="AB18" t="s">
        <v>272</v>
      </c>
      <c r="AC18">
        <v>18.54</v>
      </c>
      <c r="AD18">
        <v>9.6199837885557637E-2</v>
      </c>
      <c r="AE18">
        <v>0.10697566856276075</v>
      </c>
    </row>
    <row r="19" spans="1:31" x14ac:dyDescent="0.25">
      <c r="A19" t="s">
        <v>44</v>
      </c>
      <c r="B19" t="s">
        <v>323</v>
      </c>
      <c r="C19">
        <v>11.979978538929059</v>
      </c>
      <c r="D19">
        <v>33826023.684210524</v>
      </c>
      <c r="E19">
        <v>4274004.1321138199</v>
      </c>
      <c r="F19">
        <v>237.86222766095813</v>
      </c>
      <c r="G19">
        <v>1864.8</v>
      </c>
      <c r="H19" t="s">
        <v>267</v>
      </c>
      <c r="I19">
        <v>14500173.761904761</v>
      </c>
      <c r="J19">
        <v>-1</v>
      </c>
      <c r="K19" t="s">
        <v>324</v>
      </c>
      <c r="L19" t="s">
        <v>267</v>
      </c>
      <c r="M19">
        <v>202</v>
      </c>
      <c r="N19">
        <v>-6.6851349999999998</v>
      </c>
      <c r="O19">
        <v>-13.30869</v>
      </c>
      <c r="P19">
        <v>-6.5737050000000004</v>
      </c>
      <c r="Q19" t="s">
        <v>324</v>
      </c>
      <c r="R19" t="s">
        <v>324</v>
      </c>
      <c r="S19">
        <v>32885680</v>
      </c>
      <c r="T19" t="s">
        <v>267</v>
      </c>
      <c r="U19">
        <v>20.147680000000001</v>
      </c>
      <c r="V19">
        <v>566.96799999999996</v>
      </c>
      <c r="W19" t="s">
        <v>324</v>
      </c>
      <c r="X19">
        <v>134796.66666666666</v>
      </c>
      <c r="Y19" t="s">
        <v>310</v>
      </c>
      <c r="Z19" t="s">
        <v>270</v>
      </c>
      <c r="AA19" t="s">
        <v>271</v>
      </c>
      <c r="AB19" t="s">
        <v>272</v>
      </c>
      <c r="AC19">
        <v>9.3800000000000008</v>
      </c>
      <c r="AD19">
        <v>0.10217348978721763</v>
      </c>
      <c r="AE19">
        <v>0.12018702800516089</v>
      </c>
    </row>
    <row r="20" spans="1:31" x14ac:dyDescent="0.25">
      <c r="A20" t="s">
        <v>45</v>
      </c>
      <c r="B20" t="s">
        <v>325</v>
      </c>
      <c r="C20">
        <v>10.687800868601014</v>
      </c>
      <c r="D20">
        <v>436786242.10526311</v>
      </c>
      <c r="E20">
        <v>337389198.41463405</v>
      </c>
      <c r="F20">
        <v>1684.3703251845805</v>
      </c>
      <c r="G20">
        <v>13240.36875</v>
      </c>
      <c r="H20" t="s">
        <v>267</v>
      </c>
      <c r="I20">
        <v>415390195.23809522</v>
      </c>
      <c r="J20">
        <v>-1</v>
      </c>
      <c r="K20" t="s">
        <v>326</v>
      </c>
      <c r="L20" t="s">
        <v>267</v>
      </c>
      <c r="M20">
        <v>1473.3</v>
      </c>
      <c r="N20">
        <v>-19.75985</v>
      </c>
      <c r="O20">
        <v>-19.800689999999999</v>
      </c>
      <c r="P20">
        <v>-9.7073169999999998</v>
      </c>
      <c r="Q20" t="s">
        <v>326</v>
      </c>
      <c r="R20" t="s">
        <v>326</v>
      </c>
      <c r="S20">
        <v>353767300</v>
      </c>
      <c r="T20" t="s">
        <v>267</v>
      </c>
      <c r="U20">
        <v>-519.47058000000027</v>
      </c>
      <c r="V20">
        <v>18634.215</v>
      </c>
      <c r="W20" t="s">
        <v>326</v>
      </c>
      <c r="X20">
        <v>135389982.00000003</v>
      </c>
      <c r="Y20" t="s">
        <v>314</v>
      </c>
      <c r="Z20" t="s">
        <v>270</v>
      </c>
      <c r="AA20" t="s">
        <v>271</v>
      </c>
      <c r="AB20" t="s">
        <v>272</v>
      </c>
      <c r="AC20">
        <v>9.2550000000000008</v>
      </c>
      <c r="AD20">
        <v>6.4662662478549807E-2</v>
      </c>
      <c r="AE20">
        <v>7.4039153954558526E-2</v>
      </c>
    </row>
    <row r="21" spans="1:31" x14ac:dyDescent="0.25">
      <c r="A21" t="s">
        <v>46</v>
      </c>
      <c r="B21" t="s">
        <v>327</v>
      </c>
      <c r="C21">
        <v>10.136427059153615</v>
      </c>
      <c r="D21">
        <v>6667107.3157894742</v>
      </c>
      <c r="E21">
        <v>3467047.9372384916</v>
      </c>
      <c r="F21">
        <v>129.32324808506883</v>
      </c>
      <c r="G21">
        <v>1011.7529999999999</v>
      </c>
      <c r="H21" t="s">
        <v>267</v>
      </c>
      <c r="I21">
        <v>4404355.4285714282</v>
      </c>
      <c r="J21">
        <v>-1</v>
      </c>
      <c r="K21" t="s">
        <v>328</v>
      </c>
      <c r="L21" t="s">
        <v>267</v>
      </c>
      <c r="M21">
        <v>71.099999999999994</v>
      </c>
      <c r="N21">
        <v>55.260429999999999</v>
      </c>
      <c r="O21">
        <v>62.173920000000003</v>
      </c>
      <c r="P21">
        <v>20.61439</v>
      </c>
      <c r="Q21" t="s">
        <v>329</v>
      </c>
      <c r="R21" t="s">
        <v>328</v>
      </c>
      <c r="S21">
        <v>5788639</v>
      </c>
      <c r="T21" t="s">
        <v>267</v>
      </c>
      <c r="U21">
        <v>-143.45934</v>
      </c>
      <c r="V21">
        <v>634.79999999999995</v>
      </c>
      <c r="W21" t="s">
        <v>328</v>
      </c>
      <c r="X21">
        <v>655381.39199999999</v>
      </c>
      <c r="Y21" t="s">
        <v>330</v>
      </c>
      <c r="Z21" t="s">
        <v>270</v>
      </c>
      <c r="AA21" t="s">
        <v>275</v>
      </c>
      <c r="AB21" t="s">
        <v>272</v>
      </c>
      <c r="AC21">
        <v>14.92</v>
      </c>
      <c r="AD21">
        <v>0.3002781122241811</v>
      </c>
      <c r="AE21">
        <v>0.35178327509213436</v>
      </c>
    </row>
    <row r="22" spans="1:31" x14ac:dyDescent="0.25">
      <c r="A22" t="s">
        <v>47</v>
      </c>
      <c r="B22" t="s">
        <v>331</v>
      </c>
      <c r="C22">
        <v>8.6236499999999996</v>
      </c>
      <c r="D22">
        <v>42886116.263157897</v>
      </c>
      <c r="E22">
        <v>196396.77272727274</v>
      </c>
      <c r="F22">
        <v>21.895721989999998</v>
      </c>
      <c r="G22">
        <v>172.5</v>
      </c>
      <c r="H22" t="s">
        <v>332</v>
      </c>
      <c r="I22">
        <v>1738274.3809523811</v>
      </c>
      <c r="J22">
        <v>-1</v>
      </c>
      <c r="K22" t="s">
        <v>278</v>
      </c>
      <c r="L22" t="s">
        <v>267</v>
      </c>
      <c r="M22">
        <v>3750</v>
      </c>
      <c r="N22">
        <v>-96.08108</v>
      </c>
      <c r="O22">
        <v>-95.614040000000003</v>
      </c>
      <c r="P22">
        <v>-27.53623</v>
      </c>
      <c r="Q22" t="s">
        <v>278</v>
      </c>
      <c r="R22" t="s">
        <v>278</v>
      </c>
      <c r="S22">
        <v>28761190</v>
      </c>
      <c r="T22" t="s">
        <v>267</v>
      </c>
      <c r="U22" t="s">
        <v>267</v>
      </c>
      <c r="V22">
        <v>5.6999999999999993</v>
      </c>
      <c r="W22" t="s">
        <v>278</v>
      </c>
      <c r="X22" t="s">
        <v>267</v>
      </c>
      <c r="Y22" t="s">
        <v>279</v>
      </c>
      <c r="Z22" t="s">
        <v>333</v>
      </c>
      <c r="AA22" t="s">
        <v>280</v>
      </c>
      <c r="AB22" t="s">
        <v>281</v>
      </c>
      <c r="AC22">
        <v>0.05</v>
      </c>
      <c r="AD22">
        <v>1.8357055897644865</v>
      </c>
      <c r="AE22">
        <v>1.9358562019951882</v>
      </c>
    </row>
    <row r="23" spans="1:31" x14ac:dyDescent="0.25">
      <c r="A23" t="s">
        <v>48</v>
      </c>
      <c r="B23" t="s">
        <v>334</v>
      </c>
      <c r="C23">
        <v>6.0731178391407603</v>
      </c>
      <c r="D23">
        <v>9782956.8947368413</v>
      </c>
      <c r="E23">
        <v>3897590.3004065049</v>
      </c>
      <c r="F23">
        <v>174.08995192614222</v>
      </c>
      <c r="G23">
        <v>1343.7</v>
      </c>
      <c r="H23" t="s">
        <v>267</v>
      </c>
      <c r="I23">
        <v>4849229.0333333332</v>
      </c>
      <c r="J23">
        <v>-1</v>
      </c>
      <c r="K23" t="s">
        <v>335</v>
      </c>
      <c r="L23" t="s">
        <v>267</v>
      </c>
      <c r="M23">
        <v>23</v>
      </c>
      <c r="N23">
        <v>17.462129999999998</v>
      </c>
      <c r="O23">
        <v>16.46602</v>
      </c>
      <c r="P23">
        <v>-2.6298680000000001</v>
      </c>
      <c r="Q23" t="s">
        <v>335</v>
      </c>
      <c r="R23" t="s">
        <v>335</v>
      </c>
      <c r="S23">
        <v>5949283</v>
      </c>
      <c r="T23" t="s">
        <v>267</v>
      </c>
      <c r="U23">
        <v>20.028729999999999</v>
      </c>
      <c r="V23">
        <v>988.8</v>
      </c>
      <c r="W23" t="s">
        <v>335</v>
      </c>
      <c r="X23">
        <v>2151535.3119999999</v>
      </c>
      <c r="Y23" t="s">
        <v>284</v>
      </c>
      <c r="Z23" t="s">
        <v>270</v>
      </c>
      <c r="AA23" t="s">
        <v>336</v>
      </c>
      <c r="AB23" t="s">
        <v>272</v>
      </c>
      <c r="AC23">
        <v>59.98</v>
      </c>
      <c r="AD23">
        <v>9.7706855208629456E-2</v>
      </c>
      <c r="AE23">
        <v>0.11774971632851489</v>
      </c>
    </row>
    <row r="24" spans="1:31" x14ac:dyDescent="0.25">
      <c r="A24" t="s">
        <v>49</v>
      </c>
      <c r="B24" t="s">
        <v>337</v>
      </c>
      <c r="C24">
        <v>5.0309419860060576</v>
      </c>
      <c r="D24">
        <v>18926234.789473686</v>
      </c>
      <c r="E24">
        <v>1548567.4756756756</v>
      </c>
      <c r="F24">
        <v>126.77838924522766</v>
      </c>
      <c r="G24">
        <v>979.99700000000018</v>
      </c>
      <c r="H24" t="s">
        <v>267</v>
      </c>
      <c r="I24">
        <v>5503660.4285714282</v>
      </c>
      <c r="J24">
        <v>-1</v>
      </c>
      <c r="K24" t="s">
        <v>338</v>
      </c>
      <c r="L24" t="s">
        <v>267</v>
      </c>
      <c r="M24">
        <v>73.399999999999991</v>
      </c>
      <c r="N24">
        <v>4.7536940000000003</v>
      </c>
      <c r="O24">
        <v>1.6176440000000001</v>
      </c>
      <c r="P24">
        <v>-7.9280489999999997</v>
      </c>
      <c r="Q24" t="s">
        <v>338</v>
      </c>
      <c r="R24" t="s">
        <v>338</v>
      </c>
      <c r="S24">
        <v>15295760</v>
      </c>
      <c r="T24" t="s">
        <v>267</v>
      </c>
      <c r="U24">
        <v>-4.1157899999999978</v>
      </c>
      <c r="V24">
        <v>214.88</v>
      </c>
      <c r="W24" t="s">
        <v>338</v>
      </c>
      <c r="X24">
        <v>246775.64705882352</v>
      </c>
      <c r="Y24" t="s">
        <v>284</v>
      </c>
      <c r="Z24" t="s">
        <v>270</v>
      </c>
      <c r="AA24" t="s">
        <v>339</v>
      </c>
      <c r="AB24" t="s">
        <v>272</v>
      </c>
      <c r="AC24">
        <v>13.82</v>
      </c>
      <c r="AD24">
        <v>0.14721384086627234</v>
      </c>
      <c r="AE24">
        <v>0.20216142658324635</v>
      </c>
    </row>
    <row r="25" spans="1:31" x14ac:dyDescent="0.25">
      <c r="A25" t="s">
        <v>50</v>
      </c>
      <c r="B25" t="s">
        <v>340</v>
      </c>
      <c r="C25">
        <v>4.719740836160498</v>
      </c>
      <c r="D25">
        <v>80523830.526315793</v>
      </c>
      <c r="E25">
        <v>31350760.735772353</v>
      </c>
      <c r="F25">
        <v>240.16271151859831</v>
      </c>
      <c r="G25">
        <v>1874.18</v>
      </c>
      <c r="H25" t="s">
        <v>267</v>
      </c>
      <c r="I25">
        <v>103172834.2857143</v>
      </c>
      <c r="J25">
        <v>-1</v>
      </c>
      <c r="K25" t="s">
        <v>341</v>
      </c>
      <c r="L25" t="s">
        <v>267</v>
      </c>
      <c r="M25">
        <v>154</v>
      </c>
      <c r="N25">
        <v>-14.674709999999999</v>
      </c>
      <c r="O25">
        <v>-8.8501770000000004</v>
      </c>
      <c r="P25">
        <v>-4.1055739999999998</v>
      </c>
      <c r="Q25" t="s">
        <v>341</v>
      </c>
      <c r="R25" t="s">
        <v>341</v>
      </c>
      <c r="S25">
        <v>76630500</v>
      </c>
      <c r="T25" t="s">
        <v>267</v>
      </c>
      <c r="U25">
        <v>192.33083999999999</v>
      </c>
      <c r="V25">
        <v>1696.17</v>
      </c>
      <c r="W25" t="s">
        <v>341</v>
      </c>
      <c r="X25">
        <v>2288578.716</v>
      </c>
      <c r="Y25" t="s">
        <v>284</v>
      </c>
      <c r="Z25" t="s">
        <v>270</v>
      </c>
      <c r="AA25" t="s">
        <v>271</v>
      </c>
      <c r="AB25" t="s">
        <v>272</v>
      </c>
      <c r="AC25">
        <v>13.08</v>
      </c>
      <c r="AD25">
        <v>0.10232943154164573</v>
      </c>
      <c r="AE25">
        <v>0.12297968933650612</v>
      </c>
    </row>
    <row r="26" spans="1:31" x14ac:dyDescent="0.25">
      <c r="A26" t="s">
        <v>51</v>
      </c>
      <c r="B26" t="s">
        <v>342</v>
      </c>
      <c r="C26">
        <v>4.4522485524067035</v>
      </c>
      <c r="D26">
        <v>7843170.2105263164</v>
      </c>
      <c r="E26">
        <v>2111103.1443089424</v>
      </c>
      <c r="F26">
        <v>164.24590249000002</v>
      </c>
      <c r="G26">
        <v>799.36768800000004</v>
      </c>
      <c r="H26" t="s">
        <v>267</v>
      </c>
      <c r="I26">
        <v>4259500.1904761903</v>
      </c>
      <c r="J26">
        <v>-1</v>
      </c>
      <c r="K26" t="s">
        <v>343</v>
      </c>
      <c r="L26" t="s">
        <v>267</v>
      </c>
      <c r="M26">
        <v>68.674199999999999</v>
      </c>
      <c r="N26">
        <v>8.3381439999999998</v>
      </c>
      <c r="O26">
        <v>8.2255109999999991</v>
      </c>
      <c r="P26">
        <v>-2.2537530000000001</v>
      </c>
      <c r="Q26" t="s">
        <v>343</v>
      </c>
      <c r="R26" t="s">
        <v>343</v>
      </c>
      <c r="S26">
        <v>6059329</v>
      </c>
      <c r="T26" t="s">
        <v>267</v>
      </c>
      <c r="U26">
        <v>38.351599999999976</v>
      </c>
      <c r="V26">
        <v>402.22484400000002</v>
      </c>
      <c r="W26" t="s">
        <v>343</v>
      </c>
      <c r="X26">
        <v>332379.39999999997</v>
      </c>
      <c r="Y26" t="s">
        <v>269</v>
      </c>
      <c r="Z26" t="s">
        <v>270</v>
      </c>
      <c r="AA26" t="s">
        <v>336</v>
      </c>
      <c r="AB26" t="s">
        <v>272</v>
      </c>
      <c r="AC26">
        <v>11.71</v>
      </c>
      <c r="AD26">
        <v>0.12551952251008999</v>
      </c>
      <c r="AE26">
        <v>0.13684268588833404</v>
      </c>
    </row>
    <row r="27" spans="1:31" x14ac:dyDescent="0.25">
      <c r="A27" t="s">
        <v>52</v>
      </c>
      <c r="B27" t="s">
        <v>344</v>
      </c>
      <c r="C27">
        <v>4.3055304063962447</v>
      </c>
      <c r="D27">
        <v>139552080.00000003</v>
      </c>
      <c r="E27">
        <v>74083.769230769249</v>
      </c>
      <c r="F27">
        <v>219.58183805868322</v>
      </c>
      <c r="G27">
        <v>1748.79</v>
      </c>
      <c r="H27" t="s">
        <v>267</v>
      </c>
      <c r="I27">
        <v>59165.5</v>
      </c>
      <c r="J27">
        <v>-1</v>
      </c>
      <c r="K27" t="s">
        <v>345</v>
      </c>
      <c r="L27" t="s">
        <v>267</v>
      </c>
      <c r="M27">
        <v>153</v>
      </c>
      <c r="N27">
        <v>42.52355</v>
      </c>
      <c r="O27">
        <v>44.783709999999999</v>
      </c>
      <c r="P27">
        <v>-3.2312940000000001</v>
      </c>
      <c r="Q27" t="s">
        <v>345</v>
      </c>
      <c r="R27" t="s">
        <v>345</v>
      </c>
      <c r="S27">
        <v>66021710</v>
      </c>
      <c r="T27" t="s">
        <v>267</v>
      </c>
      <c r="U27" t="s">
        <v>267</v>
      </c>
      <c r="V27">
        <v>632.73</v>
      </c>
      <c r="W27" t="s">
        <v>345</v>
      </c>
      <c r="X27" t="s">
        <v>267</v>
      </c>
      <c r="Y27" t="s">
        <v>279</v>
      </c>
      <c r="Z27" t="s">
        <v>270</v>
      </c>
      <c r="AA27" t="s">
        <v>280</v>
      </c>
      <c r="AB27" t="s">
        <v>272</v>
      </c>
      <c r="AC27">
        <v>11.38</v>
      </c>
      <c r="AD27">
        <v>0.12936261010602668</v>
      </c>
      <c r="AE27">
        <v>0.14329891633332606</v>
      </c>
    </row>
    <row r="28" spans="1:31" x14ac:dyDescent="0.25">
      <c r="A28" t="s">
        <v>53</v>
      </c>
      <c r="B28" t="s">
        <v>346</v>
      </c>
      <c r="C28">
        <v>4.2048567711654501</v>
      </c>
      <c r="D28">
        <v>32022716.47368421</v>
      </c>
      <c r="E28">
        <v>27651603.798994977</v>
      </c>
      <c r="F28">
        <v>344.91529545657409</v>
      </c>
      <c r="G28">
        <v>2712.84</v>
      </c>
      <c r="H28" t="s">
        <v>267</v>
      </c>
      <c r="I28">
        <v>49651289.52380953</v>
      </c>
      <c r="J28">
        <v>-1</v>
      </c>
      <c r="K28" t="s">
        <v>347</v>
      </c>
      <c r="L28" t="s">
        <v>267</v>
      </c>
      <c r="M28">
        <v>376</v>
      </c>
      <c r="N28">
        <v>-12.94398</v>
      </c>
      <c r="O28">
        <v>-19.065719999999999</v>
      </c>
      <c r="P28">
        <v>-7.0492869999999996</v>
      </c>
      <c r="Q28" t="s">
        <v>347</v>
      </c>
      <c r="R28" t="s">
        <v>347</v>
      </c>
      <c r="S28">
        <v>32494770</v>
      </c>
      <c r="T28" t="s">
        <v>267</v>
      </c>
      <c r="U28" t="s">
        <v>267</v>
      </c>
      <c r="V28">
        <v>2584.7640000000001</v>
      </c>
      <c r="W28" t="s">
        <v>347</v>
      </c>
      <c r="X28" t="s">
        <v>267</v>
      </c>
      <c r="Y28" t="s">
        <v>310</v>
      </c>
      <c r="Z28" t="s">
        <v>270</v>
      </c>
      <c r="AA28" t="s">
        <v>271</v>
      </c>
      <c r="AB28" t="s">
        <v>272</v>
      </c>
      <c r="AC28">
        <v>7.45</v>
      </c>
      <c r="AD28">
        <v>0.12663956123082881</v>
      </c>
      <c r="AE28">
        <v>0.14872345686376159</v>
      </c>
    </row>
    <row r="29" spans="1:31" x14ac:dyDescent="0.25">
      <c r="A29" t="s">
        <v>54</v>
      </c>
      <c r="B29" t="s">
        <v>348</v>
      </c>
      <c r="C29">
        <v>4.1691893386473602</v>
      </c>
      <c r="D29">
        <v>628221.8823529412</v>
      </c>
      <c r="E29">
        <v>129789.22249999996</v>
      </c>
      <c r="F29">
        <v>311.17359119368535</v>
      </c>
      <c r="G29">
        <v>2444.5079999999998</v>
      </c>
      <c r="H29" t="s">
        <v>267</v>
      </c>
      <c r="I29">
        <v>305402.8571428571</v>
      </c>
      <c r="J29">
        <v>-1</v>
      </c>
      <c r="K29" t="s">
        <v>349</v>
      </c>
      <c r="L29" t="s">
        <v>267</v>
      </c>
      <c r="M29">
        <v>92.844999999999999</v>
      </c>
      <c r="N29">
        <v>-10.12181</v>
      </c>
      <c r="O29">
        <v>-10.16722</v>
      </c>
      <c r="P29">
        <v>-7.6975959999999999</v>
      </c>
      <c r="Q29" t="s">
        <v>349</v>
      </c>
      <c r="R29" t="s">
        <v>349</v>
      </c>
      <c r="S29">
        <v>288119.7</v>
      </c>
      <c r="T29" t="s">
        <v>267</v>
      </c>
      <c r="U29">
        <v>0.27275219999991229</v>
      </c>
      <c r="V29">
        <v>2659.605</v>
      </c>
      <c r="W29" t="s">
        <v>349</v>
      </c>
      <c r="X29">
        <v>151894</v>
      </c>
      <c r="Y29" t="s">
        <v>350</v>
      </c>
      <c r="Z29" t="s">
        <v>270</v>
      </c>
      <c r="AA29" t="s">
        <v>275</v>
      </c>
      <c r="AB29" t="s">
        <v>272</v>
      </c>
      <c r="AC29">
        <v>26.86</v>
      </c>
      <c r="AD29">
        <v>0.2616399967827806</v>
      </c>
      <c r="AE29">
        <v>0.35084873531296346</v>
      </c>
    </row>
    <row r="30" spans="1:31" x14ac:dyDescent="0.25">
      <c r="A30" t="s">
        <v>55</v>
      </c>
      <c r="B30" t="s">
        <v>351</v>
      </c>
      <c r="C30">
        <v>3.7203275259546462</v>
      </c>
      <c r="D30">
        <v>24217544.105263159</v>
      </c>
      <c r="E30">
        <v>33028880.398373965</v>
      </c>
      <c r="F30">
        <v>714.59867605233285</v>
      </c>
      <c r="G30">
        <v>5606.5999999999995</v>
      </c>
      <c r="H30" t="s">
        <v>267</v>
      </c>
      <c r="I30">
        <v>35153089.47619047</v>
      </c>
      <c r="J30">
        <v>-1</v>
      </c>
      <c r="K30" t="s">
        <v>352</v>
      </c>
      <c r="L30" t="s">
        <v>267</v>
      </c>
      <c r="M30">
        <v>194</v>
      </c>
      <c r="N30">
        <v>-2.9940660000000001</v>
      </c>
      <c r="O30">
        <v>-4.4078939999999998</v>
      </c>
      <c r="P30">
        <v>-8.9028200000000002</v>
      </c>
      <c r="Q30" t="s">
        <v>352</v>
      </c>
      <c r="R30" t="s">
        <v>352</v>
      </c>
      <c r="S30">
        <v>26296730</v>
      </c>
      <c r="T30" t="s">
        <v>267</v>
      </c>
      <c r="U30">
        <v>2521.7078599999995</v>
      </c>
      <c r="V30">
        <v>3702.72</v>
      </c>
      <c r="W30" t="s">
        <v>352</v>
      </c>
      <c r="X30">
        <v>10061715.960000001</v>
      </c>
      <c r="Y30" t="s">
        <v>310</v>
      </c>
      <c r="Z30" t="s">
        <v>270</v>
      </c>
      <c r="AA30" t="s">
        <v>275</v>
      </c>
      <c r="AB30" t="s">
        <v>272</v>
      </c>
      <c r="AC30">
        <v>29.06</v>
      </c>
      <c r="AD30">
        <v>0.11900812236155466</v>
      </c>
      <c r="AE30">
        <v>0.14866576232496123</v>
      </c>
    </row>
    <row r="31" spans="1:31" x14ac:dyDescent="0.25">
      <c r="A31" t="s">
        <v>56</v>
      </c>
      <c r="B31" t="s">
        <v>353</v>
      </c>
      <c r="C31">
        <v>3.0619891878481824</v>
      </c>
      <c r="D31">
        <v>8796860.6842105258</v>
      </c>
      <c r="E31">
        <v>70987.542763157879</v>
      </c>
      <c r="F31">
        <v>15.924684149999999</v>
      </c>
      <c r="G31">
        <v>125.02200000000001</v>
      </c>
      <c r="H31" t="s">
        <v>267</v>
      </c>
      <c r="I31">
        <v>314459.99523809529</v>
      </c>
      <c r="J31">
        <v>-1</v>
      </c>
      <c r="K31" t="s">
        <v>354</v>
      </c>
      <c r="L31" t="s">
        <v>267</v>
      </c>
      <c r="M31">
        <v>6.6999999999999993</v>
      </c>
      <c r="N31">
        <v>96.622529999999998</v>
      </c>
      <c r="O31">
        <v>103.6228</v>
      </c>
      <c r="P31">
        <v>-1.596293</v>
      </c>
      <c r="Q31" t="s">
        <v>355</v>
      </c>
      <c r="R31" t="s">
        <v>354</v>
      </c>
      <c r="S31">
        <v>4784895</v>
      </c>
      <c r="T31" t="s">
        <v>267</v>
      </c>
      <c r="U31">
        <v>0</v>
      </c>
      <c r="V31">
        <v>21.585499999999996</v>
      </c>
      <c r="W31" t="s">
        <v>354</v>
      </c>
      <c r="X31">
        <v>119007.5652173913</v>
      </c>
      <c r="Y31" t="s">
        <v>356</v>
      </c>
      <c r="Z31" t="s">
        <v>270</v>
      </c>
      <c r="AA31" t="s">
        <v>357</v>
      </c>
      <c r="AB31" t="s">
        <v>272</v>
      </c>
      <c r="AC31">
        <v>19.11</v>
      </c>
      <c r="AD31">
        <v>0.27914468822269956</v>
      </c>
      <c r="AE31">
        <v>0.51599101986417018</v>
      </c>
    </row>
    <row r="32" spans="1:31" x14ac:dyDescent="0.25">
      <c r="A32" t="s">
        <v>57</v>
      </c>
      <c r="B32" t="s">
        <v>358</v>
      </c>
      <c r="C32">
        <v>3.0439382731794442</v>
      </c>
      <c r="D32">
        <v>14380188.736842105</v>
      </c>
      <c r="E32">
        <v>13337230.971544713</v>
      </c>
      <c r="F32">
        <v>25.594402917585846</v>
      </c>
      <c r="G32">
        <v>201.60639999999998</v>
      </c>
      <c r="H32" t="s">
        <v>277</v>
      </c>
      <c r="I32">
        <v>8815756.7619047612</v>
      </c>
      <c r="J32">
        <v>-1</v>
      </c>
      <c r="K32" t="s">
        <v>296</v>
      </c>
      <c r="L32" t="s">
        <v>267</v>
      </c>
      <c r="M32">
        <v>87.2</v>
      </c>
      <c r="N32">
        <v>-31.11889</v>
      </c>
      <c r="O32">
        <v>-29.705880000000001</v>
      </c>
      <c r="P32">
        <v>-18.374320000000001</v>
      </c>
      <c r="Q32" t="s">
        <v>296</v>
      </c>
      <c r="R32" t="s">
        <v>296</v>
      </c>
      <c r="S32">
        <v>11063420</v>
      </c>
      <c r="T32" t="s">
        <v>267</v>
      </c>
      <c r="U32">
        <v>-20.466000000000012</v>
      </c>
      <c r="V32">
        <v>255.68</v>
      </c>
      <c r="W32" t="s">
        <v>296</v>
      </c>
      <c r="X32">
        <v>12502247.16</v>
      </c>
      <c r="Y32" t="s">
        <v>279</v>
      </c>
      <c r="Z32" t="s">
        <v>270</v>
      </c>
      <c r="AA32" t="s">
        <v>275</v>
      </c>
      <c r="AB32" t="s">
        <v>272</v>
      </c>
      <c r="AC32">
        <v>2.39</v>
      </c>
      <c r="AD32">
        <v>0.11716774404535363</v>
      </c>
      <c r="AE32">
        <v>0.12709983290488569</v>
      </c>
    </row>
    <row r="33" spans="1:31" x14ac:dyDescent="0.25">
      <c r="A33" t="s">
        <v>58</v>
      </c>
      <c r="B33" t="s">
        <v>359</v>
      </c>
      <c r="C33">
        <v>3.0319962646572569</v>
      </c>
      <c r="D33">
        <v>4649994.6842105258</v>
      </c>
      <c r="E33">
        <v>420362.17741935491</v>
      </c>
      <c r="F33">
        <v>34.678080880121392</v>
      </c>
      <c r="G33">
        <v>268.59999999999997</v>
      </c>
      <c r="H33" t="s">
        <v>267</v>
      </c>
      <c r="I33">
        <v>998563.61904761905</v>
      </c>
      <c r="J33">
        <v>-1</v>
      </c>
      <c r="K33" t="s">
        <v>360</v>
      </c>
      <c r="L33" t="s">
        <v>267</v>
      </c>
      <c r="M33">
        <v>3.4499999999999997</v>
      </c>
      <c r="N33">
        <v>7.0654430000000001</v>
      </c>
      <c r="O33">
        <v>-3.068683</v>
      </c>
      <c r="P33">
        <v>-2.8557510000000002</v>
      </c>
      <c r="Q33" t="s">
        <v>360</v>
      </c>
      <c r="R33" t="s">
        <v>360</v>
      </c>
      <c r="S33">
        <v>3310076</v>
      </c>
      <c r="T33" t="s">
        <v>267</v>
      </c>
      <c r="U33" t="s">
        <v>267</v>
      </c>
      <c r="V33">
        <v>106.75600000000001</v>
      </c>
      <c r="W33" t="s">
        <v>360</v>
      </c>
      <c r="X33" t="s">
        <v>267</v>
      </c>
      <c r="Y33" t="s">
        <v>310</v>
      </c>
      <c r="Z33" t="s">
        <v>270</v>
      </c>
      <c r="AA33" t="s">
        <v>336</v>
      </c>
      <c r="AB33" t="s">
        <v>272</v>
      </c>
      <c r="AC33">
        <v>79.599999999999994</v>
      </c>
      <c r="AD33">
        <v>0.21010738371466584</v>
      </c>
      <c r="AE33">
        <v>0.25849307265196247</v>
      </c>
    </row>
    <row r="34" spans="1:31" x14ac:dyDescent="0.25">
      <c r="A34" t="s">
        <v>59</v>
      </c>
      <c r="B34" t="s">
        <v>361</v>
      </c>
      <c r="C34">
        <v>3.0013856976341033</v>
      </c>
      <c r="D34">
        <v>3352005.6842105263</v>
      </c>
      <c r="E34">
        <v>924625.10714285669</v>
      </c>
      <c r="F34">
        <v>23.961804888996568</v>
      </c>
      <c r="G34">
        <v>187.96799999999999</v>
      </c>
      <c r="H34" t="s">
        <v>267</v>
      </c>
      <c r="I34">
        <v>2222961.9904761901</v>
      </c>
      <c r="J34">
        <v>-1</v>
      </c>
      <c r="K34" t="s">
        <v>362</v>
      </c>
      <c r="L34" t="s">
        <v>267</v>
      </c>
      <c r="M34">
        <v>2.4</v>
      </c>
      <c r="N34">
        <v>4.9792120000000004</v>
      </c>
      <c r="O34">
        <v>-2.9092739999999999</v>
      </c>
      <c r="P34">
        <v>-2.1614909999999998</v>
      </c>
      <c r="Q34" t="s">
        <v>362</v>
      </c>
      <c r="R34" t="s">
        <v>362</v>
      </c>
      <c r="S34">
        <v>2823884</v>
      </c>
      <c r="T34" t="s">
        <v>267</v>
      </c>
      <c r="U34" t="s">
        <v>267</v>
      </c>
      <c r="V34">
        <v>44.616000000000007</v>
      </c>
      <c r="W34" t="s">
        <v>362</v>
      </c>
      <c r="X34" t="s">
        <v>267</v>
      </c>
      <c r="Y34" t="s">
        <v>310</v>
      </c>
      <c r="Z34" t="s">
        <v>270</v>
      </c>
      <c r="AA34" t="s">
        <v>336</v>
      </c>
      <c r="AB34" t="s">
        <v>272</v>
      </c>
      <c r="AC34">
        <v>78.760000000000005</v>
      </c>
      <c r="AD34">
        <v>0.10842798118355777</v>
      </c>
      <c r="AE34">
        <v>0.15341086415892924</v>
      </c>
    </row>
    <row r="35" spans="1:31" x14ac:dyDescent="0.25">
      <c r="A35" t="s">
        <v>60</v>
      </c>
      <c r="B35" t="s">
        <v>363</v>
      </c>
      <c r="C35">
        <v>2.6408876418825131</v>
      </c>
      <c r="D35">
        <v>196847510.52631578</v>
      </c>
      <c r="E35">
        <v>135922364.65853655</v>
      </c>
      <c r="F35">
        <v>2773.1362157126277</v>
      </c>
      <c r="G35">
        <v>21746.171999999999</v>
      </c>
      <c r="H35" t="s">
        <v>267</v>
      </c>
      <c r="I35">
        <v>319867709.52380955</v>
      </c>
      <c r="J35">
        <v>-1</v>
      </c>
      <c r="K35" t="s">
        <v>324</v>
      </c>
      <c r="L35" t="s">
        <v>267</v>
      </c>
      <c r="M35">
        <v>2621.6</v>
      </c>
      <c r="N35">
        <v>-12.491250000000001</v>
      </c>
      <c r="O35">
        <v>-18.666029999999999</v>
      </c>
      <c r="P35">
        <v>-7.5790629999999997</v>
      </c>
      <c r="Q35" t="s">
        <v>324</v>
      </c>
      <c r="R35" t="s">
        <v>324</v>
      </c>
      <c r="S35">
        <v>224175600</v>
      </c>
      <c r="T35" t="s">
        <v>267</v>
      </c>
      <c r="U35">
        <v>201.58176000000003</v>
      </c>
      <c r="V35">
        <v>16772.031999999999</v>
      </c>
      <c r="W35" t="s">
        <v>324</v>
      </c>
      <c r="X35">
        <v>344991.39999999985</v>
      </c>
      <c r="Y35" t="s">
        <v>310</v>
      </c>
      <c r="Z35" t="s">
        <v>270</v>
      </c>
      <c r="AA35" t="s">
        <v>271</v>
      </c>
      <c r="AB35" t="s">
        <v>272</v>
      </c>
      <c r="AC35">
        <v>8.4749999999999996</v>
      </c>
      <c r="AD35">
        <v>6.1253988400822808E-2</v>
      </c>
      <c r="AE35">
        <v>6.368270690362364E-2</v>
      </c>
    </row>
    <row r="36" spans="1:31" x14ac:dyDescent="0.25">
      <c r="A36" t="s">
        <v>61</v>
      </c>
      <c r="B36" t="s">
        <v>364</v>
      </c>
      <c r="C36">
        <v>2.5178359903073608</v>
      </c>
      <c r="D36">
        <v>8402459.8421052638</v>
      </c>
      <c r="E36">
        <v>1860736.2879668046</v>
      </c>
      <c r="F36">
        <v>124.37334188</v>
      </c>
      <c r="G36">
        <v>987.92000000000007</v>
      </c>
      <c r="H36" t="s">
        <v>267</v>
      </c>
      <c r="I36">
        <v>2163224.8095238092</v>
      </c>
      <c r="J36">
        <v>-1</v>
      </c>
      <c r="K36" t="s">
        <v>365</v>
      </c>
      <c r="L36" t="s">
        <v>267</v>
      </c>
      <c r="M36">
        <v>2.12</v>
      </c>
      <c r="N36">
        <v>70.175070000000005</v>
      </c>
      <c r="O36">
        <v>66.314310000000006</v>
      </c>
      <c r="P36">
        <v>-0.84033610000000003</v>
      </c>
      <c r="Q36" t="s">
        <v>366</v>
      </c>
      <c r="R36" t="s">
        <v>365</v>
      </c>
      <c r="S36">
        <v>5070558</v>
      </c>
      <c r="T36" t="s">
        <v>267</v>
      </c>
      <c r="U36">
        <v>-99.808717999999629</v>
      </c>
      <c r="V36">
        <v>476.78399999999999</v>
      </c>
      <c r="W36" t="s">
        <v>365</v>
      </c>
      <c r="X36">
        <v>726471.40000000014</v>
      </c>
      <c r="Y36" t="s">
        <v>314</v>
      </c>
      <c r="Z36" t="s">
        <v>270</v>
      </c>
      <c r="AA36" t="s">
        <v>357</v>
      </c>
      <c r="AB36" t="s">
        <v>272</v>
      </c>
      <c r="AC36">
        <v>472</v>
      </c>
      <c r="AD36">
        <v>0.1710923515132268</v>
      </c>
      <c r="AE36">
        <v>0.23998400311459767</v>
      </c>
    </row>
    <row r="37" spans="1:31" x14ac:dyDescent="0.25">
      <c r="A37" t="s">
        <v>62</v>
      </c>
      <c r="B37" t="s">
        <v>367</v>
      </c>
      <c r="C37">
        <v>2.4201209091140985</v>
      </c>
      <c r="D37">
        <v>5700064.4210526319</v>
      </c>
      <c r="E37">
        <v>5100063.0353658516</v>
      </c>
      <c r="F37">
        <v>107.836686807671</v>
      </c>
      <c r="G37">
        <v>846.35099999999989</v>
      </c>
      <c r="H37" t="s">
        <v>267</v>
      </c>
      <c r="I37">
        <v>5943088.0952380951</v>
      </c>
      <c r="J37">
        <v>-1</v>
      </c>
      <c r="K37" t="s">
        <v>368</v>
      </c>
      <c r="L37" t="s">
        <v>267</v>
      </c>
      <c r="M37">
        <v>91.3</v>
      </c>
      <c r="N37">
        <v>-3.5957110000000001</v>
      </c>
      <c r="O37">
        <v>-6.205851</v>
      </c>
      <c r="P37">
        <v>-10.882070000000001</v>
      </c>
      <c r="Q37" t="s">
        <v>369</v>
      </c>
      <c r="R37" t="s">
        <v>368</v>
      </c>
      <c r="S37">
        <v>4965593</v>
      </c>
      <c r="T37" t="s">
        <v>267</v>
      </c>
      <c r="U37">
        <v>4.9136499999999996</v>
      </c>
      <c r="V37">
        <v>660.99700000000007</v>
      </c>
      <c r="W37" t="s">
        <v>368</v>
      </c>
      <c r="X37" t="s">
        <v>267</v>
      </c>
      <c r="Y37" t="s">
        <v>370</v>
      </c>
      <c r="Z37" t="s">
        <v>270</v>
      </c>
      <c r="AA37" t="s">
        <v>371</v>
      </c>
      <c r="AB37" t="s">
        <v>272</v>
      </c>
      <c r="AC37">
        <v>9.2949999999999999</v>
      </c>
      <c r="AD37">
        <v>0.19671020122767591</v>
      </c>
      <c r="AE37">
        <v>0.24497784841023282</v>
      </c>
    </row>
    <row r="38" spans="1:31" x14ac:dyDescent="0.25">
      <c r="A38" t="s">
        <v>63</v>
      </c>
      <c r="B38" t="s">
        <v>372</v>
      </c>
      <c r="C38">
        <v>2.1942960081622243</v>
      </c>
      <c r="D38">
        <v>6523327.8947368423</v>
      </c>
      <c r="E38">
        <v>357391.35810699576</v>
      </c>
      <c r="F38">
        <v>30.60181704</v>
      </c>
      <c r="G38">
        <v>245.91000000000003</v>
      </c>
      <c r="H38" t="s">
        <v>267</v>
      </c>
      <c r="I38">
        <v>1823902.5523809525</v>
      </c>
      <c r="J38">
        <v>-1</v>
      </c>
      <c r="K38" t="s">
        <v>373</v>
      </c>
      <c r="L38" t="s">
        <v>267</v>
      </c>
      <c r="M38">
        <v>3.5</v>
      </c>
      <c r="N38">
        <v>90.470089999999999</v>
      </c>
      <c r="O38">
        <v>86.04898</v>
      </c>
      <c r="P38">
        <v>2.674115</v>
      </c>
      <c r="Q38" t="s">
        <v>373</v>
      </c>
      <c r="R38" t="s">
        <v>373</v>
      </c>
      <c r="S38">
        <v>4691554</v>
      </c>
      <c r="T38" t="s">
        <v>267</v>
      </c>
      <c r="U38">
        <v>-25.5779</v>
      </c>
      <c r="V38">
        <v>65.73</v>
      </c>
      <c r="W38" t="s">
        <v>373</v>
      </c>
      <c r="X38">
        <v>617904.3679999999</v>
      </c>
      <c r="Y38" t="s">
        <v>374</v>
      </c>
      <c r="Z38" t="s">
        <v>270</v>
      </c>
      <c r="AA38" t="s">
        <v>307</v>
      </c>
      <c r="AB38" t="s">
        <v>272</v>
      </c>
      <c r="AC38">
        <v>69.88</v>
      </c>
      <c r="AD38">
        <v>0.37199977625634661</v>
      </c>
      <c r="AE38">
        <v>0.55871239766459158</v>
      </c>
    </row>
    <row r="39" spans="1:31" x14ac:dyDescent="0.25">
      <c r="A39" t="s">
        <v>64</v>
      </c>
      <c r="B39" t="s">
        <v>375</v>
      </c>
      <c r="C39">
        <v>2.1731755222814608</v>
      </c>
      <c r="D39">
        <v>7884079.5263157906</v>
      </c>
      <c r="E39">
        <v>2647946.7288617892</v>
      </c>
      <c r="F39">
        <v>93.431513963096606</v>
      </c>
      <c r="G39">
        <v>666.43010600000002</v>
      </c>
      <c r="H39" t="s">
        <v>267</v>
      </c>
      <c r="I39">
        <v>4344969.4761904767</v>
      </c>
      <c r="J39">
        <v>-1</v>
      </c>
      <c r="K39" t="s">
        <v>376</v>
      </c>
      <c r="L39" t="s">
        <v>267</v>
      </c>
      <c r="M39">
        <v>43.246600000000001</v>
      </c>
      <c r="N39">
        <v>-2.4628589999999999</v>
      </c>
      <c r="O39">
        <v>-5.5691560000000004</v>
      </c>
      <c r="P39">
        <v>-11.32184</v>
      </c>
      <c r="Q39" t="s">
        <v>377</v>
      </c>
      <c r="R39" t="s">
        <v>376</v>
      </c>
      <c r="S39">
        <v>6073054</v>
      </c>
      <c r="T39" t="s">
        <v>267</v>
      </c>
      <c r="U39">
        <v>17.742719999999998</v>
      </c>
      <c r="V39">
        <v>423.967444</v>
      </c>
      <c r="W39" t="s">
        <v>376</v>
      </c>
      <c r="X39">
        <v>890566.88</v>
      </c>
      <c r="Y39" t="s">
        <v>356</v>
      </c>
      <c r="Z39" t="s">
        <v>270</v>
      </c>
      <c r="AA39" t="s">
        <v>307</v>
      </c>
      <c r="AB39" t="s">
        <v>272</v>
      </c>
      <c r="AC39">
        <v>15.43</v>
      </c>
      <c r="AD39">
        <v>0.14568565990334895</v>
      </c>
      <c r="AE39">
        <v>0.17999080904962078</v>
      </c>
    </row>
    <row r="40" spans="1:31" x14ac:dyDescent="0.25">
      <c r="A40" t="s">
        <v>65</v>
      </c>
      <c r="B40" t="s">
        <v>378</v>
      </c>
      <c r="C40">
        <v>1.6302599009900962</v>
      </c>
      <c r="D40">
        <v>12066194.684210526</v>
      </c>
      <c r="E40">
        <v>4883825.9471544707</v>
      </c>
      <c r="F40">
        <v>26.133973562252724</v>
      </c>
      <c r="G40">
        <v>203.48999999999998</v>
      </c>
      <c r="H40" t="s">
        <v>332</v>
      </c>
      <c r="I40">
        <v>7292024.2380952397</v>
      </c>
      <c r="J40">
        <v>-1</v>
      </c>
      <c r="K40" t="s">
        <v>379</v>
      </c>
      <c r="L40" t="s">
        <v>267</v>
      </c>
      <c r="M40">
        <v>16.149999999999999</v>
      </c>
      <c r="N40">
        <v>-56.12838</v>
      </c>
      <c r="O40">
        <v>-57.336039999999997</v>
      </c>
      <c r="P40">
        <v>-14.149660000000001</v>
      </c>
      <c r="Q40" t="s">
        <v>379</v>
      </c>
      <c r="R40" t="s">
        <v>379</v>
      </c>
      <c r="S40">
        <v>12102700</v>
      </c>
      <c r="T40" t="s">
        <v>267</v>
      </c>
      <c r="U40">
        <v>74.307346919977604</v>
      </c>
      <c r="V40">
        <v>201.14399999999998</v>
      </c>
      <c r="W40" t="s">
        <v>379</v>
      </c>
      <c r="X40">
        <v>21252195.971428573</v>
      </c>
      <c r="Y40" t="s">
        <v>279</v>
      </c>
      <c r="Z40" t="s">
        <v>380</v>
      </c>
      <c r="AA40" t="s">
        <v>381</v>
      </c>
      <c r="AB40" t="s">
        <v>281</v>
      </c>
      <c r="AC40">
        <v>12.62</v>
      </c>
      <c r="AD40">
        <v>0.19033176014128214</v>
      </c>
      <c r="AE40">
        <v>0.20543958527590298</v>
      </c>
    </row>
    <row r="41" spans="1:31" x14ac:dyDescent="0.25">
      <c r="A41" t="s">
        <v>66</v>
      </c>
      <c r="B41" t="s">
        <v>382</v>
      </c>
      <c r="C41">
        <v>1.5875240911565223</v>
      </c>
      <c r="D41">
        <v>2750320.875</v>
      </c>
      <c r="E41" t="s">
        <v>267</v>
      </c>
      <c r="F41">
        <v>4.6246761810212966</v>
      </c>
      <c r="G41">
        <v>36.119999999999997</v>
      </c>
      <c r="H41" t="s">
        <v>267</v>
      </c>
      <c r="I41" t="s">
        <v>267</v>
      </c>
      <c r="J41" t="s">
        <v>31</v>
      </c>
      <c r="K41" t="s">
        <v>383</v>
      </c>
      <c r="L41" t="s">
        <v>267</v>
      </c>
      <c r="M41">
        <v>4.8</v>
      </c>
      <c r="N41" t="s">
        <v>267</v>
      </c>
      <c r="O41" t="s">
        <v>267</v>
      </c>
      <c r="P41" t="s">
        <v>267</v>
      </c>
      <c r="Q41" t="s">
        <v>383</v>
      </c>
      <c r="R41" t="s">
        <v>383</v>
      </c>
      <c r="S41" t="s">
        <v>267</v>
      </c>
      <c r="T41" t="s">
        <v>267</v>
      </c>
      <c r="U41" t="s">
        <v>267</v>
      </c>
      <c r="V41" t="s">
        <v>267</v>
      </c>
      <c r="W41" t="s">
        <v>383</v>
      </c>
      <c r="X41" t="s">
        <v>267</v>
      </c>
      <c r="Y41" t="s">
        <v>302</v>
      </c>
      <c r="Z41" t="s">
        <v>384</v>
      </c>
      <c r="AA41" t="s">
        <v>371</v>
      </c>
      <c r="AB41" t="s">
        <v>272</v>
      </c>
      <c r="AC41">
        <v>7.625</v>
      </c>
      <c r="AD41">
        <v>0.60077563287573055</v>
      </c>
      <c r="AE41">
        <v>1.4022911949525401</v>
      </c>
    </row>
    <row r="42" spans="1:31" x14ac:dyDescent="0.25">
      <c r="A42" t="s">
        <v>67</v>
      </c>
      <c r="B42" t="s">
        <v>385</v>
      </c>
      <c r="C42">
        <v>1.015432492411295</v>
      </c>
      <c r="D42">
        <v>1970087.2736842106</v>
      </c>
      <c r="E42" t="s">
        <v>267</v>
      </c>
      <c r="F42">
        <v>5.8184228790757571</v>
      </c>
      <c r="G42">
        <v>45.87</v>
      </c>
      <c r="H42" t="s">
        <v>267</v>
      </c>
      <c r="I42" t="s">
        <v>267</v>
      </c>
      <c r="J42" t="s">
        <v>31</v>
      </c>
      <c r="K42" t="s">
        <v>386</v>
      </c>
      <c r="L42" t="s">
        <v>267</v>
      </c>
      <c r="M42">
        <v>6</v>
      </c>
      <c r="N42" t="s">
        <v>267</v>
      </c>
      <c r="O42" t="s">
        <v>267</v>
      </c>
      <c r="P42">
        <v>-9.3894040000000007</v>
      </c>
      <c r="Q42" t="s">
        <v>387</v>
      </c>
      <c r="R42" t="s">
        <v>386</v>
      </c>
      <c r="S42" t="s">
        <v>267</v>
      </c>
      <c r="T42" t="s">
        <v>267</v>
      </c>
      <c r="U42" t="s">
        <v>267</v>
      </c>
      <c r="V42" t="s">
        <v>267</v>
      </c>
      <c r="W42" t="s">
        <v>386</v>
      </c>
      <c r="X42" t="s">
        <v>267</v>
      </c>
      <c r="Y42" t="s">
        <v>269</v>
      </c>
      <c r="Z42" t="s">
        <v>270</v>
      </c>
      <c r="AA42" t="s">
        <v>271</v>
      </c>
      <c r="AB42" t="s">
        <v>272</v>
      </c>
      <c r="AC42">
        <v>7.8650000000000002</v>
      </c>
      <c r="AD42">
        <v>0.23060794235273208</v>
      </c>
      <c r="AE42">
        <v>0.28292108187126375</v>
      </c>
    </row>
    <row r="43" spans="1:31" x14ac:dyDescent="0.25">
      <c r="A43" t="s">
        <v>68</v>
      </c>
      <c r="B43" t="s">
        <v>388</v>
      </c>
      <c r="C43">
        <v>0.76885500967007647</v>
      </c>
      <c r="D43">
        <v>3044203.1526315785</v>
      </c>
      <c r="E43">
        <v>1445412.8244791667</v>
      </c>
      <c r="F43">
        <v>2.8295152900000002</v>
      </c>
      <c r="G43">
        <v>22.823891699999997</v>
      </c>
      <c r="H43" t="s">
        <v>277</v>
      </c>
      <c r="I43">
        <v>2119581.3047619048</v>
      </c>
      <c r="J43">
        <v>-1</v>
      </c>
      <c r="K43" t="s">
        <v>389</v>
      </c>
      <c r="L43" t="s">
        <v>267</v>
      </c>
      <c r="M43">
        <v>12.455169999999999</v>
      </c>
      <c r="N43">
        <v>-81.212620000000001</v>
      </c>
      <c r="O43">
        <v>-82.862449999999995</v>
      </c>
      <c r="P43">
        <v>-72.782290000000003</v>
      </c>
      <c r="Q43" t="s">
        <v>389</v>
      </c>
      <c r="R43" t="s">
        <v>389</v>
      </c>
      <c r="S43">
        <v>2530797</v>
      </c>
      <c r="T43" t="s">
        <v>267</v>
      </c>
      <c r="U43" t="s">
        <v>267</v>
      </c>
      <c r="V43">
        <v>22.113629199999998</v>
      </c>
      <c r="W43" t="s">
        <v>389</v>
      </c>
      <c r="X43" t="s">
        <v>267</v>
      </c>
      <c r="Y43" t="s">
        <v>279</v>
      </c>
      <c r="Z43" t="s">
        <v>270</v>
      </c>
      <c r="AA43" t="s">
        <v>336</v>
      </c>
      <c r="AB43" t="s">
        <v>281</v>
      </c>
      <c r="AC43">
        <v>1.8440000000000001</v>
      </c>
      <c r="AD43">
        <v>0.4466182148571935</v>
      </c>
      <c r="AE43">
        <v>0.56686628971602615</v>
      </c>
    </row>
    <row r="44" spans="1:31" x14ac:dyDescent="0.25">
      <c r="A44" t="s">
        <v>69</v>
      </c>
      <c r="B44" t="s">
        <v>390</v>
      </c>
      <c r="C44">
        <v>0.61633612223554302</v>
      </c>
      <c r="D44">
        <v>263911.43333333335</v>
      </c>
      <c r="E44">
        <v>351337.08338888898</v>
      </c>
      <c r="F44">
        <v>2.0516053200035702</v>
      </c>
      <c r="G44">
        <v>15.756776</v>
      </c>
      <c r="H44" t="s">
        <v>267</v>
      </c>
      <c r="I44">
        <v>49214.457142857143</v>
      </c>
      <c r="J44">
        <v>-1</v>
      </c>
      <c r="K44" t="s">
        <v>391</v>
      </c>
      <c r="L44" t="s">
        <v>267</v>
      </c>
      <c r="M44">
        <v>0.16519999999999999</v>
      </c>
      <c r="N44">
        <v>2.9743029999999999</v>
      </c>
      <c r="O44">
        <v>4.2829740000000003</v>
      </c>
      <c r="P44">
        <v>-6.6920890000000002</v>
      </c>
      <c r="Q44" t="s">
        <v>391</v>
      </c>
      <c r="R44" t="s">
        <v>391</v>
      </c>
      <c r="S44">
        <v>112797.3</v>
      </c>
      <c r="T44" t="s">
        <v>267</v>
      </c>
      <c r="U44">
        <v>7.8092600000000019</v>
      </c>
      <c r="V44">
        <v>20.198671999999998</v>
      </c>
      <c r="W44" t="s">
        <v>391</v>
      </c>
      <c r="X44">
        <v>145648.74041666667</v>
      </c>
      <c r="Y44" t="s">
        <v>310</v>
      </c>
      <c r="Z44" t="s">
        <v>270</v>
      </c>
      <c r="AA44" t="s">
        <v>307</v>
      </c>
      <c r="AB44" t="s">
        <v>272</v>
      </c>
      <c r="AC44">
        <v>97.88</v>
      </c>
      <c r="AD44">
        <v>0.41153469593250946</v>
      </c>
      <c r="AE44">
        <v>0.45909389373780285</v>
      </c>
    </row>
    <row r="45" spans="1:31" x14ac:dyDescent="0.25">
      <c r="A45" t="s">
        <v>70</v>
      </c>
      <c r="B45" t="s">
        <v>392</v>
      </c>
      <c r="C45">
        <v>0.57701196337015037</v>
      </c>
      <c r="D45">
        <v>2610722.5</v>
      </c>
      <c r="E45" t="s">
        <v>267</v>
      </c>
      <c r="F45">
        <v>1.6956979150992715</v>
      </c>
      <c r="G45">
        <v>13.329000000000001</v>
      </c>
      <c r="H45" t="s">
        <v>267</v>
      </c>
      <c r="I45" t="s">
        <v>267</v>
      </c>
      <c r="J45" t="s">
        <v>31</v>
      </c>
      <c r="K45" t="s">
        <v>383</v>
      </c>
      <c r="L45" t="s">
        <v>267</v>
      </c>
      <c r="M45">
        <v>1.7999999999999998</v>
      </c>
      <c r="N45" t="s">
        <v>267</v>
      </c>
      <c r="O45" t="s">
        <v>267</v>
      </c>
      <c r="P45" t="s">
        <v>267</v>
      </c>
      <c r="Q45" t="s">
        <v>383</v>
      </c>
      <c r="R45" t="s">
        <v>383</v>
      </c>
      <c r="S45" t="s">
        <v>267</v>
      </c>
      <c r="T45" t="s">
        <v>267</v>
      </c>
      <c r="U45" t="s">
        <v>267</v>
      </c>
      <c r="V45" t="s">
        <v>267</v>
      </c>
      <c r="W45" t="s">
        <v>383</v>
      </c>
      <c r="X45" t="s">
        <v>267</v>
      </c>
      <c r="Y45" t="s">
        <v>302</v>
      </c>
      <c r="Z45" t="s">
        <v>270</v>
      </c>
      <c r="AA45" t="s">
        <v>371</v>
      </c>
      <c r="AB45" t="s">
        <v>272</v>
      </c>
      <c r="AC45">
        <v>7.49</v>
      </c>
      <c r="AD45">
        <v>0.54511884891374707</v>
      </c>
      <c r="AE45">
        <v>0.59430952100836776</v>
      </c>
    </row>
    <row r="46" spans="1:31" x14ac:dyDescent="0.25">
      <c r="A46" t="s">
        <v>71</v>
      </c>
      <c r="B46" t="s">
        <v>393</v>
      </c>
      <c r="C46">
        <v>0.39893610000068663</v>
      </c>
      <c r="D46">
        <v>340249.7922222222</v>
      </c>
      <c r="E46">
        <v>182811.89017021289</v>
      </c>
      <c r="F46">
        <v>15.895232350000001</v>
      </c>
      <c r="G46">
        <v>125.03400000000001</v>
      </c>
      <c r="H46" t="s">
        <v>267</v>
      </c>
      <c r="I46">
        <v>189848.05142857146</v>
      </c>
      <c r="J46">
        <v>-1</v>
      </c>
      <c r="K46" t="s">
        <v>394</v>
      </c>
      <c r="L46" t="s">
        <v>267</v>
      </c>
      <c r="M46">
        <v>7.8</v>
      </c>
      <c r="N46">
        <v>-5.9648750000000001</v>
      </c>
      <c r="O46">
        <v>-7.7546330000000001</v>
      </c>
      <c r="P46">
        <v>-1.968021</v>
      </c>
      <c r="Q46" t="s">
        <v>394</v>
      </c>
      <c r="R46" t="s">
        <v>394</v>
      </c>
      <c r="S46">
        <v>262010.9</v>
      </c>
      <c r="T46" t="s">
        <v>267</v>
      </c>
      <c r="U46">
        <v>-12.820401416432176</v>
      </c>
      <c r="V46">
        <v>107.13600000000001</v>
      </c>
      <c r="W46" t="s">
        <v>394</v>
      </c>
      <c r="X46">
        <v>72706.212173913038</v>
      </c>
      <c r="Y46" t="s">
        <v>374</v>
      </c>
      <c r="Z46" t="s">
        <v>270</v>
      </c>
      <c r="AA46" t="s">
        <v>303</v>
      </c>
      <c r="AB46" t="s">
        <v>272</v>
      </c>
      <c r="AC46">
        <v>15.94</v>
      </c>
      <c r="AD46">
        <v>0.35209315043243644</v>
      </c>
      <c r="AE46">
        <v>0.40909544895459682</v>
      </c>
    </row>
    <row r="47" spans="1:31" x14ac:dyDescent="0.25">
      <c r="A47" t="s">
        <v>72</v>
      </c>
      <c r="B47" t="s">
        <v>395</v>
      </c>
      <c r="C47">
        <v>0.22316007765619403</v>
      </c>
      <c r="D47">
        <v>1155903.5789473685</v>
      </c>
      <c r="E47">
        <v>205423.49610389618</v>
      </c>
      <c r="F47">
        <v>7.2155340804800563</v>
      </c>
      <c r="G47">
        <v>56.259999999999991</v>
      </c>
      <c r="H47" t="s">
        <v>267</v>
      </c>
      <c r="I47">
        <v>1186653.2380952379</v>
      </c>
      <c r="J47">
        <v>-1</v>
      </c>
      <c r="K47" t="s">
        <v>396</v>
      </c>
      <c r="L47" t="s">
        <v>267</v>
      </c>
      <c r="M47">
        <v>9.6999999999999993</v>
      </c>
      <c r="N47">
        <v>3.414644</v>
      </c>
      <c r="O47">
        <v>7.0642240000000003</v>
      </c>
      <c r="P47">
        <v>-7.0859899999999998</v>
      </c>
      <c r="Q47" t="s">
        <v>397</v>
      </c>
      <c r="R47" t="s">
        <v>396</v>
      </c>
      <c r="S47">
        <v>1174998</v>
      </c>
      <c r="T47" t="s">
        <v>267</v>
      </c>
      <c r="U47">
        <v>-1.9360161753120027</v>
      </c>
      <c r="V47">
        <v>44.69</v>
      </c>
      <c r="W47" t="s">
        <v>396</v>
      </c>
      <c r="X47">
        <v>258614.96000000002</v>
      </c>
      <c r="Y47" t="s">
        <v>279</v>
      </c>
      <c r="Z47" t="s">
        <v>384</v>
      </c>
      <c r="AA47" t="s">
        <v>275</v>
      </c>
      <c r="AB47" t="s">
        <v>272</v>
      </c>
      <c r="AC47">
        <v>5.835</v>
      </c>
      <c r="AD47">
        <v>0.69315130015267812</v>
      </c>
      <c r="AE47">
        <v>0.87957739671182011</v>
      </c>
    </row>
    <row r="48" spans="1:31" x14ac:dyDescent="0.25">
      <c r="A48" t="s">
        <v>73</v>
      </c>
      <c r="B48" t="s">
        <v>398</v>
      </c>
      <c r="C48">
        <v>9.8121225608978097E-2</v>
      </c>
      <c r="D48">
        <v>1022862.4105263157</v>
      </c>
      <c r="E48">
        <v>1745651.9646341463</v>
      </c>
      <c r="F48">
        <v>12.918174080000002</v>
      </c>
      <c r="G48">
        <v>101.517</v>
      </c>
      <c r="H48" t="s">
        <v>267</v>
      </c>
      <c r="I48">
        <v>516719.15285714285</v>
      </c>
      <c r="J48">
        <v>-1</v>
      </c>
      <c r="K48" t="s">
        <v>399</v>
      </c>
      <c r="L48" t="s">
        <v>267</v>
      </c>
      <c r="M48">
        <v>13.7</v>
      </c>
      <c r="N48">
        <v>-31.726569999999999</v>
      </c>
      <c r="O48">
        <v>-32.488480000000003</v>
      </c>
      <c r="P48">
        <v>-18.56587</v>
      </c>
      <c r="Q48" t="s">
        <v>399</v>
      </c>
      <c r="R48" t="s">
        <v>399</v>
      </c>
      <c r="S48">
        <v>582431.69999999995</v>
      </c>
      <c r="T48" t="s">
        <v>267</v>
      </c>
      <c r="U48">
        <v>-243.865057616</v>
      </c>
      <c r="V48">
        <v>200.72499999999999</v>
      </c>
      <c r="W48" t="s">
        <v>399</v>
      </c>
      <c r="X48">
        <v>5941033.5199999996</v>
      </c>
      <c r="Y48" t="s">
        <v>400</v>
      </c>
      <c r="Z48" t="s">
        <v>270</v>
      </c>
      <c r="AA48" t="s">
        <v>307</v>
      </c>
      <c r="AB48" t="s">
        <v>401</v>
      </c>
      <c r="AC48">
        <v>7.3250000000000002</v>
      </c>
      <c r="AD48">
        <v>0.42725505718996015</v>
      </c>
      <c r="AE48">
        <v>0.4575509115425675</v>
      </c>
    </row>
    <row r="49" spans="1:31" x14ac:dyDescent="0.25">
      <c r="A49" t="s">
        <v>74</v>
      </c>
      <c r="B49" t="s">
        <v>402</v>
      </c>
      <c r="C49">
        <v>2.7975254587716769E-2</v>
      </c>
      <c r="D49">
        <v>314304.1944444445</v>
      </c>
      <c r="E49">
        <v>213024.30902777781</v>
      </c>
      <c r="F49">
        <v>5.734990321470014</v>
      </c>
      <c r="G49">
        <v>44.887499999999996</v>
      </c>
      <c r="H49" t="s">
        <v>267</v>
      </c>
      <c r="I49">
        <v>63006.5625</v>
      </c>
      <c r="J49">
        <v>-1</v>
      </c>
      <c r="K49" t="s">
        <v>403</v>
      </c>
      <c r="L49" t="s">
        <v>267</v>
      </c>
      <c r="M49">
        <v>0.35</v>
      </c>
      <c r="N49">
        <v>14.67183</v>
      </c>
      <c r="O49">
        <v>13.517060000000001</v>
      </c>
      <c r="P49">
        <v>-6.148282</v>
      </c>
      <c r="Q49" t="s">
        <v>403</v>
      </c>
      <c r="R49" t="s">
        <v>403</v>
      </c>
      <c r="S49">
        <v>201624.3</v>
      </c>
      <c r="T49" t="s">
        <v>267</v>
      </c>
      <c r="U49">
        <v>-7.7339699999999993</v>
      </c>
      <c r="V49">
        <v>22.86</v>
      </c>
      <c r="W49" t="s">
        <v>403</v>
      </c>
      <c r="X49">
        <v>129607</v>
      </c>
      <c r="Y49" t="s">
        <v>310</v>
      </c>
      <c r="Z49" t="s">
        <v>270</v>
      </c>
      <c r="AA49" t="s">
        <v>307</v>
      </c>
      <c r="AB49" t="s">
        <v>272</v>
      </c>
      <c r="AC49">
        <v>129.75</v>
      </c>
      <c r="AD49">
        <v>0.61591091854253766</v>
      </c>
      <c r="AE49">
        <v>0.67088531936413365</v>
      </c>
    </row>
    <row r="50" spans="1:31" x14ac:dyDescent="0.25">
      <c r="A50" t="s">
        <v>75</v>
      </c>
      <c r="B50" t="s">
        <v>404</v>
      </c>
      <c r="C50">
        <v>9.4181459080662222E-3</v>
      </c>
      <c r="D50">
        <v>920853.35789473704</v>
      </c>
      <c r="E50">
        <v>529176.14009090944</v>
      </c>
      <c r="F50">
        <v>9.4196051999999995</v>
      </c>
      <c r="G50">
        <v>72.927999999999997</v>
      </c>
      <c r="H50" t="s">
        <v>267</v>
      </c>
      <c r="I50">
        <v>430328.67368421057</v>
      </c>
      <c r="J50">
        <v>-1</v>
      </c>
      <c r="K50" t="s">
        <v>405</v>
      </c>
      <c r="L50" t="s">
        <v>267</v>
      </c>
      <c r="M50">
        <v>1.5999999999999999</v>
      </c>
      <c r="N50">
        <v>4.2114609999999999</v>
      </c>
      <c r="O50">
        <v>5.0473160000000004</v>
      </c>
      <c r="P50">
        <v>-7.3529410000000004</v>
      </c>
      <c r="Q50" t="s">
        <v>405</v>
      </c>
      <c r="R50" t="s">
        <v>405</v>
      </c>
      <c r="S50">
        <v>627813.4</v>
      </c>
      <c r="T50" t="s">
        <v>267</v>
      </c>
      <c r="U50">
        <v>-5.6516999999999964</v>
      </c>
      <c r="V50">
        <v>79.884</v>
      </c>
      <c r="W50" t="s">
        <v>405</v>
      </c>
      <c r="X50">
        <v>394288.30000000005</v>
      </c>
      <c r="Y50" t="s">
        <v>374</v>
      </c>
      <c r="Z50" t="s">
        <v>270</v>
      </c>
      <c r="AA50" t="s">
        <v>307</v>
      </c>
      <c r="AB50" t="s">
        <v>272</v>
      </c>
      <c r="AC50">
        <v>46.62</v>
      </c>
      <c r="AD50">
        <v>0.31074128635075948</v>
      </c>
      <c r="AE50">
        <v>0.36244489843363453</v>
      </c>
    </row>
    <row r="51" spans="1:31" x14ac:dyDescent="0.25">
      <c r="A51" t="s">
        <v>76</v>
      </c>
      <c r="B51" t="s">
        <v>406</v>
      </c>
      <c r="C51">
        <v>5.0607517667170202E-3</v>
      </c>
      <c r="D51">
        <v>201329.42857142858</v>
      </c>
      <c r="E51">
        <v>280880.27959770127</v>
      </c>
      <c r="F51">
        <v>12.881372076357096</v>
      </c>
      <c r="G51">
        <v>101.0819731</v>
      </c>
      <c r="H51" t="s">
        <v>267</v>
      </c>
      <c r="I51">
        <v>250593.96249999999</v>
      </c>
      <c r="J51">
        <v>-1</v>
      </c>
      <c r="K51" t="s">
        <v>407</v>
      </c>
      <c r="L51" t="s">
        <v>267</v>
      </c>
      <c r="M51">
        <v>0.70834999999999992</v>
      </c>
      <c r="N51">
        <v>-17.864090000000001</v>
      </c>
      <c r="O51">
        <v>-16.417909999999999</v>
      </c>
      <c r="P51">
        <v>-9.2269290000000002</v>
      </c>
      <c r="Q51" t="s">
        <v>408</v>
      </c>
      <c r="R51" t="s">
        <v>407</v>
      </c>
      <c r="S51">
        <v>49134.66</v>
      </c>
      <c r="T51" t="s">
        <v>267</v>
      </c>
      <c r="U51">
        <v>-7.8311101310999955</v>
      </c>
      <c r="V51">
        <v>124.33037239999999</v>
      </c>
      <c r="W51" t="s">
        <v>407</v>
      </c>
      <c r="X51">
        <v>199301.10769230773</v>
      </c>
      <c r="Y51" t="s">
        <v>269</v>
      </c>
      <c r="Z51" t="s">
        <v>270</v>
      </c>
      <c r="AA51" t="s">
        <v>275</v>
      </c>
      <c r="AB51" t="s">
        <v>272</v>
      </c>
      <c r="AC51">
        <v>145.6</v>
      </c>
      <c r="AD51">
        <v>0.39617909833146631</v>
      </c>
      <c r="AE51">
        <v>0.50254052470057076</v>
      </c>
    </row>
    <row r="52" spans="1:31" x14ac:dyDescent="0.25">
      <c r="A52" t="s">
        <v>77</v>
      </c>
      <c r="B52" t="s">
        <v>409</v>
      </c>
      <c r="C52">
        <v>0</v>
      </c>
      <c r="D52">
        <v>13681447.105263161</v>
      </c>
      <c r="E52">
        <v>10378673.778455282</v>
      </c>
      <c r="F52">
        <v>1612.5134730977668</v>
      </c>
      <c r="G52">
        <v>12607.351139999999</v>
      </c>
      <c r="H52" t="s">
        <v>267</v>
      </c>
      <c r="I52">
        <v>6398886.4714285722</v>
      </c>
      <c r="J52">
        <v>-1</v>
      </c>
      <c r="K52" t="s">
        <v>410</v>
      </c>
      <c r="L52" t="s">
        <v>267</v>
      </c>
      <c r="M52">
        <v>567.89869999999996</v>
      </c>
      <c r="N52">
        <v>-14.16436</v>
      </c>
      <c r="O52">
        <v>-14.55505</v>
      </c>
      <c r="P52">
        <v>-7.2072070000000004</v>
      </c>
      <c r="Q52" t="s">
        <v>410</v>
      </c>
      <c r="R52" t="s">
        <v>410</v>
      </c>
      <c r="S52">
        <v>13307010</v>
      </c>
      <c r="T52" t="s">
        <v>267</v>
      </c>
      <c r="U52">
        <v>10407.045419999989</v>
      </c>
      <c r="V52">
        <v>23040.541524</v>
      </c>
      <c r="W52" t="s">
        <v>410</v>
      </c>
      <c r="X52">
        <v>12134500.744000001</v>
      </c>
      <c r="Y52" t="s">
        <v>314</v>
      </c>
      <c r="Z52" t="s">
        <v>270</v>
      </c>
      <c r="AA52" t="s">
        <v>275</v>
      </c>
      <c r="AB52" t="s">
        <v>272</v>
      </c>
      <c r="AC52">
        <v>22.66</v>
      </c>
      <c r="AD52">
        <v>0.18627204277429735</v>
      </c>
      <c r="AE52">
        <v>0.21669284221600613</v>
      </c>
    </row>
    <row r="53" spans="1:31" x14ac:dyDescent="0.25">
      <c r="A53" t="s">
        <v>78</v>
      </c>
      <c r="B53" t="s">
        <v>411</v>
      </c>
      <c r="C53">
        <v>0</v>
      </c>
      <c r="D53">
        <v>63036.222222222219</v>
      </c>
      <c r="E53" t="s">
        <v>267</v>
      </c>
      <c r="F53">
        <v>67.547490322745162</v>
      </c>
      <c r="G53">
        <v>518.23</v>
      </c>
      <c r="H53" t="s">
        <v>267</v>
      </c>
      <c r="I53">
        <v>3098431.5</v>
      </c>
      <c r="J53">
        <v>-1</v>
      </c>
      <c r="K53" t="s">
        <v>412</v>
      </c>
      <c r="L53" t="s">
        <v>267</v>
      </c>
      <c r="M53">
        <v>58</v>
      </c>
      <c r="N53" t="s">
        <v>267</v>
      </c>
      <c r="O53" t="s">
        <v>267</v>
      </c>
      <c r="P53">
        <v>-6.5251140000000003</v>
      </c>
      <c r="Q53" t="s">
        <v>412</v>
      </c>
      <c r="R53" t="s">
        <v>412</v>
      </c>
      <c r="S53">
        <v>711486.4</v>
      </c>
      <c r="T53" t="s">
        <v>267</v>
      </c>
      <c r="U53" t="s">
        <v>267</v>
      </c>
      <c r="V53" t="s">
        <v>267</v>
      </c>
      <c r="W53" t="s">
        <v>412</v>
      </c>
      <c r="X53" t="s">
        <v>267</v>
      </c>
      <c r="Y53" t="s">
        <v>370</v>
      </c>
      <c r="Z53" t="s">
        <v>270</v>
      </c>
      <c r="AA53" t="s">
        <v>413</v>
      </c>
      <c r="AB53" t="s">
        <v>272</v>
      </c>
      <c r="AC53">
        <v>9.0250000000000004</v>
      </c>
      <c r="AD53">
        <v>0.5419400406975452</v>
      </c>
      <c r="AE53">
        <v>0.56930522188138233</v>
      </c>
    </row>
    <row r="54" spans="1:31" x14ac:dyDescent="0.25">
      <c r="A54" t="s">
        <v>79</v>
      </c>
      <c r="B54" t="s">
        <v>414</v>
      </c>
      <c r="C54">
        <v>0</v>
      </c>
      <c r="D54">
        <v>546048.07368421042</v>
      </c>
      <c r="E54">
        <v>944998.9897560972</v>
      </c>
      <c r="F54">
        <v>22.915999121408806</v>
      </c>
      <c r="G54">
        <v>178.9</v>
      </c>
      <c r="H54" t="s">
        <v>267</v>
      </c>
      <c r="I54">
        <v>1058722.2542857144</v>
      </c>
      <c r="J54">
        <v>-1</v>
      </c>
      <c r="K54" t="s">
        <v>415</v>
      </c>
      <c r="L54" t="s">
        <v>267</v>
      </c>
      <c r="M54">
        <v>5</v>
      </c>
      <c r="N54">
        <v>-20.503710000000002</v>
      </c>
      <c r="O54">
        <v>-20.218820000000001</v>
      </c>
      <c r="P54">
        <v>-9.7524789999999992</v>
      </c>
      <c r="Q54" t="s">
        <v>415</v>
      </c>
      <c r="R54" t="s">
        <v>415</v>
      </c>
      <c r="S54">
        <v>543017.80000000005</v>
      </c>
      <c r="T54" t="s">
        <v>267</v>
      </c>
      <c r="U54">
        <v>-133.22499000000005</v>
      </c>
      <c r="V54">
        <v>274.20000000000005</v>
      </c>
      <c r="W54" t="s">
        <v>415</v>
      </c>
      <c r="X54">
        <v>712966.78720000002</v>
      </c>
      <c r="Y54" t="s">
        <v>310</v>
      </c>
      <c r="Z54" t="s">
        <v>270</v>
      </c>
      <c r="AA54" t="s">
        <v>275</v>
      </c>
      <c r="AB54" t="s">
        <v>272</v>
      </c>
      <c r="AC54">
        <v>36.46</v>
      </c>
      <c r="AD54">
        <v>0.29028580606525284</v>
      </c>
      <c r="AE54">
        <v>0.42598121666089317</v>
      </c>
    </row>
    <row r="55" spans="1:31" x14ac:dyDescent="0.25">
      <c r="A55" t="s">
        <v>80</v>
      </c>
      <c r="B55" t="s">
        <v>416</v>
      </c>
      <c r="C55">
        <v>0</v>
      </c>
      <c r="D55">
        <v>5344369.3684210535</v>
      </c>
      <c r="E55">
        <v>3626000.2170731695</v>
      </c>
      <c r="F55">
        <v>127.78916693615228</v>
      </c>
      <c r="G55">
        <v>997.02599999999995</v>
      </c>
      <c r="H55" t="s">
        <v>267</v>
      </c>
      <c r="I55">
        <v>11672183.904761903</v>
      </c>
      <c r="J55">
        <v>-1</v>
      </c>
      <c r="K55" t="s">
        <v>309</v>
      </c>
      <c r="L55" t="s">
        <v>267</v>
      </c>
      <c r="M55">
        <v>16.05</v>
      </c>
      <c r="N55">
        <v>10.817410000000001</v>
      </c>
      <c r="O55">
        <v>7.3079530000000004</v>
      </c>
      <c r="P55">
        <v>-3.6912720000000001</v>
      </c>
      <c r="Q55" t="s">
        <v>309</v>
      </c>
      <c r="R55" t="s">
        <v>309</v>
      </c>
      <c r="S55">
        <v>5609420</v>
      </c>
      <c r="T55" t="s">
        <v>267</v>
      </c>
      <c r="U55">
        <v>-2.1238949999999921</v>
      </c>
      <c r="V55">
        <v>579.57400000000007</v>
      </c>
      <c r="W55" t="s">
        <v>309</v>
      </c>
      <c r="X55">
        <v>377906.72560000001</v>
      </c>
      <c r="Y55" t="s">
        <v>310</v>
      </c>
      <c r="Z55" t="s">
        <v>270</v>
      </c>
      <c r="AA55" t="s">
        <v>275</v>
      </c>
      <c r="AB55" t="s">
        <v>272</v>
      </c>
      <c r="AC55">
        <v>63.14</v>
      </c>
      <c r="AD55">
        <v>0.30996898826897884</v>
      </c>
      <c r="AE55">
        <v>0.37885964608929884</v>
      </c>
    </row>
    <row r="56" spans="1:31" x14ac:dyDescent="0.25">
      <c r="A56" t="s">
        <v>81</v>
      </c>
      <c r="B56" t="s">
        <v>417</v>
      </c>
      <c r="C56">
        <v>0</v>
      </c>
      <c r="D56">
        <v>2088562.594736842</v>
      </c>
      <c r="E56">
        <v>1399356.2926829276</v>
      </c>
      <c r="F56">
        <v>62.23519632113846</v>
      </c>
      <c r="G56">
        <v>488.50499999999994</v>
      </c>
      <c r="H56" t="s">
        <v>267</v>
      </c>
      <c r="I56">
        <v>5868754.9380952381</v>
      </c>
      <c r="J56">
        <v>-1</v>
      </c>
      <c r="K56" t="s">
        <v>415</v>
      </c>
      <c r="L56" t="s">
        <v>267</v>
      </c>
      <c r="M56">
        <v>4.3499999999999996</v>
      </c>
      <c r="N56">
        <v>12.38476</v>
      </c>
      <c r="O56">
        <v>14.64268</v>
      </c>
      <c r="P56">
        <v>-6.3291120000000003</v>
      </c>
      <c r="Q56" t="s">
        <v>415</v>
      </c>
      <c r="R56" t="s">
        <v>415</v>
      </c>
      <c r="S56">
        <v>2951638</v>
      </c>
      <c r="T56" t="s">
        <v>267</v>
      </c>
      <c r="U56">
        <v>-167.36167000000006</v>
      </c>
      <c r="V56">
        <v>460.22999999999996</v>
      </c>
      <c r="W56" t="s">
        <v>415</v>
      </c>
      <c r="X56">
        <v>948388.58400000015</v>
      </c>
      <c r="Y56" t="s">
        <v>310</v>
      </c>
      <c r="Z56" t="s">
        <v>270</v>
      </c>
      <c r="AA56" t="s">
        <v>275</v>
      </c>
      <c r="AB56" t="s">
        <v>272</v>
      </c>
      <c r="AC56">
        <v>114.7</v>
      </c>
      <c r="AD56">
        <v>0.31904201825388218</v>
      </c>
      <c r="AE56">
        <v>0.37727301774281824</v>
      </c>
    </row>
    <row r="57" spans="1:31" x14ac:dyDescent="0.25">
      <c r="A57" t="s">
        <v>82</v>
      </c>
      <c r="B57" t="s">
        <v>418</v>
      </c>
      <c r="C57">
        <v>0</v>
      </c>
      <c r="D57">
        <v>115615.66666666666</v>
      </c>
      <c r="E57">
        <v>106767.02039215686</v>
      </c>
      <c r="F57">
        <v>34.078859350000002</v>
      </c>
      <c r="G57">
        <v>268.05599999999998</v>
      </c>
      <c r="H57" t="s">
        <v>267</v>
      </c>
      <c r="I57">
        <v>108007.08333333334</v>
      </c>
      <c r="J57">
        <v>-1</v>
      </c>
      <c r="K57" t="s">
        <v>419</v>
      </c>
      <c r="L57" t="s">
        <v>267</v>
      </c>
      <c r="M57">
        <v>3.65</v>
      </c>
      <c r="N57">
        <v>-3.3591599999999999E-2</v>
      </c>
      <c r="O57">
        <v>1.408453</v>
      </c>
      <c r="P57">
        <v>-2.3404219999999998</v>
      </c>
      <c r="Q57" t="s">
        <v>420</v>
      </c>
      <c r="R57" t="s">
        <v>419</v>
      </c>
      <c r="S57">
        <v>41076.400000000001</v>
      </c>
      <c r="T57" t="s">
        <v>267</v>
      </c>
      <c r="U57">
        <v>244.92887500000001</v>
      </c>
      <c r="V57">
        <v>246.22800000000001</v>
      </c>
      <c r="W57" t="s">
        <v>419</v>
      </c>
      <c r="X57">
        <v>22240</v>
      </c>
      <c r="Y57" t="s">
        <v>330</v>
      </c>
      <c r="Z57" t="s">
        <v>270</v>
      </c>
      <c r="AA57" t="s">
        <v>413</v>
      </c>
      <c r="AB57" t="s">
        <v>272</v>
      </c>
      <c r="AC57">
        <v>73.44</v>
      </c>
      <c r="AD57">
        <v>0.6013042642876858</v>
      </c>
      <c r="AE57">
        <v>0.63789159934276596</v>
      </c>
    </row>
    <row r="58" spans="1:31" x14ac:dyDescent="0.25">
      <c r="A58" t="s">
        <v>83</v>
      </c>
      <c r="B58" t="s">
        <v>421</v>
      </c>
      <c r="C58">
        <v>0</v>
      </c>
      <c r="D58">
        <v>206494.72352941174</v>
      </c>
      <c r="E58">
        <v>302476.25717842329</v>
      </c>
      <c r="F58">
        <v>11.469087351602248</v>
      </c>
      <c r="G58">
        <v>89.32650000000001</v>
      </c>
      <c r="H58" t="s">
        <v>267</v>
      </c>
      <c r="I58">
        <v>269541.59999999998</v>
      </c>
      <c r="J58">
        <v>-1</v>
      </c>
      <c r="K58" t="s">
        <v>422</v>
      </c>
      <c r="L58" t="s">
        <v>267</v>
      </c>
      <c r="M58">
        <v>9.2999999999999989</v>
      </c>
      <c r="N58">
        <v>-29.2669</v>
      </c>
      <c r="O58">
        <v>-28.51003</v>
      </c>
      <c r="P58">
        <v>-9.927797</v>
      </c>
      <c r="Q58" t="s">
        <v>422</v>
      </c>
      <c r="R58" t="s">
        <v>422</v>
      </c>
      <c r="S58">
        <v>268415.3</v>
      </c>
      <c r="T58" t="s">
        <v>267</v>
      </c>
      <c r="U58">
        <v>-21.311879999999995</v>
      </c>
      <c r="V58">
        <v>125.64000000000001</v>
      </c>
      <c r="W58" t="s">
        <v>422</v>
      </c>
      <c r="X58">
        <v>856103.82199999993</v>
      </c>
      <c r="Y58" t="s">
        <v>374</v>
      </c>
      <c r="Z58" t="s">
        <v>270</v>
      </c>
      <c r="AA58" t="s">
        <v>275</v>
      </c>
      <c r="AB58" t="s">
        <v>272</v>
      </c>
      <c r="AC58">
        <v>9.98</v>
      </c>
      <c r="AD58">
        <v>0.5999846145834884</v>
      </c>
      <c r="AE58">
        <v>0.63938611882965668</v>
      </c>
    </row>
    <row r="59" spans="1:31" x14ac:dyDescent="0.25">
      <c r="A59" t="s">
        <v>84</v>
      </c>
      <c r="B59" t="s">
        <v>423</v>
      </c>
      <c r="C59">
        <v>0</v>
      </c>
      <c r="D59">
        <v>910686.15157894732</v>
      </c>
      <c r="E59">
        <v>278970.39564102539</v>
      </c>
      <c r="F59">
        <v>7.2676858558294324</v>
      </c>
      <c r="G59">
        <v>56.214962499999999</v>
      </c>
      <c r="H59" t="s">
        <v>267</v>
      </c>
      <c r="I59">
        <v>361511.58999999997</v>
      </c>
      <c r="J59">
        <v>-1</v>
      </c>
      <c r="K59" t="s">
        <v>424</v>
      </c>
      <c r="L59" t="s">
        <v>267</v>
      </c>
      <c r="M59">
        <v>0.53974999999999995</v>
      </c>
      <c r="N59">
        <v>62.382739999999998</v>
      </c>
      <c r="O59">
        <v>63.936909999999997</v>
      </c>
      <c r="P59">
        <v>21.953970000000002</v>
      </c>
      <c r="Q59" t="s">
        <v>424</v>
      </c>
      <c r="R59" t="s">
        <v>424</v>
      </c>
      <c r="S59">
        <v>579194.4</v>
      </c>
      <c r="T59" t="s">
        <v>267</v>
      </c>
      <c r="U59">
        <v>5.8308549999999988</v>
      </c>
      <c r="V59">
        <v>32.294114999999998</v>
      </c>
      <c r="W59" t="s">
        <v>424</v>
      </c>
      <c r="X59">
        <v>391088.27727272722</v>
      </c>
      <c r="Y59" t="s">
        <v>310</v>
      </c>
      <c r="Z59" t="s">
        <v>270</v>
      </c>
      <c r="AA59" t="s">
        <v>275</v>
      </c>
      <c r="AB59" t="s">
        <v>272</v>
      </c>
      <c r="AC59">
        <v>108.1</v>
      </c>
      <c r="AD59">
        <v>0.74264279377051023</v>
      </c>
      <c r="AE59">
        <v>0.84233320780754295</v>
      </c>
    </row>
    <row r="60" spans="1:31" x14ac:dyDescent="0.25">
      <c r="A60" t="s">
        <v>85</v>
      </c>
      <c r="B60" t="s">
        <v>425</v>
      </c>
      <c r="C60">
        <v>0</v>
      </c>
      <c r="D60">
        <v>158817.16666666666</v>
      </c>
      <c r="E60">
        <v>311589.96969696967</v>
      </c>
      <c r="F60">
        <v>254.31970983939286</v>
      </c>
      <c r="G60">
        <v>1981.8000000000002</v>
      </c>
      <c r="H60" t="s">
        <v>267</v>
      </c>
      <c r="I60">
        <v>28076.333333333332</v>
      </c>
      <c r="J60">
        <v>-0.99</v>
      </c>
      <c r="K60" t="s">
        <v>426</v>
      </c>
      <c r="L60" t="s">
        <v>267</v>
      </c>
      <c r="M60">
        <v>13.5</v>
      </c>
      <c r="N60">
        <v>6.3697030000000003</v>
      </c>
      <c r="O60">
        <v>5.6814070000000001</v>
      </c>
      <c r="P60">
        <v>0.17041790000000001</v>
      </c>
      <c r="Q60" t="s">
        <v>427</v>
      </c>
      <c r="R60" t="s">
        <v>426</v>
      </c>
      <c r="S60">
        <v>50283.48</v>
      </c>
      <c r="T60" t="s">
        <v>267</v>
      </c>
      <c r="U60">
        <v>51.574704999999938</v>
      </c>
      <c r="V60">
        <v>1181.9250000000002</v>
      </c>
      <c r="W60" t="s">
        <v>426</v>
      </c>
      <c r="X60">
        <v>224862.22499999998</v>
      </c>
      <c r="Y60" t="s">
        <v>330</v>
      </c>
      <c r="Z60" t="s">
        <v>270</v>
      </c>
      <c r="AA60" t="s">
        <v>275</v>
      </c>
      <c r="AB60" t="s">
        <v>428</v>
      </c>
      <c r="AC60">
        <v>146.94999999999999</v>
      </c>
      <c r="AD60">
        <v>0.50502873023368144</v>
      </c>
      <c r="AE60">
        <v>0.60752660231873934</v>
      </c>
    </row>
    <row r="61" spans="1:31" x14ac:dyDescent="0.25">
      <c r="A61" t="s">
        <v>86</v>
      </c>
      <c r="B61" t="s">
        <v>429</v>
      </c>
      <c r="C61">
        <v>0</v>
      </c>
      <c r="D61">
        <v>46980.389473684219</v>
      </c>
      <c r="E61">
        <v>713271.05701754382</v>
      </c>
      <c r="F61">
        <v>25.389337040336706</v>
      </c>
      <c r="G61">
        <v>160.62300000000002</v>
      </c>
      <c r="H61" t="s">
        <v>267</v>
      </c>
      <c r="I61">
        <v>157429.80952380953</v>
      </c>
      <c r="J61">
        <v>-1</v>
      </c>
      <c r="K61" t="s">
        <v>430</v>
      </c>
      <c r="L61" t="s">
        <v>267</v>
      </c>
      <c r="M61">
        <v>47.4</v>
      </c>
      <c r="N61">
        <v>-30.375389999999999</v>
      </c>
      <c r="O61">
        <v>-32.010350000000003</v>
      </c>
      <c r="P61">
        <v>-17.779630000000001</v>
      </c>
      <c r="Q61" t="s">
        <v>430</v>
      </c>
      <c r="R61" t="s">
        <v>430</v>
      </c>
      <c r="S61">
        <v>55204.45</v>
      </c>
      <c r="T61" t="s">
        <v>267</v>
      </c>
      <c r="U61" t="s">
        <v>267</v>
      </c>
      <c r="V61">
        <v>274.1035</v>
      </c>
      <c r="W61" t="s">
        <v>430</v>
      </c>
      <c r="X61" t="s">
        <v>267</v>
      </c>
      <c r="Y61" t="s">
        <v>431</v>
      </c>
      <c r="Z61" t="s">
        <v>270</v>
      </c>
      <c r="AA61" t="s">
        <v>307</v>
      </c>
      <c r="AB61" t="s">
        <v>401</v>
      </c>
      <c r="AC61">
        <v>3.94</v>
      </c>
      <c r="AD61">
        <v>0.47443504649695595</v>
      </c>
      <c r="AE61">
        <v>0.56387020814636502</v>
      </c>
    </row>
    <row r="62" spans="1:31" x14ac:dyDescent="0.25">
      <c r="A62" t="s">
        <v>87</v>
      </c>
      <c r="B62" t="s">
        <v>432</v>
      </c>
      <c r="C62">
        <v>0</v>
      </c>
      <c r="D62">
        <v>849765.8631578947</v>
      </c>
      <c r="E62">
        <v>442897.36387434538</v>
      </c>
      <c r="F62">
        <v>339.52612866324063</v>
      </c>
      <c r="G62">
        <v>2676.0822000000003</v>
      </c>
      <c r="H62" t="s">
        <v>267</v>
      </c>
      <c r="I62">
        <v>632733.00263157894</v>
      </c>
      <c r="J62">
        <v>-1</v>
      </c>
      <c r="K62" t="s">
        <v>433</v>
      </c>
      <c r="L62" t="s">
        <v>267</v>
      </c>
      <c r="M62">
        <v>26.587999999999997</v>
      </c>
      <c r="N62">
        <v>-0.19321440000000001</v>
      </c>
      <c r="O62">
        <v>-1.5166310000000001</v>
      </c>
      <c r="P62">
        <v>-0.64166140000000005</v>
      </c>
      <c r="Q62" t="s">
        <v>408</v>
      </c>
      <c r="R62" t="s">
        <v>433</v>
      </c>
      <c r="S62">
        <v>1013344</v>
      </c>
      <c r="T62" t="s">
        <v>267</v>
      </c>
      <c r="U62">
        <v>152.27406099999993</v>
      </c>
      <c r="V62">
        <v>2602.8296</v>
      </c>
      <c r="W62" t="s">
        <v>433</v>
      </c>
      <c r="X62">
        <v>61900.990624999991</v>
      </c>
      <c r="Y62" t="s">
        <v>434</v>
      </c>
      <c r="Z62" t="s">
        <v>270</v>
      </c>
      <c r="AA62" t="s">
        <v>271</v>
      </c>
      <c r="AB62" t="s">
        <v>428</v>
      </c>
      <c r="AC62">
        <v>100.65</v>
      </c>
      <c r="AD62">
        <v>0.59069395429854932</v>
      </c>
      <c r="AE62">
        <v>0.67580196280211768</v>
      </c>
    </row>
    <row r="63" spans="1:31" x14ac:dyDescent="0.25">
      <c r="A63" t="s">
        <v>88</v>
      </c>
      <c r="B63" t="s">
        <v>435</v>
      </c>
      <c r="C63">
        <v>0</v>
      </c>
      <c r="D63">
        <v>1971252.4315789475</v>
      </c>
      <c r="E63">
        <v>2399908.5276422766</v>
      </c>
      <c r="F63">
        <v>70.221692347712974</v>
      </c>
      <c r="G63">
        <v>546.4799999999999</v>
      </c>
      <c r="H63" t="s">
        <v>267</v>
      </c>
      <c r="I63">
        <v>3315642.3809523806</v>
      </c>
      <c r="J63">
        <v>-1</v>
      </c>
      <c r="K63" t="s">
        <v>436</v>
      </c>
      <c r="L63" t="s">
        <v>267</v>
      </c>
      <c r="M63">
        <v>9.1999999999999993</v>
      </c>
      <c r="N63">
        <v>-11.226470000000001</v>
      </c>
      <c r="O63">
        <v>-6.2170050000000003</v>
      </c>
      <c r="P63">
        <v>-0.92936430000000003</v>
      </c>
      <c r="Q63" t="s">
        <v>436</v>
      </c>
      <c r="R63" t="s">
        <v>436</v>
      </c>
      <c r="S63">
        <v>1716178</v>
      </c>
      <c r="T63" t="s">
        <v>267</v>
      </c>
      <c r="U63">
        <v>-99.413000000000011</v>
      </c>
      <c r="V63">
        <v>624.03000000000009</v>
      </c>
      <c r="W63" t="s">
        <v>436</v>
      </c>
      <c r="X63">
        <v>549004.42400000012</v>
      </c>
      <c r="Y63" t="s">
        <v>310</v>
      </c>
      <c r="Z63" t="s">
        <v>270</v>
      </c>
      <c r="AA63" t="s">
        <v>275</v>
      </c>
      <c r="AB63" t="s">
        <v>272</v>
      </c>
      <c r="AC63">
        <v>63.96</v>
      </c>
      <c r="AD63">
        <v>0.32499744398452807</v>
      </c>
      <c r="AE63">
        <v>0.37448178576909075</v>
      </c>
    </row>
    <row r="64" spans="1:31" x14ac:dyDescent="0.25">
      <c r="A64" t="s">
        <v>89</v>
      </c>
      <c r="B64" t="s">
        <v>437</v>
      </c>
      <c r="C64">
        <v>0</v>
      </c>
      <c r="D64">
        <v>3604779.6727746148</v>
      </c>
      <c r="E64">
        <v>1032826.6581384371</v>
      </c>
      <c r="F64">
        <v>3834.5140768299998</v>
      </c>
      <c r="G64">
        <v>29993.2082535792</v>
      </c>
      <c r="H64" t="s">
        <v>267</v>
      </c>
      <c r="I64">
        <v>929112.09823428572</v>
      </c>
      <c r="J64">
        <v>-1</v>
      </c>
      <c r="K64" t="s">
        <v>438</v>
      </c>
      <c r="L64" t="s">
        <v>267</v>
      </c>
      <c r="M64">
        <v>34.801089999999995</v>
      </c>
      <c r="N64">
        <v>-2.7477490000000002</v>
      </c>
      <c r="O64">
        <v>-3.9266999999999999</v>
      </c>
      <c r="P64">
        <v>-1.1225849999999999</v>
      </c>
      <c r="Q64" t="s">
        <v>408</v>
      </c>
      <c r="R64" t="s">
        <v>438</v>
      </c>
      <c r="S64">
        <v>201995.3</v>
      </c>
      <c r="T64" t="s">
        <v>267</v>
      </c>
      <c r="U64">
        <v>478.24424237320898</v>
      </c>
      <c r="V64">
        <v>30806.854829671196</v>
      </c>
      <c r="W64" t="s">
        <v>438</v>
      </c>
      <c r="X64">
        <v>28201574.617304556</v>
      </c>
      <c r="Y64" t="s">
        <v>439</v>
      </c>
      <c r="Z64" t="s">
        <v>333</v>
      </c>
      <c r="AA64" t="s">
        <v>339</v>
      </c>
      <c r="AB64" t="s">
        <v>428</v>
      </c>
      <c r="AC64">
        <v>110.1</v>
      </c>
      <c r="AD64">
        <v>0.20746862646982983</v>
      </c>
      <c r="AE64">
        <v>0.37957326282405307</v>
      </c>
    </row>
    <row r="65" spans="1:31" x14ac:dyDescent="0.25">
      <c r="A65" t="s">
        <v>90</v>
      </c>
      <c r="B65" t="s">
        <v>440</v>
      </c>
      <c r="C65">
        <v>0</v>
      </c>
      <c r="D65">
        <v>3332008.7894736845</v>
      </c>
      <c r="E65" t="s">
        <v>267</v>
      </c>
      <c r="F65">
        <v>38.790012946787201</v>
      </c>
      <c r="G65">
        <v>300.51</v>
      </c>
      <c r="H65" t="s">
        <v>267</v>
      </c>
      <c r="I65">
        <v>143792400</v>
      </c>
      <c r="J65">
        <v>-1</v>
      </c>
      <c r="K65" t="s">
        <v>412</v>
      </c>
      <c r="L65" t="s">
        <v>267</v>
      </c>
      <c r="M65">
        <v>37.1</v>
      </c>
      <c r="N65" t="s">
        <v>267</v>
      </c>
      <c r="O65" t="s">
        <v>267</v>
      </c>
      <c r="P65">
        <v>-18.53877</v>
      </c>
      <c r="Q65" t="s">
        <v>441</v>
      </c>
      <c r="R65" t="s">
        <v>412</v>
      </c>
      <c r="S65">
        <v>4152289</v>
      </c>
      <c r="T65" t="s">
        <v>267</v>
      </c>
      <c r="U65" t="s">
        <v>267</v>
      </c>
      <c r="V65" t="s">
        <v>267</v>
      </c>
      <c r="W65" t="s">
        <v>412</v>
      </c>
      <c r="X65" t="s">
        <v>267</v>
      </c>
      <c r="Y65" t="s">
        <v>302</v>
      </c>
      <c r="Z65" t="s">
        <v>270</v>
      </c>
      <c r="AA65" t="s">
        <v>307</v>
      </c>
      <c r="AB65" t="s">
        <v>272</v>
      </c>
      <c r="AC65">
        <v>8.1950000000000003</v>
      </c>
      <c r="AD65">
        <v>0.20613262967689097</v>
      </c>
      <c r="AE65">
        <v>0.28234521694785308</v>
      </c>
    </row>
    <row r="66" spans="1:31" x14ac:dyDescent="0.25">
      <c r="A66" t="s">
        <v>91</v>
      </c>
      <c r="B66" t="s">
        <v>442</v>
      </c>
      <c r="C66">
        <v>0</v>
      </c>
      <c r="D66">
        <v>309938.99052631576</v>
      </c>
      <c r="E66">
        <v>798837.79257142928</v>
      </c>
      <c r="F66">
        <v>22.438682861733461</v>
      </c>
      <c r="G66">
        <v>173.42</v>
      </c>
      <c r="H66" t="s">
        <v>267</v>
      </c>
      <c r="I66">
        <v>1052373.7885714285</v>
      </c>
      <c r="J66">
        <v>-1</v>
      </c>
      <c r="K66" t="s">
        <v>436</v>
      </c>
      <c r="L66" t="s">
        <v>267</v>
      </c>
      <c r="M66">
        <v>3.25</v>
      </c>
      <c r="N66">
        <v>-15.996689999999999</v>
      </c>
      <c r="O66">
        <v>-16.14472</v>
      </c>
      <c r="P66">
        <v>-7.6046909999999999</v>
      </c>
      <c r="Q66" t="s">
        <v>436</v>
      </c>
      <c r="R66" t="s">
        <v>436</v>
      </c>
      <c r="S66">
        <v>466002.3</v>
      </c>
      <c r="T66" t="s">
        <v>267</v>
      </c>
      <c r="U66">
        <v>-58.73109500000001</v>
      </c>
      <c r="V66">
        <v>266.40899999999999</v>
      </c>
      <c r="W66" t="s">
        <v>436</v>
      </c>
      <c r="X66">
        <v>566403.4375</v>
      </c>
      <c r="Y66" t="s">
        <v>310</v>
      </c>
      <c r="Z66" t="s">
        <v>270</v>
      </c>
      <c r="AA66" t="s">
        <v>275</v>
      </c>
      <c r="AB66" t="s">
        <v>272</v>
      </c>
      <c r="AC66">
        <v>55.16</v>
      </c>
      <c r="AD66">
        <v>0.38874533231063635</v>
      </c>
      <c r="AE66">
        <v>0.44380407875112104</v>
      </c>
    </row>
    <row r="67" spans="1:31" x14ac:dyDescent="0.25">
      <c r="A67" t="s">
        <v>92</v>
      </c>
      <c r="B67" t="s">
        <v>443</v>
      </c>
      <c r="C67">
        <v>0</v>
      </c>
      <c r="D67">
        <v>5339501.222222222</v>
      </c>
      <c r="E67">
        <v>1172484.193932039</v>
      </c>
      <c r="F67">
        <v>112.06343963989235</v>
      </c>
      <c r="G67">
        <v>877.89600000000007</v>
      </c>
      <c r="H67" t="s">
        <v>267</v>
      </c>
      <c r="I67">
        <v>1766823.3879999998</v>
      </c>
      <c r="J67">
        <v>-1</v>
      </c>
      <c r="K67" t="s">
        <v>444</v>
      </c>
      <c r="L67" t="s">
        <v>267</v>
      </c>
      <c r="M67">
        <v>17.8</v>
      </c>
      <c r="N67">
        <v>12.441330000000001</v>
      </c>
      <c r="O67">
        <v>11.63101</v>
      </c>
      <c r="P67">
        <v>1.171243</v>
      </c>
      <c r="Q67" t="s">
        <v>445</v>
      </c>
      <c r="R67" t="s">
        <v>444</v>
      </c>
      <c r="S67">
        <v>2808990</v>
      </c>
      <c r="T67" t="s">
        <v>267</v>
      </c>
      <c r="U67">
        <v>-15.137260000000062</v>
      </c>
      <c r="V67">
        <v>933.50400000000013</v>
      </c>
      <c r="W67" t="s">
        <v>444</v>
      </c>
      <c r="X67">
        <v>839739.9055555556</v>
      </c>
      <c r="Y67" t="s">
        <v>350</v>
      </c>
      <c r="Z67" t="s">
        <v>270</v>
      </c>
      <c r="AA67" t="s">
        <v>275</v>
      </c>
      <c r="AB67" t="s">
        <v>272</v>
      </c>
      <c r="AC67">
        <v>50.1</v>
      </c>
      <c r="AD67">
        <v>0.23050336201459942</v>
      </c>
      <c r="AE67">
        <v>0.31438330961181365</v>
      </c>
    </row>
    <row r="68" spans="1:31" x14ac:dyDescent="0.25">
      <c r="A68" t="s">
        <v>93</v>
      </c>
      <c r="B68" t="s">
        <v>446</v>
      </c>
      <c r="C68">
        <v>0</v>
      </c>
      <c r="D68">
        <v>208505.44705882354</v>
      </c>
      <c r="E68">
        <v>136387.84503067483</v>
      </c>
      <c r="F68">
        <v>497.840117625603</v>
      </c>
      <c r="G68">
        <v>3900.9315200000001</v>
      </c>
      <c r="H68" t="s">
        <v>267</v>
      </c>
      <c r="I68">
        <v>146100.04615384614</v>
      </c>
      <c r="J68">
        <v>-1</v>
      </c>
      <c r="K68" t="s">
        <v>447</v>
      </c>
      <c r="L68" t="s">
        <v>267</v>
      </c>
      <c r="M68">
        <v>62.315199999999997</v>
      </c>
      <c r="N68">
        <v>5.0786790000000002</v>
      </c>
      <c r="O68">
        <v>4.6682240000000004</v>
      </c>
      <c r="P68">
        <v>-0.97792040000000002</v>
      </c>
      <c r="Q68" t="s">
        <v>447</v>
      </c>
      <c r="R68" t="s">
        <v>447</v>
      </c>
      <c r="S68">
        <v>383740.1</v>
      </c>
      <c r="T68" t="s">
        <v>267</v>
      </c>
      <c r="U68">
        <v>-247.55936750000018</v>
      </c>
      <c r="V68">
        <v>3935.5996959999998</v>
      </c>
      <c r="W68" t="s">
        <v>447</v>
      </c>
      <c r="X68">
        <v>80346.711111111101</v>
      </c>
      <c r="Y68" t="s">
        <v>314</v>
      </c>
      <c r="Z68" t="s">
        <v>270</v>
      </c>
      <c r="AA68" t="s">
        <v>275</v>
      </c>
      <c r="AB68" t="s">
        <v>428</v>
      </c>
      <c r="AC68">
        <v>62.78</v>
      </c>
      <c r="AD68">
        <v>8.3024160842238084E-2</v>
      </c>
      <c r="AE68">
        <v>0.13833186890710775</v>
      </c>
    </row>
    <row r="69" spans="1:31" x14ac:dyDescent="0.25">
      <c r="A69" t="s">
        <v>94</v>
      </c>
      <c r="B69" t="s">
        <v>448</v>
      </c>
      <c r="C69">
        <v>0</v>
      </c>
      <c r="D69">
        <v>47884.172857142854</v>
      </c>
      <c r="E69">
        <v>522930.9735593223</v>
      </c>
      <c r="F69" t="s">
        <v>267</v>
      </c>
      <c r="G69">
        <v>9667.2799999999988</v>
      </c>
      <c r="H69" t="s">
        <v>267</v>
      </c>
      <c r="I69">
        <v>469021.81428571435</v>
      </c>
      <c r="J69" t="s">
        <v>31</v>
      </c>
      <c r="K69" t="s">
        <v>449</v>
      </c>
      <c r="L69" t="s">
        <v>267</v>
      </c>
      <c r="M69">
        <v>122</v>
      </c>
      <c r="N69">
        <v>5.4827950000000003</v>
      </c>
      <c r="O69">
        <v>6.4047369999999999</v>
      </c>
      <c r="P69">
        <v>-1.3226850000000001</v>
      </c>
      <c r="Q69" t="s">
        <v>449</v>
      </c>
      <c r="R69" t="s">
        <v>449</v>
      </c>
      <c r="S69">
        <v>70522.05</v>
      </c>
      <c r="T69" t="s">
        <v>267</v>
      </c>
      <c r="U69">
        <v>983.91413352824645</v>
      </c>
      <c r="V69">
        <v>9572.4159999999993</v>
      </c>
      <c r="W69" t="s">
        <v>449</v>
      </c>
      <c r="X69">
        <v>1743114.648</v>
      </c>
      <c r="Y69" t="s">
        <v>279</v>
      </c>
      <c r="Z69" t="s">
        <v>450</v>
      </c>
      <c r="AA69" t="s">
        <v>451</v>
      </c>
      <c r="AB69" t="s">
        <v>272</v>
      </c>
      <c r="AC69">
        <v>79.08</v>
      </c>
      <c r="AD69">
        <v>0.37620310347403851</v>
      </c>
      <c r="AE69">
        <v>0.55145148623478413</v>
      </c>
    </row>
    <row r="70" spans="1:31" x14ac:dyDescent="0.25">
      <c r="A70" t="s">
        <v>95</v>
      </c>
      <c r="B70" t="s">
        <v>452</v>
      </c>
      <c r="C70">
        <v>0</v>
      </c>
      <c r="D70">
        <v>539104.36842105258</v>
      </c>
      <c r="E70">
        <v>617571.78305785102</v>
      </c>
      <c r="F70">
        <v>6.9830553219163232</v>
      </c>
      <c r="G70">
        <v>62.607999999999997</v>
      </c>
      <c r="H70" t="s">
        <v>267</v>
      </c>
      <c r="I70">
        <v>558261.16666666663</v>
      </c>
      <c r="J70">
        <v>-1</v>
      </c>
      <c r="K70" t="s">
        <v>453</v>
      </c>
      <c r="L70" t="s">
        <v>267</v>
      </c>
      <c r="M70">
        <v>4.3</v>
      </c>
      <c r="N70">
        <v>54.203490000000002</v>
      </c>
      <c r="O70">
        <v>60.502879999999998</v>
      </c>
      <c r="P70">
        <v>20.53501</v>
      </c>
      <c r="Q70" t="s">
        <v>453</v>
      </c>
      <c r="R70" t="s">
        <v>453</v>
      </c>
      <c r="S70">
        <v>477635.3</v>
      </c>
      <c r="T70" t="s">
        <v>267</v>
      </c>
      <c r="U70">
        <v>0</v>
      </c>
      <c r="V70">
        <v>55.360999999999997</v>
      </c>
      <c r="W70" t="s">
        <v>453</v>
      </c>
      <c r="X70" t="s">
        <v>267</v>
      </c>
      <c r="Y70" t="s">
        <v>370</v>
      </c>
      <c r="Z70" t="s">
        <v>270</v>
      </c>
      <c r="AA70" t="s">
        <v>275</v>
      </c>
      <c r="AB70" t="s">
        <v>272</v>
      </c>
      <c r="AC70">
        <v>15.32</v>
      </c>
      <c r="AD70">
        <v>0.54659976903214524</v>
      </c>
      <c r="AE70">
        <v>0.62594551263999398</v>
      </c>
    </row>
    <row r="71" spans="1:31" x14ac:dyDescent="0.25">
      <c r="A71" t="s">
        <v>96</v>
      </c>
      <c r="B71" t="s">
        <v>454</v>
      </c>
      <c r="C71">
        <v>0</v>
      </c>
      <c r="D71">
        <v>8863197.8947368432</v>
      </c>
      <c r="E71">
        <v>1937361.0199999989</v>
      </c>
      <c r="F71">
        <v>173.55718657</v>
      </c>
      <c r="G71">
        <v>1370.3040000000001</v>
      </c>
      <c r="H71" t="s">
        <v>267</v>
      </c>
      <c r="I71">
        <v>3947247.5714285714</v>
      </c>
      <c r="J71">
        <v>-1</v>
      </c>
      <c r="K71" t="s">
        <v>365</v>
      </c>
      <c r="L71" t="s">
        <v>267</v>
      </c>
      <c r="M71">
        <v>2.44</v>
      </c>
      <c r="N71">
        <v>17.571470000000001</v>
      </c>
      <c r="O71">
        <v>16.26369</v>
      </c>
      <c r="P71">
        <v>-3.1002369999999999</v>
      </c>
      <c r="Q71" t="s">
        <v>366</v>
      </c>
      <c r="R71" t="s">
        <v>365</v>
      </c>
      <c r="S71">
        <v>8722902</v>
      </c>
      <c r="T71" t="s">
        <v>267</v>
      </c>
      <c r="U71">
        <v>38.058125999999952</v>
      </c>
      <c r="V71">
        <v>783.91800000000001</v>
      </c>
      <c r="W71" t="s">
        <v>365</v>
      </c>
      <c r="X71">
        <v>676800.13333333319</v>
      </c>
      <c r="Y71" t="s">
        <v>314</v>
      </c>
      <c r="Z71" t="s">
        <v>270</v>
      </c>
      <c r="AA71" t="s">
        <v>336</v>
      </c>
      <c r="AB71" t="s">
        <v>272</v>
      </c>
      <c r="AC71">
        <v>562.6</v>
      </c>
      <c r="AD71">
        <v>0.14999940176986579</v>
      </c>
      <c r="AE71">
        <v>0.1815737009618589</v>
      </c>
    </row>
    <row r="72" spans="1:31" x14ac:dyDescent="0.25">
      <c r="A72" t="s">
        <v>97</v>
      </c>
      <c r="B72" t="s">
        <v>455</v>
      </c>
      <c r="C72">
        <v>0</v>
      </c>
      <c r="D72">
        <v>48691.605333333326</v>
      </c>
      <c r="E72">
        <v>43348.6735849057</v>
      </c>
      <c r="F72">
        <v>8.1788067418166044</v>
      </c>
      <c r="G72">
        <v>66</v>
      </c>
      <c r="H72" t="s">
        <v>267</v>
      </c>
      <c r="I72">
        <v>90712.0625</v>
      </c>
      <c r="J72">
        <v>-1</v>
      </c>
      <c r="K72" t="s">
        <v>456</v>
      </c>
      <c r="L72" t="s">
        <v>267</v>
      </c>
      <c r="M72">
        <v>6.6</v>
      </c>
      <c r="N72">
        <v>-17.24222</v>
      </c>
      <c r="O72">
        <v>-17.915310000000002</v>
      </c>
      <c r="P72">
        <v>-13.84615</v>
      </c>
      <c r="Q72" t="s">
        <v>456</v>
      </c>
      <c r="R72" t="s">
        <v>456</v>
      </c>
      <c r="S72">
        <v>26935.77</v>
      </c>
      <c r="T72" t="s">
        <v>267</v>
      </c>
      <c r="U72">
        <v>0</v>
      </c>
      <c r="V72">
        <v>73.679999999999993</v>
      </c>
      <c r="W72" t="s">
        <v>456</v>
      </c>
      <c r="X72">
        <v>82483.441176470587</v>
      </c>
      <c r="Y72" t="s">
        <v>457</v>
      </c>
      <c r="Z72" t="s">
        <v>270</v>
      </c>
      <c r="AA72" t="s">
        <v>271</v>
      </c>
      <c r="AB72" t="s">
        <v>272</v>
      </c>
      <c r="AC72">
        <v>10.08</v>
      </c>
      <c r="AD72">
        <v>0.38775955036164161</v>
      </c>
      <c r="AE72">
        <v>0.46410382005725509</v>
      </c>
    </row>
    <row r="73" spans="1:31" x14ac:dyDescent="0.25">
      <c r="A73" t="s">
        <v>98</v>
      </c>
      <c r="B73" t="s">
        <v>458</v>
      </c>
      <c r="C73">
        <v>0</v>
      </c>
      <c r="D73">
        <v>635833.13684210519</v>
      </c>
      <c r="E73">
        <v>1357445.717804878</v>
      </c>
      <c r="F73">
        <v>605.88678472000004</v>
      </c>
      <c r="G73">
        <v>4740.9600000000009</v>
      </c>
      <c r="H73" t="s">
        <v>267</v>
      </c>
      <c r="I73">
        <v>1415747.5285714283</v>
      </c>
      <c r="J73">
        <v>-1</v>
      </c>
      <c r="K73" t="s">
        <v>459</v>
      </c>
      <c r="L73" t="s">
        <v>267</v>
      </c>
      <c r="M73">
        <v>132.79999999999998</v>
      </c>
      <c r="N73">
        <v>-11.4785</v>
      </c>
      <c r="O73">
        <v>-11.99802</v>
      </c>
      <c r="P73">
        <v>2.187675</v>
      </c>
      <c r="Q73" t="s">
        <v>460</v>
      </c>
      <c r="R73" t="s">
        <v>459</v>
      </c>
      <c r="S73">
        <v>1180192</v>
      </c>
      <c r="T73" t="s">
        <v>267</v>
      </c>
      <c r="U73">
        <v>2493.6017999999963</v>
      </c>
      <c r="V73">
        <v>5324.88</v>
      </c>
      <c r="W73" t="s">
        <v>459</v>
      </c>
      <c r="X73">
        <v>3447761.804</v>
      </c>
      <c r="Y73" t="s">
        <v>314</v>
      </c>
      <c r="Z73" t="s">
        <v>270</v>
      </c>
      <c r="AA73" t="s">
        <v>461</v>
      </c>
      <c r="AB73" t="s">
        <v>272</v>
      </c>
      <c r="AC73">
        <v>35.5</v>
      </c>
      <c r="AD73">
        <v>0.28288592097988607</v>
      </c>
      <c r="AE73">
        <v>0.36821291613075641</v>
      </c>
    </row>
    <row r="74" spans="1:31" x14ac:dyDescent="0.25">
      <c r="A74" t="s">
        <v>99</v>
      </c>
      <c r="B74" t="s">
        <v>462</v>
      </c>
      <c r="C74">
        <v>0</v>
      </c>
      <c r="D74">
        <v>3111815.710526316</v>
      </c>
      <c r="E74">
        <v>5269823.3800812988</v>
      </c>
      <c r="F74">
        <v>226.74886023769139</v>
      </c>
      <c r="G74">
        <v>1777.8799999999999</v>
      </c>
      <c r="H74" t="s">
        <v>267</v>
      </c>
      <c r="I74">
        <v>5783583.333333333</v>
      </c>
      <c r="J74">
        <v>-1</v>
      </c>
      <c r="K74" t="s">
        <v>463</v>
      </c>
      <c r="L74" t="s">
        <v>267</v>
      </c>
      <c r="M74">
        <v>338</v>
      </c>
      <c r="N74">
        <v>-19.808879999999998</v>
      </c>
      <c r="O74">
        <v>-19.837759999999999</v>
      </c>
      <c r="P74">
        <v>-9.7925330000000006</v>
      </c>
      <c r="Q74" t="s">
        <v>463</v>
      </c>
      <c r="R74" t="s">
        <v>463</v>
      </c>
      <c r="S74">
        <v>2337960</v>
      </c>
      <c r="T74" t="s">
        <v>267</v>
      </c>
      <c r="U74">
        <v>-738.87832000000003</v>
      </c>
      <c r="V74">
        <v>1627.2</v>
      </c>
      <c r="W74" t="s">
        <v>463</v>
      </c>
      <c r="X74">
        <v>487075.39199999982</v>
      </c>
      <c r="Y74" t="s">
        <v>310</v>
      </c>
      <c r="Z74" t="s">
        <v>270</v>
      </c>
      <c r="AA74" t="s">
        <v>271</v>
      </c>
      <c r="AB74" t="s">
        <v>272</v>
      </c>
      <c r="AC74">
        <v>5.4349999999999996</v>
      </c>
      <c r="AD74">
        <v>0.16526013656898192</v>
      </c>
      <c r="AE74">
        <v>0.16374414789455438</v>
      </c>
    </row>
    <row r="75" spans="1:31" x14ac:dyDescent="0.25">
      <c r="A75" t="s">
        <v>100</v>
      </c>
      <c r="B75" t="s">
        <v>464</v>
      </c>
      <c r="C75">
        <v>0</v>
      </c>
      <c r="D75">
        <v>41550.663749999992</v>
      </c>
      <c r="E75">
        <v>168501.38947115387</v>
      </c>
      <c r="F75">
        <v>1.3024705844097879</v>
      </c>
      <c r="G75">
        <v>10.17</v>
      </c>
      <c r="H75" t="s">
        <v>267</v>
      </c>
      <c r="I75">
        <v>143657.53333333335</v>
      </c>
      <c r="J75">
        <v>-1</v>
      </c>
      <c r="K75" t="s">
        <v>465</v>
      </c>
      <c r="L75" t="s">
        <v>267</v>
      </c>
      <c r="M75">
        <v>0.3</v>
      </c>
      <c r="N75">
        <v>-20.453589999999998</v>
      </c>
      <c r="O75">
        <v>-20.351990000000001</v>
      </c>
      <c r="P75">
        <v>-10.723319999999999</v>
      </c>
      <c r="Q75" t="s">
        <v>465</v>
      </c>
      <c r="R75" t="s">
        <v>465</v>
      </c>
      <c r="S75">
        <v>74122.16</v>
      </c>
      <c r="T75" t="s">
        <v>267</v>
      </c>
      <c r="U75">
        <v>-25.208570000000005</v>
      </c>
      <c r="V75">
        <v>33.24</v>
      </c>
      <c r="W75" t="s">
        <v>465</v>
      </c>
      <c r="X75">
        <v>144633.27263157893</v>
      </c>
      <c r="Y75" t="s">
        <v>310</v>
      </c>
      <c r="Z75" t="s">
        <v>270</v>
      </c>
      <c r="AA75" t="s">
        <v>371</v>
      </c>
      <c r="AB75" t="s">
        <v>272</v>
      </c>
      <c r="AC75">
        <v>35.299999999999997</v>
      </c>
      <c r="AD75">
        <v>0.59233345130382065</v>
      </c>
      <c r="AE75">
        <v>0.66239578242432573</v>
      </c>
    </row>
    <row r="76" spans="1:31" x14ac:dyDescent="0.25">
      <c r="A76" t="s">
        <v>101</v>
      </c>
      <c r="B76" t="s">
        <v>466</v>
      </c>
      <c r="C76">
        <v>0</v>
      </c>
      <c r="D76">
        <v>5446</v>
      </c>
      <c r="E76">
        <v>68307.368421052641</v>
      </c>
      <c r="F76">
        <v>3.3914998396870217</v>
      </c>
      <c r="G76">
        <v>26.67</v>
      </c>
      <c r="H76" t="s">
        <v>267</v>
      </c>
      <c r="I76">
        <v>100020</v>
      </c>
      <c r="J76">
        <v>-1</v>
      </c>
      <c r="K76" t="s">
        <v>467</v>
      </c>
      <c r="L76" t="s">
        <v>267</v>
      </c>
      <c r="M76">
        <v>1.5</v>
      </c>
      <c r="N76">
        <v>4.4040429999999997</v>
      </c>
      <c r="O76">
        <v>4.8909880000000001</v>
      </c>
      <c r="P76">
        <v>-2.036324</v>
      </c>
      <c r="Q76" t="s">
        <v>467</v>
      </c>
      <c r="R76" t="s">
        <v>467</v>
      </c>
      <c r="S76">
        <v>11198.95</v>
      </c>
      <c r="T76" t="s">
        <v>267</v>
      </c>
      <c r="U76">
        <v>0.57010000000000005</v>
      </c>
      <c r="V76">
        <v>25.454999999999998</v>
      </c>
      <c r="W76" t="s">
        <v>467</v>
      </c>
      <c r="X76">
        <v>9930</v>
      </c>
      <c r="Y76" t="s">
        <v>468</v>
      </c>
      <c r="Z76" t="s">
        <v>270</v>
      </c>
      <c r="AA76" t="s">
        <v>275</v>
      </c>
      <c r="AB76" t="s">
        <v>272</v>
      </c>
      <c r="AC76">
        <v>17.8</v>
      </c>
      <c r="AD76">
        <v>1.4839352581232323</v>
      </c>
      <c r="AE76">
        <v>1.5399955081782641</v>
      </c>
    </row>
    <row r="77" spans="1:31" x14ac:dyDescent="0.25">
      <c r="A77" t="s">
        <v>102</v>
      </c>
      <c r="B77" t="s">
        <v>469</v>
      </c>
      <c r="C77">
        <v>0</v>
      </c>
      <c r="D77">
        <v>144036.70357142857</v>
      </c>
      <c r="E77">
        <v>175928.80075376882</v>
      </c>
      <c r="F77">
        <v>6.0287704299999998</v>
      </c>
      <c r="G77">
        <v>46.800000000000004</v>
      </c>
      <c r="H77" t="s">
        <v>267</v>
      </c>
      <c r="I77">
        <v>111047.54411764706</v>
      </c>
      <c r="J77">
        <v>-1</v>
      </c>
      <c r="K77" t="s">
        <v>426</v>
      </c>
      <c r="L77" t="s">
        <v>267</v>
      </c>
      <c r="M77">
        <v>0.44999999999999996</v>
      </c>
      <c r="N77">
        <v>18.322769999999998</v>
      </c>
      <c r="O77">
        <v>13.661199999999999</v>
      </c>
      <c r="P77">
        <v>0.48309180000000002</v>
      </c>
      <c r="Q77" t="s">
        <v>427</v>
      </c>
      <c r="R77" t="s">
        <v>426</v>
      </c>
      <c r="S77">
        <v>59368.88</v>
      </c>
      <c r="T77" t="s">
        <v>267</v>
      </c>
      <c r="U77">
        <v>-8.4471299999999889</v>
      </c>
      <c r="V77">
        <v>49.410000000000004</v>
      </c>
      <c r="W77" t="s">
        <v>426</v>
      </c>
      <c r="X77">
        <v>483869.48599999992</v>
      </c>
      <c r="Y77" t="s">
        <v>330</v>
      </c>
      <c r="Z77" t="s">
        <v>270</v>
      </c>
      <c r="AA77" t="s">
        <v>275</v>
      </c>
      <c r="AB77" t="s">
        <v>428</v>
      </c>
      <c r="AC77">
        <v>104</v>
      </c>
      <c r="AD77">
        <v>0.74447824722273903</v>
      </c>
      <c r="AE77">
        <v>0.93437225845827021</v>
      </c>
    </row>
    <row r="78" spans="1:31" x14ac:dyDescent="0.25">
      <c r="A78" t="s">
        <v>103</v>
      </c>
      <c r="B78" t="s">
        <v>470</v>
      </c>
      <c r="C78">
        <v>0</v>
      </c>
      <c r="D78">
        <v>2934133.5789473685</v>
      </c>
      <c r="E78">
        <v>1098977.4753571427</v>
      </c>
      <c r="F78">
        <v>8.120556162489704</v>
      </c>
      <c r="G78">
        <v>63.629976999999997</v>
      </c>
      <c r="H78" t="s">
        <v>267</v>
      </c>
      <c r="I78">
        <v>1057701.2631578948</v>
      </c>
      <c r="J78">
        <v>-1</v>
      </c>
      <c r="K78" t="s">
        <v>283</v>
      </c>
      <c r="L78" t="s">
        <v>267</v>
      </c>
      <c r="M78">
        <v>8.4726999999999997</v>
      </c>
      <c r="N78">
        <v>6.6337219999999997</v>
      </c>
      <c r="O78">
        <v>12.0677</v>
      </c>
      <c r="P78">
        <v>-1.2961780000000001</v>
      </c>
      <c r="Q78" t="s">
        <v>283</v>
      </c>
      <c r="R78" t="s">
        <v>283</v>
      </c>
      <c r="S78">
        <v>2084364</v>
      </c>
      <c r="T78" t="s">
        <v>267</v>
      </c>
      <c r="U78">
        <v>-4.2545836290871701</v>
      </c>
      <c r="V78">
        <v>50.776996499999996</v>
      </c>
      <c r="W78" t="s">
        <v>283</v>
      </c>
      <c r="X78">
        <v>505969.05600000004</v>
      </c>
      <c r="Y78" t="s">
        <v>279</v>
      </c>
      <c r="Z78" t="s">
        <v>384</v>
      </c>
      <c r="AA78" t="s">
        <v>275</v>
      </c>
      <c r="AB78" t="s">
        <v>272</v>
      </c>
      <c r="AC78">
        <v>7.6150000000000002</v>
      </c>
      <c r="AD78">
        <v>0.1820257146018755</v>
      </c>
      <c r="AE78">
        <v>0.19423093923448653</v>
      </c>
    </row>
    <row r="79" spans="1:31" x14ac:dyDescent="0.25">
      <c r="A79" t="s">
        <v>104</v>
      </c>
      <c r="B79" t="s">
        <v>471</v>
      </c>
      <c r="C79">
        <v>0</v>
      </c>
      <c r="D79">
        <v>60479.055555555555</v>
      </c>
      <c r="E79">
        <v>98354.983957219258</v>
      </c>
      <c r="F79">
        <v>5.6737249220568096</v>
      </c>
      <c r="G79">
        <v>44.40484</v>
      </c>
      <c r="H79" t="s">
        <v>267</v>
      </c>
      <c r="I79">
        <v>289373.42499999999</v>
      </c>
      <c r="J79">
        <v>-1</v>
      </c>
      <c r="K79" t="s">
        <v>472</v>
      </c>
      <c r="L79" t="s">
        <v>267</v>
      </c>
      <c r="M79">
        <v>4.4139999999999997</v>
      </c>
      <c r="N79">
        <v>3.881675</v>
      </c>
      <c r="O79">
        <v>6.1181489999999998</v>
      </c>
      <c r="P79">
        <v>-0.1984119</v>
      </c>
      <c r="Q79" t="s">
        <v>472</v>
      </c>
      <c r="R79" t="s">
        <v>472</v>
      </c>
      <c r="S79">
        <v>102637.3</v>
      </c>
      <c r="T79" t="s">
        <v>267</v>
      </c>
      <c r="U79">
        <v>0</v>
      </c>
      <c r="V79">
        <v>39.000720000000001</v>
      </c>
      <c r="W79" t="s">
        <v>472</v>
      </c>
      <c r="X79">
        <v>45835.59375</v>
      </c>
      <c r="Y79" t="s">
        <v>279</v>
      </c>
      <c r="Z79" t="s">
        <v>473</v>
      </c>
      <c r="AA79" t="s">
        <v>474</v>
      </c>
      <c r="AB79" t="s">
        <v>272</v>
      </c>
      <c r="AC79">
        <v>10.06</v>
      </c>
      <c r="AD79">
        <v>0.94220587763740293</v>
      </c>
      <c r="AE79">
        <v>1.0827469433894377</v>
      </c>
    </row>
    <row r="80" spans="1:31" x14ac:dyDescent="0.25">
      <c r="A80" t="s">
        <v>105</v>
      </c>
      <c r="B80" t="s">
        <v>475</v>
      </c>
      <c r="C80">
        <v>0</v>
      </c>
      <c r="D80">
        <v>291573.45454545453</v>
      </c>
      <c r="E80">
        <v>230278.05882352951</v>
      </c>
      <c r="F80">
        <v>5.8419006574302852</v>
      </c>
      <c r="G80">
        <v>45.664000000000001</v>
      </c>
      <c r="H80" t="s">
        <v>267</v>
      </c>
      <c r="I80">
        <v>367809.68421052635</v>
      </c>
      <c r="J80">
        <v>-1</v>
      </c>
      <c r="K80" t="s">
        <v>476</v>
      </c>
      <c r="L80" t="s">
        <v>267</v>
      </c>
      <c r="M80">
        <v>1.5999999999999999</v>
      </c>
      <c r="N80">
        <v>21.296019999999999</v>
      </c>
      <c r="O80">
        <v>22.61092</v>
      </c>
      <c r="P80">
        <v>5.1207019999999996</v>
      </c>
      <c r="Q80" t="s">
        <v>476</v>
      </c>
      <c r="R80" t="s">
        <v>476</v>
      </c>
      <c r="S80">
        <v>123492.1</v>
      </c>
      <c r="T80" t="s">
        <v>267</v>
      </c>
      <c r="U80">
        <v>0.1338879999999989</v>
      </c>
      <c r="V80">
        <v>37.504000000000005</v>
      </c>
      <c r="W80" t="s">
        <v>476</v>
      </c>
      <c r="X80">
        <v>170909</v>
      </c>
      <c r="Y80" t="s">
        <v>279</v>
      </c>
      <c r="Z80" t="s">
        <v>270</v>
      </c>
      <c r="AA80" t="s">
        <v>275</v>
      </c>
      <c r="AB80" t="s">
        <v>272</v>
      </c>
      <c r="AC80">
        <v>28.74</v>
      </c>
      <c r="AD80">
        <v>0.63127263031858505</v>
      </c>
      <c r="AE80">
        <v>0.83843752370616464</v>
      </c>
    </row>
    <row r="81" spans="1:31" x14ac:dyDescent="0.25">
      <c r="A81" t="s">
        <v>106</v>
      </c>
      <c r="B81" t="s">
        <v>477</v>
      </c>
      <c r="C81">
        <v>0</v>
      </c>
      <c r="D81">
        <v>1611524.5368421052</v>
      </c>
      <c r="E81">
        <v>3098416.9813008145</v>
      </c>
      <c r="F81">
        <v>69.016416459999988</v>
      </c>
      <c r="G81">
        <v>542.42493119999995</v>
      </c>
      <c r="H81" t="s">
        <v>267</v>
      </c>
      <c r="I81">
        <v>1546807.4523809529</v>
      </c>
      <c r="J81">
        <v>-1</v>
      </c>
      <c r="K81" t="s">
        <v>399</v>
      </c>
      <c r="L81" t="s">
        <v>267</v>
      </c>
      <c r="M81">
        <v>116.50019999999999</v>
      </c>
      <c r="N81">
        <v>-31.5015</v>
      </c>
      <c r="O81">
        <v>-31.985240000000001</v>
      </c>
      <c r="P81">
        <v>-18.29787</v>
      </c>
      <c r="Q81" t="s">
        <v>399</v>
      </c>
      <c r="R81" t="s">
        <v>399</v>
      </c>
      <c r="S81">
        <v>1214560</v>
      </c>
      <c r="T81" t="s">
        <v>267</v>
      </c>
      <c r="U81">
        <v>296.19963499999994</v>
      </c>
      <c r="V81">
        <v>775.73885500000006</v>
      </c>
      <c r="W81" t="s">
        <v>399</v>
      </c>
      <c r="X81">
        <v>3426371.0480000009</v>
      </c>
      <c r="Y81" t="s">
        <v>370</v>
      </c>
      <c r="Z81" t="s">
        <v>270</v>
      </c>
      <c r="AA81" t="s">
        <v>307</v>
      </c>
      <c r="AB81" t="s">
        <v>401</v>
      </c>
      <c r="AC81">
        <v>4.6079999999999997</v>
      </c>
      <c r="AD81">
        <v>0.19151632593353876</v>
      </c>
      <c r="AE81">
        <v>0.21665180750016902</v>
      </c>
    </row>
    <row r="82" spans="1:31" x14ac:dyDescent="0.25">
      <c r="A82" t="s">
        <v>107</v>
      </c>
      <c r="B82" t="s">
        <v>478</v>
      </c>
      <c r="C82">
        <v>0</v>
      </c>
      <c r="D82">
        <v>952545.60000000009</v>
      </c>
      <c r="E82">
        <v>1708997.5989024402</v>
      </c>
      <c r="F82">
        <v>14.840800489999999</v>
      </c>
      <c r="G82">
        <v>116.40024</v>
      </c>
      <c r="H82" t="s">
        <v>267</v>
      </c>
      <c r="I82">
        <v>849360.80476190476</v>
      </c>
      <c r="J82">
        <v>-1</v>
      </c>
      <c r="K82" t="s">
        <v>399</v>
      </c>
      <c r="L82" t="s">
        <v>267</v>
      </c>
      <c r="M82">
        <v>97.000199999999992</v>
      </c>
      <c r="N82">
        <v>-46.90211</v>
      </c>
      <c r="O82">
        <v>-46.767049999999998</v>
      </c>
      <c r="P82">
        <v>-21.23198</v>
      </c>
      <c r="Q82" t="s">
        <v>399</v>
      </c>
      <c r="R82" t="s">
        <v>399</v>
      </c>
      <c r="S82">
        <v>584616.80000000005</v>
      </c>
      <c r="T82" t="s">
        <v>267</v>
      </c>
      <c r="U82">
        <v>50.473489999999998</v>
      </c>
      <c r="V82">
        <v>203.22045160000002</v>
      </c>
      <c r="W82" t="s">
        <v>399</v>
      </c>
      <c r="X82">
        <v>1555145.304</v>
      </c>
      <c r="Y82" t="s">
        <v>370</v>
      </c>
      <c r="Z82" t="s">
        <v>270</v>
      </c>
      <c r="AA82" t="s">
        <v>307</v>
      </c>
      <c r="AB82" t="s">
        <v>401</v>
      </c>
      <c r="AC82">
        <v>1.202</v>
      </c>
      <c r="AD82">
        <v>0.32255368946446733</v>
      </c>
      <c r="AE82">
        <v>0.35839102759658464</v>
      </c>
    </row>
    <row r="83" spans="1:31" x14ac:dyDescent="0.25">
      <c r="A83" t="s">
        <v>108</v>
      </c>
      <c r="B83" t="s">
        <v>479</v>
      </c>
      <c r="C83">
        <v>0</v>
      </c>
      <c r="D83">
        <v>14378230.526315788</v>
      </c>
      <c r="E83">
        <v>19187547.331788626</v>
      </c>
      <c r="F83">
        <v>5458.7668973099999</v>
      </c>
      <c r="G83">
        <v>43242.864000000001</v>
      </c>
      <c r="H83" t="s">
        <v>267</v>
      </c>
      <c r="I83">
        <v>5288248.7476190468</v>
      </c>
      <c r="J83">
        <v>-1</v>
      </c>
      <c r="K83" t="s">
        <v>480</v>
      </c>
      <c r="L83" t="s">
        <v>267</v>
      </c>
      <c r="M83">
        <v>478.88</v>
      </c>
      <c r="N83">
        <v>29.987670000000001</v>
      </c>
      <c r="O83">
        <v>26.788730000000001</v>
      </c>
      <c r="P83">
        <v>-1.832058</v>
      </c>
      <c r="Q83" t="s">
        <v>481</v>
      </c>
      <c r="R83" t="s">
        <v>480</v>
      </c>
      <c r="S83">
        <v>14362610</v>
      </c>
      <c r="T83" t="s">
        <v>267</v>
      </c>
      <c r="U83">
        <v>7365.3265999999949</v>
      </c>
      <c r="V83">
        <v>37073.360000000001</v>
      </c>
      <c r="W83" t="s">
        <v>480</v>
      </c>
      <c r="X83">
        <v>3422692.1143999994</v>
      </c>
      <c r="Y83" t="s">
        <v>314</v>
      </c>
      <c r="Z83" t="s">
        <v>270</v>
      </c>
      <c r="AA83" t="s">
        <v>339</v>
      </c>
      <c r="AB83" t="s">
        <v>272</v>
      </c>
      <c r="AC83">
        <v>90.02</v>
      </c>
      <c r="AD83">
        <v>0.13005442718865773</v>
      </c>
      <c r="AE83">
        <v>0.19155112671495142</v>
      </c>
    </row>
    <row r="84" spans="1:31" x14ac:dyDescent="0.25">
      <c r="A84" t="s">
        <v>109</v>
      </c>
      <c r="B84" t="s">
        <v>482</v>
      </c>
      <c r="C84">
        <v>0</v>
      </c>
      <c r="D84">
        <v>4599896.1105263149</v>
      </c>
      <c r="E84">
        <v>1347407.1202643171</v>
      </c>
      <c r="F84">
        <v>1066.03318165</v>
      </c>
      <c r="G84">
        <v>2143.8215499999997</v>
      </c>
      <c r="H84" t="s">
        <v>267</v>
      </c>
      <c r="I84">
        <v>1097268.9149999998</v>
      </c>
      <c r="J84">
        <v>-1</v>
      </c>
      <c r="K84" t="s">
        <v>483</v>
      </c>
      <c r="L84" t="s">
        <v>267</v>
      </c>
      <c r="M84">
        <v>0.221</v>
      </c>
      <c r="N84">
        <v>2.5956090000000001</v>
      </c>
      <c r="O84">
        <v>2.6383160000000001</v>
      </c>
      <c r="P84">
        <v>0.37449880000000002</v>
      </c>
      <c r="Q84" t="s">
        <v>483</v>
      </c>
      <c r="R84" t="s">
        <v>483</v>
      </c>
      <c r="S84">
        <v>3816045</v>
      </c>
      <c r="T84" t="s">
        <v>267</v>
      </c>
      <c r="U84">
        <v>1672.2531245935838</v>
      </c>
      <c r="V84">
        <v>1985.1299999999999</v>
      </c>
      <c r="W84" t="s">
        <v>483</v>
      </c>
      <c r="X84">
        <v>515476.38809523801</v>
      </c>
      <c r="Y84" t="s">
        <v>484</v>
      </c>
      <c r="Z84" t="s">
        <v>270</v>
      </c>
      <c r="AA84" t="s">
        <v>307</v>
      </c>
      <c r="AB84" t="s">
        <v>485</v>
      </c>
      <c r="AC84">
        <v>9702.4</v>
      </c>
      <c r="AD84">
        <v>0.15891657974261583</v>
      </c>
      <c r="AE84">
        <v>4.3869334881651456E-2</v>
      </c>
    </row>
    <row r="85" spans="1:31" x14ac:dyDescent="0.25">
      <c r="A85" t="s">
        <v>110</v>
      </c>
      <c r="B85" t="s">
        <v>486</v>
      </c>
      <c r="C85">
        <v>0</v>
      </c>
      <c r="D85">
        <v>173806</v>
      </c>
      <c r="E85">
        <v>90564.104477611923</v>
      </c>
      <c r="F85">
        <v>1.2741879292536435</v>
      </c>
      <c r="G85">
        <v>10.050000000000001</v>
      </c>
      <c r="H85" t="s">
        <v>267</v>
      </c>
      <c r="I85">
        <v>51419.166666666664</v>
      </c>
      <c r="J85">
        <v>-1</v>
      </c>
      <c r="K85" t="s">
        <v>487</v>
      </c>
      <c r="L85" t="s">
        <v>267</v>
      </c>
      <c r="M85">
        <v>0.5</v>
      </c>
      <c r="N85">
        <v>6.2430779999999997</v>
      </c>
      <c r="O85">
        <v>4.9608379999999999</v>
      </c>
      <c r="P85">
        <v>-6.4245789999999996</v>
      </c>
      <c r="Q85" t="s">
        <v>487</v>
      </c>
      <c r="R85" t="s">
        <v>487</v>
      </c>
      <c r="S85">
        <v>18066.23</v>
      </c>
      <c r="T85" t="s">
        <v>267</v>
      </c>
      <c r="U85">
        <v>0</v>
      </c>
      <c r="V85">
        <v>9.5749999999999993</v>
      </c>
      <c r="W85" t="s">
        <v>487</v>
      </c>
      <c r="X85">
        <v>14650</v>
      </c>
      <c r="Y85" t="s">
        <v>468</v>
      </c>
      <c r="Z85" t="s">
        <v>270</v>
      </c>
      <c r="AA85" t="s">
        <v>271</v>
      </c>
      <c r="AB85" t="s">
        <v>272</v>
      </c>
      <c r="AC85">
        <v>20.100000000000001</v>
      </c>
      <c r="AD85">
        <v>0.82539343739045989</v>
      </c>
      <c r="AE85">
        <v>0.8727594861717064</v>
      </c>
    </row>
    <row r="86" spans="1:31" x14ac:dyDescent="0.25">
      <c r="A86" t="s">
        <v>111</v>
      </c>
      <c r="B86" t="s">
        <v>488</v>
      </c>
      <c r="C86">
        <v>0</v>
      </c>
      <c r="D86">
        <v>122658</v>
      </c>
      <c r="E86">
        <v>113362.27397260274</v>
      </c>
      <c r="F86">
        <v>1.575720789074355</v>
      </c>
      <c r="G86">
        <v>12.280000000000001</v>
      </c>
      <c r="H86" t="s">
        <v>267</v>
      </c>
      <c r="I86">
        <v>92495.4</v>
      </c>
      <c r="J86">
        <v>-1</v>
      </c>
      <c r="K86" t="s">
        <v>489</v>
      </c>
      <c r="L86" t="s">
        <v>267</v>
      </c>
      <c r="M86">
        <v>0.39999999999999997</v>
      </c>
      <c r="N86">
        <v>2.0813160000000002</v>
      </c>
      <c r="O86">
        <v>2.0725419999999999</v>
      </c>
      <c r="P86">
        <v>2.3376649999999999</v>
      </c>
      <c r="Q86" t="s">
        <v>490</v>
      </c>
      <c r="R86" t="s">
        <v>489</v>
      </c>
      <c r="S86">
        <v>11570.36</v>
      </c>
      <c r="T86" t="s">
        <v>267</v>
      </c>
      <c r="U86">
        <v>0</v>
      </c>
      <c r="V86">
        <v>12.352</v>
      </c>
      <c r="W86" t="s">
        <v>489</v>
      </c>
      <c r="X86">
        <v>96728</v>
      </c>
      <c r="Y86" t="s">
        <v>350</v>
      </c>
      <c r="Z86" t="s">
        <v>270</v>
      </c>
      <c r="AA86" t="s">
        <v>275</v>
      </c>
      <c r="AB86" t="s">
        <v>272</v>
      </c>
      <c r="AC86">
        <v>31.52</v>
      </c>
      <c r="AD86">
        <v>0.44266028786374789</v>
      </c>
      <c r="AE86">
        <v>0.65127103469122083</v>
      </c>
    </row>
    <row r="87" spans="1:31" x14ac:dyDescent="0.25">
      <c r="A87" t="s">
        <v>112</v>
      </c>
      <c r="B87" t="s">
        <v>491</v>
      </c>
      <c r="C87">
        <v>0</v>
      </c>
      <c r="D87">
        <v>25696.564285714285</v>
      </c>
      <c r="E87">
        <v>78992.040689655085</v>
      </c>
      <c r="F87">
        <v>1.7059340495530531</v>
      </c>
      <c r="G87">
        <v>13.398</v>
      </c>
      <c r="H87" t="s">
        <v>267</v>
      </c>
      <c r="I87">
        <v>12968.253571428571</v>
      </c>
      <c r="J87">
        <v>-1</v>
      </c>
      <c r="K87" t="s">
        <v>403</v>
      </c>
      <c r="L87" t="s">
        <v>267</v>
      </c>
      <c r="M87">
        <v>3</v>
      </c>
      <c r="N87">
        <v>-10.90945</v>
      </c>
      <c r="O87">
        <v>-10.832520000000001</v>
      </c>
      <c r="P87">
        <v>-8.2627950000000006</v>
      </c>
      <c r="Q87" t="s">
        <v>403</v>
      </c>
      <c r="R87" t="s">
        <v>403</v>
      </c>
      <c r="S87">
        <v>28711.48</v>
      </c>
      <c r="T87" t="s">
        <v>267</v>
      </c>
      <c r="U87">
        <v>-9.3276000000000003</v>
      </c>
      <c r="V87">
        <v>15.315000000000001</v>
      </c>
      <c r="W87" t="s">
        <v>403</v>
      </c>
      <c r="X87">
        <v>1021.8000000000001</v>
      </c>
      <c r="Y87" t="s">
        <v>310</v>
      </c>
      <c r="Z87" t="s">
        <v>270</v>
      </c>
      <c r="AA87" t="s">
        <v>275</v>
      </c>
      <c r="AB87" t="s">
        <v>272</v>
      </c>
      <c r="AC87">
        <v>4.5519999999999996</v>
      </c>
      <c r="AD87">
        <v>0.32614682312849141</v>
      </c>
      <c r="AE87">
        <v>0.40763372111194968</v>
      </c>
    </row>
    <row r="88" spans="1:31" x14ac:dyDescent="0.25">
      <c r="A88" t="s">
        <v>113</v>
      </c>
      <c r="B88" t="s">
        <v>492</v>
      </c>
      <c r="C88">
        <v>0</v>
      </c>
      <c r="D88">
        <v>268886.94736842101</v>
      </c>
      <c r="E88" t="s">
        <v>267</v>
      </c>
      <c r="F88">
        <v>609.75641510000003</v>
      </c>
      <c r="G88">
        <v>4760.1949999999997</v>
      </c>
      <c r="H88" t="s">
        <v>267</v>
      </c>
      <c r="I88" t="s">
        <v>267</v>
      </c>
      <c r="J88" t="s">
        <v>31</v>
      </c>
      <c r="K88" t="s">
        <v>493</v>
      </c>
      <c r="L88" t="s">
        <v>267</v>
      </c>
      <c r="M88">
        <v>781</v>
      </c>
      <c r="N88" t="s">
        <v>267</v>
      </c>
      <c r="O88" t="s">
        <v>267</v>
      </c>
      <c r="P88">
        <v>-9.7222240000000006</v>
      </c>
      <c r="Q88" t="s">
        <v>494</v>
      </c>
      <c r="R88" t="s">
        <v>493</v>
      </c>
      <c r="S88" t="s">
        <v>267</v>
      </c>
      <c r="T88" t="s">
        <v>267</v>
      </c>
      <c r="U88" t="s">
        <v>267</v>
      </c>
      <c r="V88" t="s">
        <v>267</v>
      </c>
      <c r="W88" t="s">
        <v>493</v>
      </c>
      <c r="X88" t="s">
        <v>267</v>
      </c>
      <c r="Y88" t="s">
        <v>279</v>
      </c>
      <c r="Z88" t="s">
        <v>333</v>
      </c>
      <c r="AA88" t="s">
        <v>307</v>
      </c>
      <c r="AB88" t="s">
        <v>495</v>
      </c>
      <c r="AC88">
        <v>6.1749999999999998</v>
      </c>
      <c r="AD88">
        <v>0.23012706051991519</v>
      </c>
      <c r="AE88">
        <v>0.24039414639464057</v>
      </c>
    </row>
    <row r="89" spans="1:31" x14ac:dyDescent="0.25">
      <c r="A89" t="s">
        <v>114</v>
      </c>
      <c r="B89" t="s">
        <v>496</v>
      </c>
      <c r="C89">
        <v>0</v>
      </c>
      <c r="D89">
        <v>779062.86842105258</v>
      </c>
      <c r="E89" t="s">
        <v>267</v>
      </c>
      <c r="F89">
        <v>66.386554621848731</v>
      </c>
      <c r="G89">
        <v>521.26499999999999</v>
      </c>
      <c r="H89" t="s">
        <v>267</v>
      </c>
      <c r="I89" t="s">
        <v>267</v>
      </c>
      <c r="J89" t="s">
        <v>31</v>
      </c>
      <c r="K89" t="s">
        <v>497</v>
      </c>
      <c r="L89" t="s">
        <v>267</v>
      </c>
      <c r="M89">
        <v>58.9</v>
      </c>
      <c r="N89" t="s">
        <v>267</v>
      </c>
      <c r="O89" t="s">
        <v>267</v>
      </c>
      <c r="P89">
        <v>-9.173845</v>
      </c>
      <c r="Q89" t="s">
        <v>497</v>
      </c>
      <c r="R89" t="s">
        <v>497</v>
      </c>
      <c r="S89" t="s">
        <v>267</v>
      </c>
      <c r="T89" t="s">
        <v>267</v>
      </c>
      <c r="U89" t="s">
        <v>267</v>
      </c>
      <c r="V89" t="s">
        <v>267</v>
      </c>
      <c r="W89" t="s">
        <v>497</v>
      </c>
      <c r="X89" t="s">
        <v>267</v>
      </c>
      <c r="Y89" t="s">
        <v>498</v>
      </c>
      <c r="Z89" t="s">
        <v>270</v>
      </c>
      <c r="AA89" t="s">
        <v>271</v>
      </c>
      <c r="AB89" t="s">
        <v>272</v>
      </c>
      <c r="AC89">
        <v>8.9600000000000009</v>
      </c>
      <c r="AD89">
        <v>0.33069083306154945</v>
      </c>
      <c r="AE89">
        <v>0.39078207338407756</v>
      </c>
    </row>
    <row r="90" spans="1:31" x14ac:dyDescent="0.25">
      <c r="A90" t="s">
        <v>115</v>
      </c>
      <c r="B90" t="s">
        <v>499</v>
      </c>
      <c r="C90">
        <v>0</v>
      </c>
      <c r="D90">
        <v>618493.5894736842</v>
      </c>
      <c r="E90">
        <v>208894.57914893614</v>
      </c>
      <c r="F90">
        <v>9.1021359900000007</v>
      </c>
      <c r="G90">
        <v>31.2075</v>
      </c>
      <c r="H90" t="s">
        <v>267</v>
      </c>
      <c r="I90">
        <v>89668.014285714278</v>
      </c>
      <c r="J90">
        <v>-1</v>
      </c>
      <c r="K90" t="s">
        <v>500</v>
      </c>
      <c r="L90" t="s">
        <v>267</v>
      </c>
      <c r="M90">
        <v>2.4965999999999999</v>
      </c>
      <c r="N90">
        <v>15.71191</v>
      </c>
      <c r="O90">
        <v>15.74586</v>
      </c>
      <c r="P90">
        <v>-2.7089789999999998</v>
      </c>
      <c r="Q90" t="s">
        <v>500</v>
      </c>
      <c r="R90" t="s">
        <v>500</v>
      </c>
      <c r="S90">
        <v>382069.3</v>
      </c>
      <c r="T90" t="s">
        <v>267</v>
      </c>
      <c r="U90">
        <v>-12.586272785999999</v>
      </c>
      <c r="V90">
        <v>23.855076</v>
      </c>
      <c r="W90" t="s">
        <v>500</v>
      </c>
      <c r="X90">
        <v>58472.104347826084</v>
      </c>
      <c r="Y90" t="s">
        <v>279</v>
      </c>
      <c r="Z90" t="s">
        <v>333</v>
      </c>
      <c r="AA90" t="s">
        <v>336</v>
      </c>
      <c r="AB90" t="s">
        <v>272</v>
      </c>
      <c r="AC90">
        <v>12.57</v>
      </c>
      <c r="AD90">
        <v>0.22249079204187777</v>
      </c>
      <c r="AE90">
        <v>0.28261032411731485</v>
      </c>
    </row>
    <row r="91" spans="1:31" x14ac:dyDescent="0.25">
      <c r="A91" t="s">
        <v>116</v>
      </c>
      <c r="B91" t="s">
        <v>501</v>
      </c>
      <c r="C91">
        <v>0</v>
      </c>
      <c r="D91">
        <v>2376594.9947368419</v>
      </c>
      <c r="E91">
        <v>3722457.6410569116</v>
      </c>
      <c r="F91">
        <v>75.54942899350938</v>
      </c>
      <c r="G91">
        <v>592.12799999999993</v>
      </c>
      <c r="H91" t="s">
        <v>267</v>
      </c>
      <c r="I91">
        <v>1465471.2333333329</v>
      </c>
      <c r="J91">
        <v>-1</v>
      </c>
      <c r="K91" t="s">
        <v>502</v>
      </c>
      <c r="L91" t="s">
        <v>267</v>
      </c>
      <c r="M91">
        <v>25.7</v>
      </c>
      <c r="N91">
        <v>-10.19778</v>
      </c>
      <c r="O91">
        <v>-9.3725780000000007</v>
      </c>
      <c r="P91">
        <v>-8.0188699999999997</v>
      </c>
      <c r="Q91" t="s">
        <v>503</v>
      </c>
      <c r="R91" t="s">
        <v>502</v>
      </c>
      <c r="S91">
        <v>2044875</v>
      </c>
      <c r="T91" t="s">
        <v>267</v>
      </c>
      <c r="U91">
        <v>-251.65079999999998</v>
      </c>
      <c r="V91">
        <v>663.57399999999996</v>
      </c>
      <c r="W91" t="s">
        <v>502</v>
      </c>
      <c r="X91">
        <v>2176030.4400000004</v>
      </c>
      <c r="Y91" t="s">
        <v>279</v>
      </c>
      <c r="Z91" t="s">
        <v>270</v>
      </c>
      <c r="AA91" t="s">
        <v>271</v>
      </c>
      <c r="AB91" t="s">
        <v>272</v>
      </c>
      <c r="AC91">
        <v>23.4</v>
      </c>
      <c r="AD91">
        <v>0.13498514458953856</v>
      </c>
      <c r="AE91">
        <v>0.14371958539833787</v>
      </c>
    </row>
    <row r="92" spans="1:31" x14ac:dyDescent="0.25">
      <c r="A92" t="s">
        <v>117</v>
      </c>
      <c r="B92" t="s">
        <v>504</v>
      </c>
      <c r="C92">
        <v>0</v>
      </c>
      <c r="D92">
        <v>437217.5</v>
      </c>
      <c r="E92">
        <v>1278220.6293103446</v>
      </c>
      <c r="F92">
        <v>1.5771635324744084</v>
      </c>
      <c r="G92">
        <v>10.62</v>
      </c>
      <c r="H92" t="s">
        <v>267</v>
      </c>
      <c r="I92">
        <v>301299</v>
      </c>
      <c r="J92">
        <v>-1</v>
      </c>
      <c r="K92" t="s">
        <v>505</v>
      </c>
      <c r="L92" t="s">
        <v>267</v>
      </c>
      <c r="M92">
        <v>0.3</v>
      </c>
      <c r="N92">
        <v>7.5490019999999998</v>
      </c>
      <c r="O92">
        <v>9.7561</v>
      </c>
      <c r="P92">
        <v>0.72747150000000005</v>
      </c>
      <c r="Q92" t="s">
        <v>463</v>
      </c>
      <c r="R92" t="s">
        <v>505</v>
      </c>
      <c r="S92">
        <v>91590.92</v>
      </c>
      <c r="T92" t="s">
        <v>267</v>
      </c>
      <c r="U92">
        <v>-34.145587950250302</v>
      </c>
      <c r="V92">
        <v>9.8399999999999981</v>
      </c>
      <c r="W92" t="s">
        <v>505</v>
      </c>
      <c r="X92">
        <v>611832</v>
      </c>
      <c r="Y92" t="s">
        <v>269</v>
      </c>
      <c r="Z92" t="s">
        <v>270</v>
      </c>
      <c r="AA92" t="s">
        <v>275</v>
      </c>
      <c r="AB92" t="s">
        <v>272</v>
      </c>
      <c r="AC92">
        <v>36</v>
      </c>
      <c r="AD92">
        <v>0.43167420265326428</v>
      </c>
      <c r="AE92">
        <v>0.49304062455985731</v>
      </c>
    </row>
    <row r="93" spans="1:31" x14ac:dyDescent="0.25">
      <c r="A93" t="s">
        <v>118</v>
      </c>
      <c r="B93" t="s">
        <v>506</v>
      </c>
      <c r="C93">
        <v>0</v>
      </c>
      <c r="D93">
        <v>1107873.8888888888</v>
      </c>
      <c r="E93">
        <v>1305034.0709322037</v>
      </c>
      <c r="F93">
        <v>72.619201744430683</v>
      </c>
      <c r="G93">
        <v>569.16</v>
      </c>
      <c r="H93" t="s">
        <v>267</v>
      </c>
      <c r="I93">
        <v>979703.42105263157</v>
      </c>
      <c r="J93">
        <v>-1</v>
      </c>
      <c r="K93" t="s">
        <v>507</v>
      </c>
      <c r="L93" t="s">
        <v>267</v>
      </c>
      <c r="M93">
        <v>170</v>
      </c>
      <c r="N93">
        <v>-12.28102</v>
      </c>
      <c r="O93">
        <v>-10.45168</v>
      </c>
      <c r="P93">
        <v>-8.2346629999999994</v>
      </c>
      <c r="Q93" t="s">
        <v>508</v>
      </c>
      <c r="R93" t="s">
        <v>507</v>
      </c>
      <c r="S93">
        <v>946206.2</v>
      </c>
      <c r="T93" t="s">
        <v>267</v>
      </c>
      <c r="U93">
        <v>73.029400000000066</v>
      </c>
      <c r="V93">
        <v>659.54559999999992</v>
      </c>
      <c r="W93" t="s">
        <v>507</v>
      </c>
      <c r="X93">
        <v>973607.25833333342</v>
      </c>
      <c r="Y93" t="s">
        <v>302</v>
      </c>
      <c r="Z93" t="s">
        <v>270</v>
      </c>
      <c r="AA93" t="s">
        <v>271</v>
      </c>
      <c r="AB93" t="s">
        <v>272</v>
      </c>
      <c r="AC93">
        <v>3.41</v>
      </c>
      <c r="AD93">
        <v>0.21148746732002927</v>
      </c>
      <c r="AE93">
        <v>0.21698939645891513</v>
      </c>
    </row>
    <row r="94" spans="1:31" x14ac:dyDescent="0.25">
      <c r="A94" t="s">
        <v>119</v>
      </c>
      <c r="B94" t="s">
        <v>509</v>
      </c>
      <c r="C94">
        <v>0</v>
      </c>
      <c r="D94">
        <v>40117</v>
      </c>
      <c r="E94">
        <v>23184</v>
      </c>
      <c r="F94">
        <v>2.2076126603129778</v>
      </c>
      <c r="G94">
        <v>17.3736</v>
      </c>
      <c r="H94" t="s">
        <v>267</v>
      </c>
      <c r="I94">
        <v>41345.5</v>
      </c>
      <c r="J94">
        <v>-1</v>
      </c>
      <c r="K94" t="s">
        <v>510</v>
      </c>
      <c r="L94" t="s">
        <v>267</v>
      </c>
      <c r="M94">
        <v>0.28499999999999998</v>
      </c>
      <c r="N94">
        <v>1.8841239999999999</v>
      </c>
      <c r="O94">
        <v>5.2486220000000001</v>
      </c>
      <c r="P94">
        <v>0.56087279999999995</v>
      </c>
      <c r="Q94" t="s">
        <v>510</v>
      </c>
      <c r="R94" t="s">
        <v>510</v>
      </c>
      <c r="S94">
        <v>5040.1970000000001</v>
      </c>
      <c r="T94" t="s">
        <v>267</v>
      </c>
      <c r="U94">
        <v>-1.6889812322442672</v>
      </c>
      <c r="V94">
        <v>16.507199999999997</v>
      </c>
      <c r="W94" t="s">
        <v>510</v>
      </c>
      <c r="X94" t="s">
        <v>267</v>
      </c>
      <c r="Y94" t="s">
        <v>310</v>
      </c>
      <c r="Z94" t="s">
        <v>511</v>
      </c>
      <c r="AA94" t="s">
        <v>294</v>
      </c>
      <c r="AB94" t="s">
        <v>428</v>
      </c>
      <c r="AC94">
        <v>60.96</v>
      </c>
      <c r="AD94">
        <v>0.81782017196055234</v>
      </c>
      <c r="AE94">
        <v>0.94309459875752422</v>
      </c>
    </row>
    <row r="95" spans="1:31" x14ac:dyDescent="0.25">
      <c r="A95" t="s">
        <v>120</v>
      </c>
      <c r="B95" t="s">
        <v>512</v>
      </c>
      <c r="C95">
        <v>0</v>
      </c>
      <c r="D95">
        <v>7283963.7368421033</v>
      </c>
      <c r="E95">
        <v>21350780.382113829</v>
      </c>
      <c r="F95">
        <v>151.16999999999999</v>
      </c>
      <c r="G95">
        <v>1169.5620000000001</v>
      </c>
      <c r="H95" t="s">
        <v>267</v>
      </c>
      <c r="I95">
        <v>7746321.1904761894</v>
      </c>
      <c r="J95">
        <v>-1</v>
      </c>
      <c r="K95" t="s">
        <v>399</v>
      </c>
      <c r="L95" t="s">
        <v>267</v>
      </c>
      <c r="M95">
        <v>158.79999999999998</v>
      </c>
      <c r="N95">
        <v>-31.642330000000001</v>
      </c>
      <c r="O95">
        <v>-32.189239999999998</v>
      </c>
      <c r="P95">
        <v>-18.141100000000002</v>
      </c>
      <c r="Q95" t="s">
        <v>399</v>
      </c>
      <c r="R95" t="s">
        <v>399</v>
      </c>
      <c r="S95">
        <v>7005337</v>
      </c>
      <c r="T95" t="s">
        <v>267</v>
      </c>
      <c r="U95">
        <v>124.12897811566306</v>
      </c>
      <c r="V95">
        <v>1647.184</v>
      </c>
      <c r="W95" t="s">
        <v>399</v>
      </c>
      <c r="X95">
        <v>14973048.880000001</v>
      </c>
      <c r="Y95" t="s">
        <v>284</v>
      </c>
      <c r="Z95" t="s">
        <v>270</v>
      </c>
      <c r="AA95" t="s">
        <v>307</v>
      </c>
      <c r="AB95" t="s">
        <v>401</v>
      </c>
      <c r="AC95">
        <v>7.31</v>
      </c>
      <c r="AD95">
        <v>0.18915540856438554</v>
      </c>
      <c r="AE95">
        <v>0.22385698188501432</v>
      </c>
    </row>
    <row r="96" spans="1:31" x14ac:dyDescent="0.25">
      <c r="A96" t="s">
        <v>121</v>
      </c>
      <c r="B96" t="s">
        <v>513</v>
      </c>
      <c r="C96">
        <v>0</v>
      </c>
      <c r="D96">
        <v>2705075.4631578941</v>
      </c>
      <c r="E96">
        <v>9097036.1906504035</v>
      </c>
      <c r="F96">
        <v>28.95</v>
      </c>
      <c r="G96">
        <v>221.459</v>
      </c>
      <c r="H96" t="s">
        <v>267</v>
      </c>
      <c r="I96">
        <v>3709967.7571428572</v>
      </c>
      <c r="J96">
        <v>-1</v>
      </c>
      <c r="K96" t="s">
        <v>399</v>
      </c>
      <c r="L96" t="s">
        <v>267</v>
      </c>
      <c r="M96">
        <v>59.5</v>
      </c>
      <c r="N96">
        <v>-46.975000000000001</v>
      </c>
      <c r="O96">
        <v>-46.970779999999998</v>
      </c>
      <c r="P96">
        <v>-21.219819999999999</v>
      </c>
      <c r="Q96" t="s">
        <v>399</v>
      </c>
      <c r="R96" t="s">
        <v>399</v>
      </c>
      <c r="S96">
        <v>2450641</v>
      </c>
      <c r="T96" t="s">
        <v>267</v>
      </c>
      <c r="U96">
        <v>-15.73949418093787</v>
      </c>
      <c r="V96">
        <v>460.18399999999991</v>
      </c>
      <c r="W96" t="s">
        <v>399</v>
      </c>
      <c r="X96">
        <v>5041128.3600000003</v>
      </c>
      <c r="Y96" t="s">
        <v>284</v>
      </c>
      <c r="Z96" t="s">
        <v>270</v>
      </c>
      <c r="AA96" t="s">
        <v>307</v>
      </c>
      <c r="AB96" t="s">
        <v>401</v>
      </c>
      <c r="AC96">
        <v>3.72</v>
      </c>
      <c r="AD96">
        <v>0.25073392507306091</v>
      </c>
      <c r="AE96">
        <v>0.28283421628239391</v>
      </c>
    </row>
    <row r="97" spans="1:31" x14ac:dyDescent="0.25">
      <c r="A97" t="s">
        <v>122</v>
      </c>
      <c r="B97" t="s">
        <v>514</v>
      </c>
      <c r="C97">
        <v>0</v>
      </c>
      <c r="D97">
        <v>127595.64266666667</v>
      </c>
      <c r="E97">
        <v>44783.767368421039</v>
      </c>
      <c r="F97">
        <v>9.4688511023832884</v>
      </c>
      <c r="G97">
        <v>75.072000000000003</v>
      </c>
      <c r="H97" t="s">
        <v>267</v>
      </c>
      <c r="I97">
        <v>88480.468421052632</v>
      </c>
      <c r="J97">
        <v>-1</v>
      </c>
      <c r="K97" t="s">
        <v>515</v>
      </c>
      <c r="L97" t="s">
        <v>267</v>
      </c>
      <c r="M97">
        <v>3.1999999999999997</v>
      </c>
      <c r="N97">
        <v>-3.347086</v>
      </c>
      <c r="O97">
        <v>-2.412649</v>
      </c>
      <c r="P97">
        <v>-3.9312040000000001</v>
      </c>
      <c r="Q97" t="s">
        <v>515</v>
      </c>
      <c r="R97" t="s">
        <v>515</v>
      </c>
      <c r="S97">
        <v>53627.03</v>
      </c>
      <c r="T97" t="s">
        <v>267</v>
      </c>
      <c r="U97">
        <v>-17.027519999999996</v>
      </c>
      <c r="V97">
        <v>88.948000000000008</v>
      </c>
      <c r="W97" t="s">
        <v>515</v>
      </c>
      <c r="X97">
        <v>187132.15130434779</v>
      </c>
      <c r="Y97" t="s">
        <v>516</v>
      </c>
      <c r="Z97" t="s">
        <v>270</v>
      </c>
      <c r="AA97" t="s">
        <v>307</v>
      </c>
      <c r="AB97" t="s">
        <v>495</v>
      </c>
      <c r="AC97">
        <v>23.46</v>
      </c>
      <c r="AD97">
        <v>0.842802571571454</v>
      </c>
      <c r="AE97">
        <v>1.3742708897585254</v>
      </c>
    </row>
    <row r="98" spans="1:31" x14ac:dyDescent="0.25">
      <c r="A98" t="s">
        <v>123</v>
      </c>
      <c r="B98" t="s">
        <v>517</v>
      </c>
      <c r="C98">
        <v>0</v>
      </c>
      <c r="D98">
        <v>148362.08631578949</v>
      </c>
      <c r="E98">
        <v>979275.70163636375</v>
      </c>
      <c r="F98">
        <v>4.8367968822126715</v>
      </c>
      <c r="G98">
        <v>37.609000000000002</v>
      </c>
      <c r="H98" t="s">
        <v>267</v>
      </c>
      <c r="I98">
        <v>164113.10999999999</v>
      </c>
      <c r="J98">
        <v>-1</v>
      </c>
      <c r="K98" t="s">
        <v>518</v>
      </c>
      <c r="L98" t="s">
        <v>267</v>
      </c>
      <c r="M98">
        <v>0.65</v>
      </c>
      <c r="N98">
        <v>11.318820000000001</v>
      </c>
      <c r="O98">
        <v>8.3671249999999997</v>
      </c>
      <c r="P98">
        <v>-1.869156</v>
      </c>
      <c r="Q98" t="s">
        <v>518</v>
      </c>
      <c r="R98" t="s">
        <v>518</v>
      </c>
      <c r="S98">
        <v>145062.39999999999</v>
      </c>
      <c r="T98" t="s">
        <v>267</v>
      </c>
      <c r="U98">
        <v>-19.95748</v>
      </c>
      <c r="V98">
        <v>35.268999999999998</v>
      </c>
      <c r="W98" t="s">
        <v>518</v>
      </c>
      <c r="X98">
        <v>451137.34375</v>
      </c>
      <c r="Y98" t="s">
        <v>310</v>
      </c>
      <c r="Z98" t="s">
        <v>270</v>
      </c>
      <c r="AA98" t="s">
        <v>371</v>
      </c>
      <c r="AB98" t="s">
        <v>272</v>
      </c>
      <c r="AC98">
        <v>58.8</v>
      </c>
      <c r="AD98">
        <v>0.29885268033692236</v>
      </c>
      <c r="AE98">
        <v>0.33305983662801386</v>
      </c>
    </row>
    <row r="99" spans="1:31" x14ac:dyDescent="0.25">
      <c r="A99" t="s">
        <v>124</v>
      </c>
      <c r="B99" t="s">
        <v>519</v>
      </c>
      <c r="C99">
        <v>0</v>
      </c>
      <c r="D99">
        <v>3422585.8421052634</v>
      </c>
      <c r="E99">
        <v>2838756.9004065036</v>
      </c>
      <c r="F99">
        <v>959.92380525241958</v>
      </c>
      <c r="G99">
        <v>3312.4989430000001</v>
      </c>
      <c r="H99" t="s">
        <v>267</v>
      </c>
      <c r="I99">
        <v>3203520.0095238099</v>
      </c>
      <c r="J99">
        <v>-1</v>
      </c>
      <c r="K99" t="s">
        <v>520</v>
      </c>
      <c r="L99" t="s">
        <v>267</v>
      </c>
      <c r="M99">
        <v>1.09701</v>
      </c>
      <c r="N99">
        <v>1.0943099999999999</v>
      </c>
      <c r="O99">
        <v>1.024195</v>
      </c>
      <c r="P99">
        <v>0.11418010000000001</v>
      </c>
      <c r="Q99" t="s">
        <v>520</v>
      </c>
      <c r="R99" t="s">
        <v>520</v>
      </c>
      <c r="S99">
        <v>4775307</v>
      </c>
      <c r="T99" t="s">
        <v>267</v>
      </c>
      <c r="U99">
        <v>-1749.0402657000002</v>
      </c>
      <c r="V99">
        <v>1213.8411165000002</v>
      </c>
      <c r="W99" t="s">
        <v>520</v>
      </c>
      <c r="X99">
        <v>1045043.5240000002</v>
      </c>
      <c r="Y99" t="s">
        <v>279</v>
      </c>
      <c r="Z99" t="s">
        <v>270</v>
      </c>
      <c r="AA99" t="s">
        <v>271</v>
      </c>
      <c r="AB99" t="s">
        <v>485</v>
      </c>
      <c r="AC99">
        <v>1183.6500000000001</v>
      </c>
      <c r="AD99">
        <v>1.4005783068034202E-2</v>
      </c>
      <c r="AE99">
        <v>1.7152005505881723E-2</v>
      </c>
    </row>
    <row r="100" spans="1:31" x14ac:dyDescent="0.25">
      <c r="A100" t="s">
        <v>125</v>
      </c>
      <c r="B100" t="s">
        <v>521</v>
      </c>
      <c r="C100">
        <v>0</v>
      </c>
      <c r="D100">
        <v>604901.1315789473</v>
      </c>
      <c r="E100">
        <v>630800.53739837394</v>
      </c>
      <c r="F100">
        <v>21.725185922069979</v>
      </c>
      <c r="G100">
        <v>168.32</v>
      </c>
      <c r="H100" t="s">
        <v>267</v>
      </c>
      <c r="I100">
        <v>541646.61904761917</v>
      </c>
      <c r="J100">
        <v>-1</v>
      </c>
      <c r="K100" t="s">
        <v>522</v>
      </c>
      <c r="L100" t="s">
        <v>267</v>
      </c>
      <c r="M100">
        <v>8</v>
      </c>
      <c r="N100">
        <v>-4.8700099999999997</v>
      </c>
      <c r="O100">
        <v>-5.0131920000000001</v>
      </c>
      <c r="P100">
        <v>-10.89109</v>
      </c>
      <c r="Q100" t="s">
        <v>522</v>
      </c>
      <c r="R100" t="s">
        <v>522</v>
      </c>
      <c r="S100">
        <v>490651.5</v>
      </c>
      <c r="T100" t="s">
        <v>267</v>
      </c>
      <c r="U100">
        <v>7.2592367606399311</v>
      </c>
      <c r="V100">
        <v>179.64599999999999</v>
      </c>
      <c r="W100" t="s">
        <v>522</v>
      </c>
      <c r="X100">
        <v>78342.272727272735</v>
      </c>
      <c r="Y100" t="s">
        <v>431</v>
      </c>
      <c r="Z100" t="s">
        <v>270</v>
      </c>
      <c r="AA100" t="s">
        <v>307</v>
      </c>
      <c r="AB100" t="s">
        <v>272</v>
      </c>
      <c r="AC100">
        <v>21.6</v>
      </c>
      <c r="AD100">
        <v>0.3351671045262532</v>
      </c>
      <c r="AE100">
        <v>0.42344929241061874</v>
      </c>
    </row>
    <row r="101" spans="1:31" x14ac:dyDescent="0.25">
      <c r="A101" t="s">
        <v>126</v>
      </c>
      <c r="B101" t="s">
        <v>523</v>
      </c>
      <c r="C101">
        <v>0</v>
      </c>
      <c r="D101">
        <v>14505.666666666666</v>
      </c>
      <c r="E101">
        <v>189711.2869565218</v>
      </c>
      <c r="F101">
        <v>5.75</v>
      </c>
      <c r="G101">
        <v>45.2712</v>
      </c>
      <c r="H101" t="s">
        <v>267</v>
      </c>
      <c r="I101">
        <v>75464</v>
      </c>
      <c r="J101">
        <v>-1</v>
      </c>
      <c r="K101" t="s">
        <v>524</v>
      </c>
      <c r="L101" t="s">
        <v>267</v>
      </c>
      <c r="M101">
        <v>0.77999999999999992</v>
      </c>
      <c r="N101">
        <v>0.746031</v>
      </c>
      <c r="O101">
        <v>0.90403259999999996</v>
      </c>
      <c r="P101">
        <v>0.97425269999999997</v>
      </c>
      <c r="Q101" t="s">
        <v>524</v>
      </c>
      <c r="R101" t="s">
        <v>524</v>
      </c>
      <c r="S101">
        <v>2259.8530000000001</v>
      </c>
      <c r="T101" t="s">
        <v>267</v>
      </c>
      <c r="U101">
        <v>1.6527082572000014</v>
      </c>
      <c r="V101">
        <v>46.591200000000008</v>
      </c>
      <c r="W101" t="s">
        <v>524</v>
      </c>
      <c r="X101">
        <v>881035.77777777775</v>
      </c>
      <c r="Y101" t="s">
        <v>310</v>
      </c>
      <c r="Z101" t="s">
        <v>333</v>
      </c>
      <c r="AA101" t="s">
        <v>339</v>
      </c>
      <c r="AB101" t="s">
        <v>428</v>
      </c>
      <c r="AC101">
        <v>58.04</v>
      </c>
      <c r="AD101">
        <v>0.84959465744349971</v>
      </c>
      <c r="AE101">
        <v>0.99420989978829821</v>
      </c>
    </row>
    <row r="102" spans="1:31" x14ac:dyDescent="0.25">
      <c r="A102" t="s">
        <v>127</v>
      </c>
      <c r="B102" t="s">
        <v>525</v>
      </c>
      <c r="C102">
        <v>0</v>
      </c>
      <c r="D102">
        <v>18659393.777777776</v>
      </c>
      <c r="E102">
        <v>62445.111111111109</v>
      </c>
      <c r="F102">
        <v>26.081993879190517</v>
      </c>
      <c r="G102">
        <v>206.38720000000001</v>
      </c>
      <c r="H102" t="s">
        <v>267</v>
      </c>
      <c r="I102">
        <v>1211733.8333333335</v>
      </c>
      <c r="J102">
        <v>-1</v>
      </c>
      <c r="K102" t="s">
        <v>526</v>
      </c>
      <c r="L102" t="s">
        <v>267</v>
      </c>
      <c r="M102">
        <v>2.56</v>
      </c>
      <c r="N102">
        <v>27.030570000000001</v>
      </c>
      <c r="O102">
        <v>25.459070000000001</v>
      </c>
      <c r="P102">
        <v>-1.346061</v>
      </c>
      <c r="Q102" t="s">
        <v>526</v>
      </c>
      <c r="R102" t="s">
        <v>526</v>
      </c>
      <c r="S102">
        <v>2763317</v>
      </c>
      <c r="T102" t="s">
        <v>267</v>
      </c>
      <c r="U102" t="s">
        <v>267</v>
      </c>
      <c r="V102">
        <v>97.675200000000004</v>
      </c>
      <c r="W102" t="s">
        <v>526</v>
      </c>
      <c r="X102" t="s">
        <v>267</v>
      </c>
      <c r="Y102" t="s">
        <v>310</v>
      </c>
      <c r="Z102" t="s">
        <v>270</v>
      </c>
      <c r="AA102" t="s">
        <v>339</v>
      </c>
      <c r="AB102" t="s">
        <v>272</v>
      </c>
      <c r="AC102">
        <v>80.62</v>
      </c>
      <c r="AD102">
        <v>0.72172843389473895</v>
      </c>
      <c r="AE102">
        <v>0.76933061196187824</v>
      </c>
    </row>
    <row r="103" spans="1:31" x14ac:dyDescent="0.25">
      <c r="A103" t="s">
        <v>128</v>
      </c>
      <c r="B103" t="s">
        <v>527</v>
      </c>
      <c r="C103">
        <v>0</v>
      </c>
      <c r="D103">
        <v>1654479.010526316</v>
      </c>
      <c r="E103">
        <v>12504555.686991874</v>
      </c>
      <c r="F103">
        <v>28.932891219999998</v>
      </c>
      <c r="G103">
        <v>229.95840200000001</v>
      </c>
      <c r="H103" t="s">
        <v>267</v>
      </c>
      <c r="I103">
        <v>4460630.2857142864</v>
      </c>
      <c r="J103">
        <v>-1</v>
      </c>
      <c r="K103" t="s">
        <v>528</v>
      </c>
      <c r="L103" t="s">
        <v>267</v>
      </c>
      <c r="M103">
        <v>11.8903</v>
      </c>
      <c r="N103">
        <v>-34.251730000000002</v>
      </c>
      <c r="O103">
        <v>-33.564489999999999</v>
      </c>
      <c r="P103">
        <v>-18.46809</v>
      </c>
      <c r="Q103" t="s">
        <v>528</v>
      </c>
      <c r="R103" t="s">
        <v>528</v>
      </c>
      <c r="S103">
        <v>2123796</v>
      </c>
      <c r="T103" t="s">
        <v>267</v>
      </c>
      <c r="U103">
        <v>18.709968985000017</v>
      </c>
      <c r="V103">
        <v>357.336252</v>
      </c>
      <c r="W103" t="s">
        <v>528</v>
      </c>
      <c r="X103">
        <v>25133117.280000005</v>
      </c>
      <c r="Y103" t="s">
        <v>279</v>
      </c>
      <c r="Z103" t="s">
        <v>333</v>
      </c>
      <c r="AA103" t="s">
        <v>307</v>
      </c>
      <c r="AB103" t="s">
        <v>401</v>
      </c>
      <c r="AC103">
        <v>19.16</v>
      </c>
      <c r="AD103">
        <v>0.27884370119938073</v>
      </c>
      <c r="AE103">
        <v>0.28932762893901764</v>
      </c>
    </row>
    <row r="104" spans="1:31" x14ac:dyDescent="0.25">
      <c r="A104" t="s">
        <v>129</v>
      </c>
      <c r="B104" t="s">
        <v>529</v>
      </c>
      <c r="C104">
        <v>0</v>
      </c>
      <c r="D104">
        <v>544525.30000000005</v>
      </c>
      <c r="E104">
        <v>4561437.0597560983</v>
      </c>
      <c r="F104">
        <v>9.4902860699999998</v>
      </c>
      <c r="G104">
        <v>74.478432499999997</v>
      </c>
      <c r="H104" t="s">
        <v>267</v>
      </c>
      <c r="I104">
        <v>1795367.5142857144</v>
      </c>
      <c r="J104">
        <v>-1</v>
      </c>
      <c r="K104" t="s">
        <v>528</v>
      </c>
      <c r="L104" t="s">
        <v>267</v>
      </c>
      <c r="M104">
        <v>10.7395</v>
      </c>
      <c r="N104">
        <v>-49.51979</v>
      </c>
      <c r="O104">
        <v>-48.364310000000003</v>
      </c>
      <c r="P104">
        <v>-21.481069999999999</v>
      </c>
      <c r="Q104" t="s">
        <v>528</v>
      </c>
      <c r="R104" t="s">
        <v>528</v>
      </c>
      <c r="S104">
        <v>573600.9</v>
      </c>
      <c r="T104" t="s">
        <v>267</v>
      </c>
      <c r="U104">
        <v>56.452744704999986</v>
      </c>
      <c r="V104">
        <v>157.89627499999997</v>
      </c>
      <c r="W104" t="s">
        <v>528</v>
      </c>
      <c r="X104">
        <v>6073115.3600000013</v>
      </c>
      <c r="Y104" t="s">
        <v>279</v>
      </c>
      <c r="Z104" t="s">
        <v>333</v>
      </c>
      <c r="AA104" t="s">
        <v>307</v>
      </c>
      <c r="AB104" t="s">
        <v>401</v>
      </c>
      <c r="AC104">
        <v>6.9450000000000003</v>
      </c>
      <c r="AD104">
        <v>0.23468423468566199</v>
      </c>
      <c r="AE104">
        <v>0.24546312827520306</v>
      </c>
    </row>
    <row r="105" spans="1:31" x14ac:dyDescent="0.25">
      <c r="A105" t="s">
        <v>130</v>
      </c>
      <c r="B105" t="s">
        <v>530</v>
      </c>
      <c r="C105">
        <v>0</v>
      </c>
      <c r="D105">
        <v>6187019.7894736845</v>
      </c>
      <c r="E105">
        <v>21017697.816260152</v>
      </c>
      <c r="F105">
        <v>172.12292073424209</v>
      </c>
      <c r="G105">
        <v>1348.3716000000002</v>
      </c>
      <c r="H105" t="s">
        <v>267</v>
      </c>
      <c r="I105">
        <v>24774743.904761903</v>
      </c>
      <c r="J105">
        <v>-1</v>
      </c>
      <c r="K105" t="s">
        <v>531</v>
      </c>
      <c r="L105" t="s">
        <v>267</v>
      </c>
      <c r="M105">
        <v>36.129999999999995</v>
      </c>
      <c r="N105">
        <v>-0.31348799999999999</v>
      </c>
      <c r="O105">
        <v>-0.7411297</v>
      </c>
      <c r="P105">
        <v>-9.1129390000000008</v>
      </c>
      <c r="Q105" t="s">
        <v>531</v>
      </c>
      <c r="R105" t="s">
        <v>531</v>
      </c>
      <c r="S105">
        <v>7617420</v>
      </c>
      <c r="T105" t="s">
        <v>267</v>
      </c>
      <c r="U105">
        <v>116.45748900000009</v>
      </c>
      <c r="V105">
        <v>6017.5983999999999</v>
      </c>
      <c r="W105" t="s">
        <v>531</v>
      </c>
      <c r="X105">
        <v>1776953.2440000002</v>
      </c>
      <c r="Y105" t="s">
        <v>532</v>
      </c>
      <c r="Z105" t="s">
        <v>270</v>
      </c>
      <c r="AA105" t="s">
        <v>271</v>
      </c>
      <c r="AB105" t="s">
        <v>272</v>
      </c>
      <c r="AC105">
        <v>37.5</v>
      </c>
      <c r="AD105">
        <v>0.18500263845473899</v>
      </c>
      <c r="AE105">
        <v>0.21237697405586212</v>
      </c>
    </row>
    <row r="106" spans="1:31" x14ac:dyDescent="0.25">
      <c r="A106" t="s">
        <v>131</v>
      </c>
      <c r="B106" t="s">
        <v>533</v>
      </c>
      <c r="C106">
        <v>0</v>
      </c>
      <c r="D106">
        <v>202010.30000000002</v>
      </c>
      <c r="E106">
        <v>287583.97472222225</v>
      </c>
      <c r="F106">
        <v>73.909928909348253</v>
      </c>
      <c r="G106">
        <v>47.1008</v>
      </c>
      <c r="H106" t="s">
        <v>267</v>
      </c>
      <c r="I106">
        <v>461541.07500000001</v>
      </c>
      <c r="J106">
        <v>-1</v>
      </c>
      <c r="K106" t="s">
        <v>534</v>
      </c>
      <c r="L106" t="s">
        <v>267</v>
      </c>
      <c r="M106">
        <v>4.0999999999999995E-2</v>
      </c>
      <c r="N106">
        <v>1.2097720000000001</v>
      </c>
      <c r="O106">
        <v>1.2163949999999999</v>
      </c>
      <c r="P106">
        <v>0.1438953</v>
      </c>
      <c r="Q106" t="s">
        <v>535</v>
      </c>
      <c r="R106" t="s">
        <v>534</v>
      </c>
      <c r="S106">
        <v>503935.7</v>
      </c>
      <c r="T106" t="s">
        <v>267</v>
      </c>
      <c r="U106">
        <v>577.2175834393571</v>
      </c>
      <c r="V106">
        <v>17.017499999999998</v>
      </c>
      <c r="W106" t="s">
        <v>534</v>
      </c>
      <c r="X106">
        <v>424697.28684210521</v>
      </c>
      <c r="Y106" t="s">
        <v>484</v>
      </c>
      <c r="Z106" t="s">
        <v>270</v>
      </c>
      <c r="AA106" t="s">
        <v>307</v>
      </c>
      <c r="AB106" t="s">
        <v>485</v>
      </c>
      <c r="AC106">
        <v>1148.3</v>
      </c>
      <c r="AD106">
        <v>6.5551332978193697E-2</v>
      </c>
      <c r="AE106">
        <v>0.17203396546854971</v>
      </c>
    </row>
    <row r="107" spans="1:31" x14ac:dyDescent="0.25">
      <c r="A107" t="s">
        <v>132</v>
      </c>
      <c r="B107" t="s">
        <v>536</v>
      </c>
      <c r="C107">
        <v>0</v>
      </c>
      <c r="D107">
        <v>147567.73684210528</v>
      </c>
      <c r="E107">
        <v>214792.85542168678</v>
      </c>
      <c r="F107">
        <v>8.7578489970798632</v>
      </c>
      <c r="G107">
        <v>69.5595</v>
      </c>
      <c r="H107" t="s">
        <v>267</v>
      </c>
      <c r="I107">
        <v>224753.66666666666</v>
      </c>
      <c r="J107">
        <v>-1</v>
      </c>
      <c r="K107" t="s">
        <v>537</v>
      </c>
      <c r="L107" t="s">
        <v>267</v>
      </c>
      <c r="M107">
        <v>1.1850000000000001</v>
      </c>
      <c r="N107">
        <v>1.392628</v>
      </c>
      <c r="O107">
        <v>-0.17006669999999999</v>
      </c>
      <c r="P107">
        <v>0.1023203</v>
      </c>
      <c r="Q107" t="s">
        <v>537</v>
      </c>
      <c r="R107" t="s">
        <v>537</v>
      </c>
      <c r="S107">
        <v>270132</v>
      </c>
      <c r="T107" t="s">
        <v>267</v>
      </c>
      <c r="U107">
        <v>-76.298786999999976</v>
      </c>
      <c r="V107">
        <v>58.211999999999996</v>
      </c>
      <c r="W107" t="s">
        <v>537</v>
      </c>
      <c r="X107">
        <v>55710.25</v>
      </c>
      <c r="Y107" t="s">
        <v>310</v>
      </c>
      <c r="Z107" t="s">
        <v>270</v>
      </c>
      <c r="AA107" t="s">
        <v>339</v>
      </c>
      <c r="AB107" t="s">
        <v>428</v>
      </c>
      <c r="AC107">
        <v>58.7</v>
      </c>
      <c r="AD107">
        <v>0.21136828521128151</v>
      </c>
      <c r="AE107">
        <v>0.27698206730029395</v>
      </c>
    </row>
    <row r="108" spans="1:31" x14ac:dyDescent="0.25">
      <c r="A108" t="s">
        <v>133</v>
      </c>
      <c r="B108" t="s">
        <v>538</v>
      </c>
      <c r="C108">
        <v>0</v>
      </c>
      <c r="D108">
        <v>190238.53750000001</v>
      </c>
      <c r="E108">
        <v>374024.56954887218</v>
      </c>
      <c r="F108">
        <v>18.49712654</v>
      </c>
      <c r="G108">
        <v>35.6265</v>
      </c>
      <c r="H108" t="s">
        <v>267</v>
      </c>
      <c r="I108">
        <v>411333.7888888889</v>
      </c>
      <c r="J108">
        <v>-1</v>
      </c>
      <c r="K108" t="s">
        <v>539</v>
      </c>
      <c r="L108" t="s">
        <v>267</v>
      </c>
      <c r="M108">
        <v>8.9999999999999993E-3</v>
      </c>
      <c r="N108">
        <v>2.5512549999999998</v>
      </c>
      <c r="O108">
        <v>0.86377979999999999</v>
      </c>
      <c r="P108">
        <v>0.57164630000000005</v>
      </c>
      <c r="Q108" t="s">
        <v>539</v>
      </c>
      <c r="R108" t="s">
        <v>539</v>
      </c>
      <c r="S108">
        <v>123905.9</v>
      </c>
      <c r="T108" t="s">
        <v>267</v>
      </c>
      <c r="U108">
        <v>-3.9065160000000008</v>
      </c>
      <c r="V108">
        <v>31.396799999999999</v>
      </c>
      <c r="W108" t="s">
        <v>539</v>
      </c>
      <c r="X108">
        <v>194211.7</v>
      </c>
      <c r="Y108" t="s">
        <v>330</v>
      </c>
      <c r="Z108" t="s">
        <v>270</v>
      </c>
      <c r="AA108" t="s">
        <v>336</v>
      </c>
      <c r="AB108" t="s">
        <v>428</v>
      </c>
      <c r="AC108">
        <v>3958.5</v>
      </c>
      <c r="AD108">
        <v>0.62234916451609834</v>
      </c>
      <c r="AE108">
        <v>0.33627872697826233</v>
      </c>
    </row>
    <row r="109" spans="1:31" x14ac:dyDescent="0.25">
      <c r="A109" t="s">
        <v>134</v>
      </c>
      <c r="B109" t="s">
        <v>540</v>
      </c>
      <c r="C109">
        <v>0</v>
      </c>
      <c r="D109">
        <v>11565606.84210526</v>
      </c>
      <c r="E109">
        <v>11774457.359349594</v>
      </c>
      <c r="F109">
        <v>486.79817905918048</v>
      </c>
      <c r="G109">
        <v>3798.1980000000003</v>
      </c>
      <c r="H109" t="s">
        <v>267</v>
      </c>
      <c r="I109">
        <v>51106996.285714284</v>
      </c>
      <c r="J109">
        <v>-1</v>
      </c>
      <c r="K109" t="s">
        <v>541</v>
      </c>
      <c r="L109" t="s">
        <v>267</v>
      </c>
      <c r="M109">
        <v>199.79999999999998</v>
      </c>
      <c r="N109">
        <v>-5.500794</v>
      </c>
      <c r="O109">
        <v>-6.0724780000000003</v>
      </c>
      <c r="P109">
        <v>-10.037520000000001</v>
      </c>
      <c r="Q109" t="s">
        <v>541</v>
      </c>
      <c r="R109" t="s">
        <v>541</v>
      </c>
      <c r="S109">
        <v>15416320</v>
      </c>
      <c r="T109" t="s">
        <v>267</v>
      </c>
      <c r="U109">
        <v>149.51189999999997</v>
      </c>
      <c r="V109">
        <v>3951.2700000000004</v>
      </c>
      <c r="W109" t="s">
        <v>541</v>
      </c>
      <c r="X109">
        <v>5730829.1640000008</v>
      </c>
      <c r="Y109" t="s">
        <v>542</v>
      </c>
      <c r="Z109" t="s">
        <v>270</v>
      </c>
      <c r="AA109" t="s">
        <v>307</v>
      </c>
      <c r="AB109" t="s">
        <v>495</v>
      </c>
      <c r="AC109">
        <v>19.18</v>
      </c>
      <c r="AD109">
        <v>0.12030009385942954</v>
      </c>
      <c r="AE109">
        <v>0.11745825968804538</v>
      </c>
    </row>
    <row r="110" spans="1:31" x14ac:dyDescent="0.25">
      <c r="A110" t="s">
        <v>135</v>
      </c>
      <c r="B110" t="s">
        <v>543</v>
      </c>
      <c r="C110">
        <v>0</v>
      </c>
      <c r="D110">
        <v>53983.499999999993</v>
      </c>
      <c r="E110">
        <v>129208.6</v>
      </c>
      <c r="F110" t="s">
        <v>267</v>
      </c>
      <c r="G110">
        <v>72.157485199999996</v>
      </c>
      <c r="H110" t="s">
        <v>267</v>
      </c>
      <c r="I110">
        <v>11792</v>
      </c>
      <c r="J110" t="s">
        <v>31</v>
      </c>
      <c r="K110" t="s">
        <v>544</v>
      </c>
      <c r="L110" t="s">
        <v>267</v>
      </c>
      <c r="M110">
        <v>1.4414199999999999</v>
      </c>
      <c r="N110">
        <v>-4.1047760000000002</v>
      </c>
      <c r="O110">
        <v>-3.9155440000000001</v>
      </c>
      <c r="P110">
        <v>2.1215820000000001</v>
      </c>
      <c r="Q110" t="s">
        <v>544</v>
      </c>
      <c r="R110" t="s">
        <v>544</v>
      </c>
      <c r="S110">
        <v>4260.9669999999996</v>
      </c>
      <c r="T110" t="s">
        <v>267</v>
      </c>
      <c r="U110" t="s">
        <v>267</v>
      </c>
      <c r="V110">
        <v>75.097982000000002</v>
      </c>
      <c r="W110" t="s">
        <v>544</v>
      </c>
      <c r="X110" t="s">
        <v>267</v>
      </c>
      <c r="Y110" t="s">
        <v>310</v>
      </c>
      <c r="Z110" t="s">
        <v>270</v>
      </c>
      <c r="AA110" t="s">
        <v>461</v>
      </c>
      <c r="AB110" t="s">
        <v>272</v>
      </c>
      <c r="AC110">
        <v>50.06</v>
      </c>
      <c r="AD110">
        <v>1.1797840191167392</v>
      </c>
      <c r="AE110">
        <v>1.3116127687296175</v>
      </c>
    </row>
    <row r="111" spans="1:31" x14ac:dyDescent="0.25">
      <c r="A111" t="s">
        <v>136</v>
      </c>
      <c r="B111" t="s">
        <v>545</v>
      </c>
      <c r="C111">
        <v>0</v>
      </c>
      <c r="D111">
        <v>38949.963157894745</v>
      </c>
      <c r="E111">
        <v>48213.777777777781</v>
      </c>
      <c r="F111">
        <v>4.927585145878008</v>
      </c>
      <c r="G111">
        <v>35.494199999999999</v>
      </c>
      <c r="H111" t="s">
        <v>267</v>
      </c>
      <c r="I111">
        <v>47638.523809523802</v>
      </c>
      <c r="J111">
        <v>-1</v>
      </c>
      <c r="K111" t="s">
        <v>546</v>
      </c>
      <c r="L111" t="s">
        <v>267</v>
      </c>
      <c r="M111">
        <v>8.1</v>
      </c>
      <c r="N111">
        <v>-44.263750000000002</v>
      </c>
      <c r="O111">
        <v>-46.561169999999997</v>
      </c>
      <c r="P111">
        <v>-22.300889999999999</v>
      </c>
      <c r="Q111" t="s">
        <v>547</v>
      </c>
      <c r="R111" t="s">
        <v>546</v>
      </c>
      <c r="S111">
        <v>36659.33</v>
      </c>
      <c r="T111" t="s">
        <v>267</v>
      </c>
      <c r="U111" t="s">
        <v>267</v>
      </c>
      <c r="V111">
        <v>64.898499999999999</v>
      </c>
      <c r="W111" t="s">
        <v>546</v>
      </c>
      <c r="X111" t="s">
        <v>267</v>
      </c>
      <c r="Y111" t="s">
        <v>431</v>
      </c>
      <c r="Z111" t="s">
        <v>270</v>
      </c>
      <c r="AA111" t="s">
        <v>307</v>
      </c>
      <c r="AB111" t="s">
        <v>401</v>
      </c>
      <c r="AC111">
        <v>4.3899999999999997</v>
      </c>
      <c r="AD111">
        <v>0.57878658599374944</v>
      </c>
      <c r="AE111">
        <v>0.67600688142805254</v>
      </c>
    </row>
    <row r="112" spans="1:31" x14ac:dyDescent="0.25">
      <c r="A112" t="s">
        <v>137</v>
      </c>
      <c r="B112" t="s">
        <v>548</v>
      </c>
      <c r="C112">
        <v>0</v>
      </c>
      <c r="D112">
        <v>911541.42105263146</v>
      </c>
      <c r="E112">
        <v>2768839.0895734602</v>
      </c>
      <c r="F112">
        <v>806.83353865999993</v>
      </c>
      <c r="G112">
        <v>1143.3522</v>
      </c>
      <c r="H112" t="s">
        <v>267</v>
      </c>
      <c r="I112">
        <v>4053378.1249999986</v>
      </c>
      <c r="J112">
        <v>-1</v>
      </c>
      <c r="K112" t="s">
        <v>549</v>
      </c>
      <c r="L112" t="s">
        <v>267</v>
      </c>
      <c r="M112">
        <v>1.18605</v>
      </c>
      <c r="N112">
        <v>2.515911</v>
      </c>
      <c r="O112">
        <v>2.739506</v>
      </c>
      <c r="P112">
        <v>0.28557949999999999</v>
      </c>
      <c r="Q112" t="s">
        <v>549</v>
      </c>
      <c r="R112" t="s">
        <v>549</v>
      </c>
      <c r="S112">
        <v>1239375</v>
      </c>
      <c r="T112" t="s">
        <v>267</v>
      </c>
      <c r="U112">
        <v>212.13964207000001</v>
      </c>
      <c r="V112">
        <v>1420.3114475</v>
      </c>
      <c r="W112" t="s">
        <v>549</v>
      </c>
      <c r="X112">
        <v>841244.40208333312</v>
      </c>
      <c r="Y112" t="s">
        <v>279</v>
      </c>
      <c r="Z112" t="s">
        <v>270</v>
      </c>
      <c r="AA112" t="s">
        <v>307</v>
      </c>
      <c r="AB112" t="s">
        <v>485</v>
      </c>
      <c r="AC112">
        <v>965.7</v>
      </c>
      <c r="AD112">
        <v>0.1831464014191484</v>
      </c>
      <c r="AE112">
        <v>0.20831440319032399</v>
      </c>
    </row>
    <row r="113" spans="1:31" x14ac:dyDescent="0.25">
      <c r="A113" t="s">
        <v>138</v>
      </c>
      <c r="B113" t="s">
        <v>550</v>
      </c>
      <c r="C113">
        <v>0</v>
      </c>
      <c r="D113">
        <v>3668810.3157894737</v>
      </c>
      <c r="E113">
        <v>301168.08779342717</v>
      </c>
      <c r="F113">
        <v>12.04537273816962</v>
      </c>
      <c r="G113">
        <v>95.425000000000011</v>
      </c>
      <c r="H113" t="s">
        <v>267</v>
      </c>
      <c r="I113">
        <v>626972.05000000005</v>
      </c>
      <c r="J113">
        <v>-1</v>
      </c>
      <c r="K113" t="s">
        <v>551</v>
      </c>
      <c r="L113" t="s">
        <v>267</v>
      </c>
      <c r="M113">
        <v>13.75</v>
      </c>
      <c r="N113">
        <v>55.730159999999998</v>
      </c>
      <c r="O113">
        <v>49.394190000000002</v>
      </c>
      <c r="P113">
        <v>-18.86017</v>
      </c>
      <c r="Q113" t="s">
        <v>551</v>
      </c>
      <c r="R113" t="s">
        <v>551</v>
      </c>
      <c r="S113">
        <v>9180622</v>
      </c>
      <c r="T113" t="s">
        <v>267</v>
      </c>
      <c r="U113">
        <v>-5.7349999999999994</v>
      </c>
      <c r="V113">
        <v>26.576499999999999</v>
      </c>
      <c r="W113" t="s">
        <v>551</v>
      </c>
      <c r="X113">
        <v>231668.05263157893</v>
      </c>
      <c r="Y113" t="s">
        <v>310</v>
      </c>
      <c r="Z113" t="s">
        <v>270</v>
      </c>
      <c r="AA113" t="s">
        <v>307</v>
      </c>
      <c r="AB113" t="s">
        <v>495</v>
      </c>
      <c r="AC113">
        <v>6.9050000000000002</v>
      </c>
      <c r="AD113">
        <v>0.18917321377929691</v>
      </c>
      <c r="AE113">
        <v>0.20724971974981604</v>
      </c>
    </row>
    <row r="114" spans="1:31" x14ac:dyDescent="0.25">
      <c r="A114" t="s">
        <v>139</v>
      </c>
      <c r="B114" t="s">
        <v>552</v>
      </c>
      <c r="C114">
        <v>0</v>
      </c>
      <c r="D114">
        <v>490562.12500000006</v>
      </c>
      <c r="E114" t="s">
        <v>267</v>
      </c>
      <c r="F114">
        <v>9.3040655856571348</v>
      </c>
      <c r="G114">
        <v>72.540999999999997</v>
      </c>
      <c r="H114" t="s">
        <v>267</v>
      </c>
      <c r="I114">
        <v>1898882</v>
      </c>
      <c r="J114">
        <v>-1</v>
      </c>
      <c r="K114" t="s">
        <v>412</v>
      </c>
      <c r="L114" t="s">
        <v>267</v>
      </c>
      <c r="M114">
        <v>8.6</v>
      </c>
      <c r="N114" t="s">
        <v>267</v>
      </c>
      <c r="O114" t="s">
        <v>267</v>
      </c>
      <c r="P114">
        <v>1.1289370000000001</v>
      </c>
      <c r="Q114" t="s">
        <v>412</v>
      </c>
      <c r="R114" t="s">
        <v>412</v>
      </c>
      <c r="S114">
        <v>250578.9</v>
      </c>
      <c r="T114" t="s">
        <v>267</v>
      </c>
      <c r="U114" t="s">
        <v>267</v>
      </c>
      <c r="V114" t="s">
        <v>267</v>
      </c>
      <c r="W114" t="s">
        <v>412</v>
      </c>
      <c r="X114" t="s">
        <v>267</v>
      </c>
      <c r="Y114" t="s">
        <v>279</v>
      </c>
      <c r="Z114" t="s">
        <v>384</v>
      </c>
      <c r="AA114" t="s">
        <v>275</v>
      </c>
      <c r="AB114" t="s">
        <v>272</v>
      </c>
      <c r="AC114">
        <v>8.51</v>
      </c>
      <c r="AD114">
        <v>0.38870775983109573</v>
      </c>
      <c r="AE114">
        <v>0.41083894203622073</v>
      </c>
    </row>
    <row r="115" spans="1:31" x14ac:dyDescent="0.25">
      <c r="A115" t="s">
        <v>140</v>
      </c>
      <c r="B115" t="s">
        <v>553</v>
      </c>
      <c r="C115">
        <v>0</v>
      </c>
      <c r="D115">
        <v>191990.39999999997</v>
      </c>
      <c r="E115">
        <v>8761.4285714285725</v>
      </c>
      <c r="F115">
        <v>6.8946430599999999</v>
      </c>
      <c r="G115">
        <v>53.709999999999994</v>
      </c>
      <c r="H115" t="s">
        <v>267</v>
      </c>
      <c r="I115">
        <v>20390</v>
      </c>
      <c r="J115">
        <v>-1</v>
      </c>
      <c r="K115" t="s">
        <v>319</v>
      </c>
      <c r="L115" t="s">
        <v>267</v>
      </c>
      <c r="M115">
        <v>2.0499999999999998</v>
      </c>
      <c r="N115">
        <v>-29.9818</v>
      </c>
      <c r="O115">
        <v>-28.968050000000002</v>
      </c>
      <c r="P115">
        <v>-8.9321710000000003</v>
      </c>
      <c r="Q115" t="s">
        <v>319</v>
      </c>
      <c r="R115" t="s">
        <v>319</v>
      </c>
      <c r="S115">
        <v>162299.1</v>
      </c>
      <c r="T115" t="s">
        <v>267</v>
      </c>
      <c r="U115" t="s">
        <v>267</v>
      </c>
      <c r="V115">
        <v>76.36</v>
      </c>
      <c r="W115" t="s">
        <v>319</v>
      </c>
      <c r="X115" t="s">
        <v>267</v>
      </c>
      <c r="Y115" t="s">
        <v>554</v>
      </c>
      <c r="Z115" t="s">
        <v>270</v>
      </c>
      <c r="AA115" t="s">
        <v>275</v>
      </c>
      <c r="AB115" t="s">
        <v>272</v>
      </c>
      <c r="AC115">
        <v>27.12</v>
      </c>
      <c r="AD115">
        <v>0.48984794676543669</v>
      </c>
      <c r="AE115">
        <v>0.59046603391445251</v>
      </c>
    </row>
    <row r="116" spans="1:31" x14ac:dyDescent="0.25">
      <c r="A116" t="s">
        <v>141</v>
      </c>
      <c r="B116" t="s">
        <v>555</v>
      </c>
      <c r="C116">
        <v>0</v>
      </c>
      <c r="D116">
        <v>973351.7333333334</v>
      </c>
      <c r="E116">
        <v>346681.17573529424</v>
      </c>
      <c r="F116">
        <v>8.2935412445581829</v>
      </c>
      <c r="G116">
        <v>64.92</v>
      </c>
      <c r="H116" t="s">
        <v>267</v>
      </c>
      <c r="I116">
        <v>439723.33333333337</v>
      </c>
      <c r="J116">
        <v>-1</v>
      </c>
      <c r="K116" t="s">
        <v>556</v>
      </c>
      <c r="L116" t="s">
        <v>267</v>
      </c>
      <c r="M116">
        <v>6</v>
      </c>
      <c r="N116">
        <v>3.6458279999999998</v>
      </c>
      <c r="O116">
        <v>5.1674660000000001</v>
      </c>
      <c r="P116">
        <v>-0.18165510000000001</v>
      </c>
      <c r="Q116" t="s">
        <v>556</v>
      </c>
      <c r="R116" t="s">
        <v>556</v>
      </c>
      <c r="S116">
        <v>771886.5</v>
      </c>
      <c r="T116" t="s">
        <v>267</v>
      </c>
      <c r="U116">
        <v>-4.3856399999999978</v>
      </c>
      <c r="V116">
        <v>62.699999999999996</v>
      </c>
      <c r="W116" t="s">
        <v>556</v>
      </c>
      <c r="X116">
        <v>700012</v>
      </c>
      <c r="Y116" t="s">
        <v>400</v>
      </c>
      <c r="Z116" t="s">
        <v>270</v>
      </c>
      <c r="AA116" t="s">
        <v>275</v>
      </c>
      <c r="AB116" t="s">
        <v>272</v>
      </c>
      <c r="AC116">
        <v>10.99</v>
      </c>
      <c r="AD116">
        <v>0.35432345308928465</v>
      </c>
      <c r="AE116">
        <v>0.38231056173706912</v>
      </c>
    </row>
    <row r="117" spans="1:31" x14ac:dyDescent="0.25">
      <c r="A117" t="s">
        <v>142</v>
      </c>
      <c r="B117" t="s">
        <v>557</v>
      </c>
      <c r="C117">
        <v>0</v>
      </c>
      <c r="D117">
        <v>1311697.5684210525</v>
      </c>
      <c r="E117">
        <v>414785.96514522802</v>
      </c>
      <c r="F117">
        <v>9.2147124323449816</v>
      </c>
      <c r="G117">
        <v>71.983999999999995</v>
      </c>
      <c r="H117" t="s">
        <v>267</v>
      </c>
      <c r="I117">
        <v>949525.876190476</v>
      </c>
      <c r="J117">
        <v>-1</v>
      </c>
      <c r="K117" t="s">
        <v>558</v>
      </c>
      <c r="L117" t="s">
        <v>267</v>
      </c>
      <c r="M117">
        <v>22</v>
      </c>
      <c r="N117">
        <v>9.2804099999999998</v>
      </c>
      <c r="O117">
        <v>11.22245</v>
      </c>
      <c r="P117">
        <v>-1.1282669999999999</v>
      </c>
      <c r="Q117" t="s">
        <v>558</v>
      </c>
      <c r="R117" t="s">
        <v>558</v>
      </c>
      <c r="S117">
        <v>988478.5</v>
      </c>
      <c r="T117" t="s">
        <v>267</v>
      </c>
      <c r="U117">
        <v>-75.585399999999993</v>
      </c>
      <c r="V117">
        <v>62.874000000000002</v>
      </c>
      <c r="W117" t="s">
        <v>558</v>
      </c>
      <c r="X117">
        <v>1130507.8159999999</v>
      </c>
      <c r="Y117" t="s">
        <v>302</v>
      </c>
      <c r="Z117" t="s">
        <v>270</v>
      </c>
      <c r="AA117" t="s">
        <v>275</v>
      </c>
      <c r="AB117" t="s">
        <v>272</v>
      </c>
      <c r="AC117">
        <v>3.33</v>
      </c>
      <c r="AD117">
        <v>0.20036533338034332</v>
      </c>
      <c r="AE117">
        <v>0.23493435698499951</v>
      </c>
    </row>
    <row r="118" spans="1:31" x14ac:dyDescent="0.25">
      <c r="A118" t="s">
        <v>143</v>
      </c>
      <c r="B118" t="s">
        <v>559</v>
      </c>
      <c r="C118">
        <v>0</v>
      </c>
      <c r="D118">
        <v>581055.79473684204</v>
      </c>
      <c r="E118">
        <v>354317.71829268301</v>
      </c>
      <c r="F118">
        <v>21.528710101354545</v>
      </c>
      <c r="G118">
        <v>165.12</v>
      </c>
      <c r="H118" t="s">
        <v>267</v>
      </c>
      <c r="I118">
        <v>257626.83333333328</v>
      </c>
      <c r="J118">
        <v>-1</v>
      </c>
      <c r="K118" t="s">
        <v>522</v>
      </c>
      <c r="L118" t="s">
        <v>267</v>
      </c>
      <c r="M118">
        <v>6</v>
      </c>
      <c r="N118">
        <v>24.174769999999999</v>
      </c>
      <c r="O118">
        <v>23.45786</v>
      </c>
      <c r="P118">
        <v>-7.3663629999999998</v>
      </c>
      <c r="Q118" t="s">
        <v>522</v>
      </c>
      <c r="R118" t="s">
        <v>522</v>
      </c>
      <c r="S118">
        <v>421872.1</v>
      </c>
      <c r="T118" t="s">
        <v>267</v>
      </c>
      <c r="U118">
        <v>8.8903050961353021</v>
      </c>
      <c r="V118">
        <v>133.51599999999999</v>
      </c>
      <c r="W118" t="s">
        <v>522</v>
      </c>
      <c r="X118">
        <v>40922.9</v>
      </c>
      <c r="Y118" t="s">
        <v>431</v>
      </c>
      <c r="Z118" t="s">
        <v>270</v>
      </c>
      <c r="AA118" t="s">
        <v>307</v>
      </c>
      <c r="AB118" t="s">
        <v>272</v>
      </c>
      <c r="AC118">
        <v>28.42</v>
      </c>
      <c r="AD118">
        <v>0.31232739382669372</v>
      </c>
      <c r="AE118">
        <v>0.41132862295725181</v>
      </c>
    </row>
    <row r="119" spans="1:31" x14ac:dyDescent="0.25">
      <c r="A119" t="s">
        <v>144</v>
      </c>
      <c r="B119" t="s">
        <v>560</v>
      </c>
      <c r="C119">
        <v>0</v>
      </c>
      <c r="D119">
        <v>268023.96842105256</v>
      </c>
      <c r="E119">
        <v>171654.28968609867</v>
      </c>
      <c r="F119">
        <v>5.62</v>
      </c>
      <c r="G119">
        <v>44.676000000000002</v>
      </c>
      <c r="H119" t="s">
        <v>267</v>
      </c>
      <c r="I119">
        <v>295958.60099999997</v>
      </c>
      <c r="J119">
        <v>-1</v>
      </c>
      <c r="K119" t="s">
        <v>561</v>
      </c>
      <c r="L119" t="s">
        <v>267</v>
      </c>
      <c r="M119">
        <v>0.44999999999999996</v>
      </c>
      <c r="N119">
        <v>11.00357</v>
      </c>
      <c r="O119">
        <v>10.12209</v>
      </c>
      <c r="P119">
        <v>-4.9616870000000004</v>
      </c>
      <c r="Q119" t="s">
        <v>561</v>
      </c>
      <c r="R119" t="s">
        <v>561</v>
      </c>
      <c r="S119">
        <v>209121.5</v>
      </c>
      <c r="T119" t="s">
        <v>267</v>
      </c>
      <c r="U119">
        <v>-23.325878390999996</v>
      </c>
      <c r="V119">
        <v>36.04</v>
      </c>
      <c r="W119" t="s">
        <v>561</v>
      </c>
      <c r="X119">
        <v>83183.14285714287</v>
      </c>
      <c r="Y119" t="s">
        <v>310</v>
      </c>
      <c r="Z119" t="s">
        <v>333</v>
      </c>
      <c r="AA119" t="s">
        <v>303</v>
      </c>
      <c r="AB119" t="s">
        <v>272</v>
      </c>
      <c r="AC119">
        <v>99.22</v>
      </c>
      <c r="AD119">
        <v>0.70184224152548702</v>
      </c>
      <c r="AE119">
        <v>1.0092551811296544</v>
      </c>
    </row>
    <row r="120" spans="1:31" x14ac:dyDescent="0.25">
      <c r="A120" t="s">
        <v>145</v>
      </c>
      <c r="B120" t="s">
        <v>562</v>
      </c>
      <c r="C120">
        <v>0</v>
      </c>
      <c r="D120">
        <v>50708.25</v>
      </c>
      <c r="E120">
        <v>231424.3220512821</v>
      </c>
      <c r="F120">
        <v>6.8962579120053826</v>
      </c>
      <c r="G120">
        <v>46.559999999999995</v>
      </c>
      <c r="H120" t="s">
        <v>267</v>
      </c>
      <c r="I120">
        <v>150880.79999999999</v>
      </c>
      <c r="J120">
        <v>-1</v>
      </c>
      <c r="K120" t="s">
        <v>563</v>
      </c>
      <c r="L120" t="s">
        <v>267</v>
      </c>
      <c r="M120">
        <v>2.4</v>
      </c>
      <c r="N120">
        <v>8.5603110000000004</v>
      </c>
      <c r="O120">
        <v>9.1876730000000002</v>
      </c>
      <c r="P120">
        <v>-0.6625934</v>
      </c>
      <c r="Q120" t="s">
        <v>563</v>
      </c>
      <c r="R120" t="s">
        <v>563</v>
      </c>
      <c r="S120">
        <v>24029.31</v>
      </c>
      <c r="T120" t="s">
        <v>267</v>
      </c>
      <c r="U120">
        <v>0</v>
      </c>
      <c r="V120">
        <v>42.84</v>
      </c>
      <c r="W120" t="s">
        <v>563</v>
      </c>
      <c r="X120">
        <v>567647</v>
      </c>
      <c r="Y120" t="s">
        <v>400</v>
      </c>
      <c r="Z120" t="s">
        <v>270</v>
      </c>
      <c r="AA120" t="s">
        <v>275</v>
      </c>
      <c r="AB120" t="s">
        <v>272</v>
      </c>
      <c r="AC120">
        <v>19.489999999999998</v>
      </c>
      <c r="AD120">
        <v>1.2590108443363905</v>
      </c>
      <c r="AE120">
        <v>2.0376773199714022</v>
      </c>
    </row>
    <row r="121" spans="1:31" x14ac:dyDescent="0.25">
      <c r="A121" t="s">
        <v>146</v>
      </c>
      <c r="B121" t="s">
        <v>564</v>
      </c>
      <c r="C121">
        <v>0</v>
      </c>
      <c r="D121">
        <v>82664.25</v>
      </c>
      <c r="E121">
        <v>17368.8</v>
      </c>
      <c r="F121">
        <v>37.313624527885629</v>
      </c>
      <c r="G121">
        <v>49.508250000000004</v>
      </c>
      <c r="H121" t="s">
        <v>267</v>
      </c>
      <c r="I121">
        <v>54488.5</v>
      </c>
      <c r="J121">
        <v>-1</v>
      </c>
      <c r="K121" t="s">
        <v>565</v>
      </c>
      <c r="L121" t="s">
        <v>267</v>
      </c>
      <c r="M121">
        <v>0.255</v>
      </c>
      <c r="N121">
        <v>3.8335370000000002</v>
      </c>
      <c r="O121">
        <v>3.8235290000000002</v>
      </c>
      <c r="P121">
        <v>-0.12859770000000001</v>
      </c>
      <c r="Q121" t="s">
        <v>565</v>
      </c>
      <c r="R121" t="s">
        <v>565</v>
      </c>
      <c r="S121">
        <v>42855.61</v>
      </c>
      <c r="T121" t="s">
        <v>267</v>
      </c>
      <c r="U121">
        <v>3.6733899999999764E-2</v>
      </c>
      <c r="V121">
        <v>38.335000000000001</v>
      </c>
      <c r="W121" t="s">
        <v>565</v>
      </c>
      <c r="X121">
        <v>5322</v>
      </c>
      <c r="Y121" t="s">
        <v>279</v>
      </c>
      <c r="Z121" t="s">
        <v>270</v>
      </c>
      <c r="AA121" t="s">
        <v>371</v>
      </c>
      <c r="AB121" t="s">
        <v>485</v>
      </c>
      <c r="AC121">
        <v>194.15</v>
      </c>
      <c r="AD121">
        <v>0.6150030930681113</v>
      </c>
      <c r="AE121">
        <v>1.0818392393174425</v>
      </c>
    </row>
    <row r="122" spans="1:31" x14ac:dyDescent="0.25">
      <c r="A122" t="s">
        <v>147</v>
      </c>
      <c r="B122" t="s">
        <v>566</v>
      </c>
      <c r="C122">
        <v>0</v>
      </c>
      <c r="D122">
        <v>30756.82</v>
      </c>
      <c r="E122">
        <v>317082.25262411317</v>
      </c>
      <c r="F122">
        <v>21.531260042357921</v>
      </c>
      <c r="G122">
        <v>168.99644916</v>
      </c>
      <c r="H122" t="s">
        <v>267</v>
      </c>
      <c r="I122">
        <v>210937.62666666665</v>
      </c>
      <c r="J122">
        <v>-1</v>
      </c>
      <c r="K122" t="s">
        <v>567</v>
      </c>
      <c r="L122" t="s">
        <v>267</v>
      </c>
      <c r="M122">
        <v>2.7532799999999997</v>
      </c>
      <c r="N122">
        <v>-6.9075550000000003</v>
      </c>
      <c r="O122">
        <v>-6.9038240000000002</v>
      </c>
      <c r="P122">
        <v>-6.5940750000000001</v>
      </c>
      <c r="Q122" t="s">
        <v>567</v>
      </c>
      <c r="R122" t="s">
        <v>567</v>
      </c>
      <c r="S122">
        <v>39004.019999999997</v>
      </c>
      <c r="T122" t="s">
        <v>267</v>
      </c>
      <c r="U122">
        <v>-39.624525542100024</v>
      </c>
      <c r="V122">
        <v>189.74201930000001</v>
      </c>
      <c r="W122" t="s">
        <v>567</v>
      </c>
      <c r="X122">
        <v>37335.607500000006</v>
      </c>
      <c r="Y122" t="s">
        <v>269</v>
      </c>
      <c r="Z122" t="s">
        <v>270</v>
      </c>
      <c r="AA122" t="s">
        <v>275</v>
      </c>
      <c r="AB122" t="s">
        <v>272</v>
      </c>
      <c r="AC122">
        <v>61.76</v>
      </c>
      <c r="AD122">
        <v>1.1702960116621652</v>
      </c>
      <c r="AE122">
        <v>1.2742091009157377</v>
      </c>
    </row>
    <row r="123" spans="1:31" x14ac:dyDescent="0.25">
      <c r="A123" t="s">
        <v>148</v>
      </c>
      <c r="B123" t="s">
        <v>568</v>
      </c>
      <c r="C123">
        <v>0</v>
      </c>
      <c r="D123">
        <v>114522.4</v>
      </c>
      <c r="E123">
        <v>240904.1346153846</v>
      </c>
      <c r="F123">
        <v>0.67526555386949905</v>
      </c>
      <c r="G123">
        <v>5.29</v>
      </c>
      <c r="H123" t="s">
        <v>267</v>
      </c>
      <c r="I123">
        <v>133679</v>
      </c>
      <c r="J123">
        <v>-1</v>
      </c>
      <c r="K123" t="s">
        <v>569</v>
      </c>
      <c r="L123" t="s">
        <v>267</v>
      </c>
      <c r="M123">
        <v>0.5</v>
      </c>
      <c r="N123">
        <v>-6.2659149999999997</v>
      </c>
      <c r="O123">
        <v>-7.6790349999999998</v>
      </c>
      <c r="P123">
        <v>-6.8755420000000003</v>
      </c>
      <c r="Q123" t="s">
        <v>569</v>
      </c>
      <c r="R123" t="s">
        <v>569</v>
      </c>
      <c r="S123">
        <v>9387.0820000000003</v>
      </c>
      <c r="T123" t="s">
        <v>267</v>
      </c>
      <c r="U123">
        <v>0</v>
      </c>
      <c r="V123">
        <v>11.59</v>
      </c>
      <c r="W123" t="s">
        <v>569</v>
      </c>
      <c r="X123">
        <v>73725</v>
      </c>
      <c r="Y123" t="s">
        <v>350</v>
      </c>
      <c r="Z123" t="s">
        <v>270</v>
      </c>
      <c r="AA123" t="s">
        <v>371</v>
      </c>
      <c r="AB123" t="s">
        <v>272</v>
      </c>
      <c r="AC123">
        <v>10.7</v>
      </c>
      <c r="AD123">
        <v>0.55553623199515978</v>
      </c>
      <c r="AE123">
        <v>0.63287858189754675</v>
      </c>
    </row>
    <row r="124" spans="1:31" x14ac:dyDescent="0.25">
      <c r="A124" t="s">
        <v>149</v>
      </c>
      <c r="B124" t="s">
        <v>570</v>
      </c>
      <c r="C124">
        <v>0</v>
      </c>
      <c r="D124">
        <v>1814378.2105263157</v>
      </c>
      <c r="E124">
        <v>938258.65585585579</v>
      </c>
      <c r="F124">
        <v>76.515559540828335</v>
      </c>
      <c r="G124">
        <v>597.78000000000009</v>
      </c>
      <c r="H124" t="s">
        <v>267</v>
      </c>
      <c r="I124">
        <v>1060119.5904761904</v>
      </c>
      <c r="J124">
        <v>-1</v>
      </c>
      <c r="K124" t="s">
        <v>571</v>
      </c>
      <c r="L124" t="s">
        <v>267</v>
      </c>
      <c r="M124">
        <v>49.199999999999996</v>
      </c>
      <c r="N124">
        <v>5.7632099999999999</v>
      </c>
      <c r="O124">
        <v>11.071109999999999</v>
      </c>
      <c r="P124">
        <v>0.73469390000000001</v>
      </c>
      <c r="Q124" t="s">
        <v>571</v>
      </c>
      <c r="R124" t="s">
        <v>571</v>
      </c>
      <c r="S124">
        <v>1537970</v>
      </c>
      <c r="T124" t="s">
        <v>267</v>
      </c>
      <c r="U124">
        <v>70.659770450521336</v>
      </c>
      <c r="V124">
        <v>539.94600000000003</v>
      </c>
      <c r="W124" t="s">
        <v>571</v>
      </c>
      <c r="X124" t="s">
        <v>267</v>
      </c>
      <c r="Y124" t="s">
        <v>279</v>
      </c>
      <c r="Z124" t="s">
        <v>384</v>
      </c>
      <c r="AA124" t="s">
        <v>275</v>
      </c>
      <c r="AB124" t="s">
        <v>272</v>
      </c>
      <c r="AC124">
        <v>12.34</v>
      </c>
      <c r="AD124">
        <v>0.1970758526189563</v>
      </c>
      <c r="AE124">
        <v>0.21021221705934456</v>
      </c>
    </row>
    <row r="125" spans="1:31" x14ac:dyDescent="0.25">
      <c r="A125" t="s">
        <v>150</v>
      </c>
      <c r="B125" t="s">
        <v>572</v>
      </c>
      <c r="C125">
        <v>0</v>
      </c>
      <c r="D125">
        <v>407191.02777777775</v>
      </c>
      <c r="E125">
        <v>564934.58852459048</v>
      </c>
      <c r="F125">
        <v>8.6589722699999996</v>
      </c>
      <c r="G125">
        <v>68.634999999999991</v>
      </c>
      <c r="H125" t="s">
        <v>267</v>
      </c>
      <c r="I125">
        <v>138743.70000000001</v>
      </c>
      <c r="J125">
        <v>-1</v>
      </c>
      <c r="K125" t="s">
        <v>573</v>
      </c>
      <c r="L125" t="s">
        <v>267</v>
      </c>
      <c r="M125">
        <v>3.5</v>
      </c>
      <c r="N125" t="s">
        <v>267</v>
      </c>
      <c r="O125">
        <v>-33.310490000000001</v>
      </c>
      <c r="P125">
        <v>-18.372479999999999</v>
      </c>
      <c r="Q125" t="s">
        <v>573</v>
      </c>
      <c r="R125" t="s">
        <v>573</v>
      </c>
      <c r="S125">
        <v>188798</v>
      </c>
      <c r="T125" t="s">
        <v>267</v>
      </c>
      <c r="U125">
        <v>49.44633003749999</v>
      </c>
      <c r="V125">
        <v>87.539999999999992</v>
      </c>
      <c r="W125" t="s">
        <v>573</v>
      </c>
      <c r="X125">
        <v>2130587.8400000003</v>
      </c>
      <c r="Y125" t="s">
        <v>374</v>
      </c>
      <c r="Z125" t="s">
        <v>333</v>
      </c>
      <c r="AA125" t="s">
        <v>336</v>
      </c>
      <c r="AB125" t="s">
        <v>401</v>
      </c>
      <c r="AC125">
        <v>19.46</v>
      </c>
      <c r="AD125">
        <v>0.26892086609234772</v>
      </c>
      <c r="AE125">
        <v>0.25567014184941494</v>
      </c>
    </row>
    <row r="126" spans="1:31" x14ac:dyDescent="0.25">
      <c r="A126" t="s">
        <v>151</v>
      </c>
      <c r="B126" t="s">
        <v>574</v>
      </c>
      <c r="C126">
        <v>0</v>
      </c>
      <c r="D126">
        <v>135402.41428571427</v>
      </c>
      <c r="E126">
        <v>385396.07961206889</v>
      </c>
      <c r="F126">
        <v>2.2630423751291104</v>
      </c>
      <c r="G126">
        <v>17.715</v>
      </c>
      <c r="H126" t="s">
        <v>267</v>
      </c>
      <c r="I126">
        <v>95576.76470588235</v>
      </c>
      <c r="J126">
        <v>-1</v>
      </c>
      <c r="K126" t="s">
        <v>575</v>
      </c>
      <c r="L126" t="s">
        <v>267</v>
      </c>
      <c r="M126">
        <v>1.5</v>
      </c>
      <c r="N126">
        <v>-10.185230000000001</v>
      </c>
      <c r="O126">
        <v>-8.3016000000000005</v>
      </c>
      <c r="P126">
        <v>-8.5106369999999991</v>
      </c>
      <c r="Q126" t="s">
        <v>576</v>
      </c>
      <c r="R126" t="s">
        <v>575</v>
      </c>
      <c r="S126">
        <v>195679.4</v>
      </c>
      <c r="T126" t="s">
        <v>267</v>
      </c>
      <c r="U126">
        <v>-46.28772</v>
      </c>
      <c r="V126">
        <v>19.695</v>
      </c>
      <c r="W126" t="s">
        <v>575</v>
      </c>
      <c r="X126">
        <v>361902.83999999997</v>
      </c>
      <c r="Y126" t="s">
        <v>269</v>
      </c>
      <c r="Z126" t="s">
        <v>270</v>
      </c>
      <c r="AA126" t="s">
        <v>271</v>
      </c>
      <c r="AB126" t="s">
        <v>272</v>
      </c>
      <c r="AC126">
        <v>12.04</v>
      </c>
      <c r="AD126">
        <v>0.23384634089133116</v>
      </c>
      <c r="AE126">
        <v>0.23968344652212831</v>
      </c>
    </row>
    <row r="127" spans="1:31" x14ac:dyDescent="0.25">
      <c r="A127" t="s">
        <v>152</v>
      </c>
      <c r="B127" t="s">
        <v>577</v>
      </c>
      <c r="C127">
        <v>0</v>
      </c>
      <c r="D127">
        <v>416365.61052631575</v>
      </c>
      <c r="E127">
        <v>318862.56407407427</v>
      </c>
      <c r="F127">
        <v>35.466169020000002</v>
      </c>
      <c r="G127">
        <v>278.64069999999998</v>
      </c>
      <c r="H127" t="s">
        <v>267</v>
      </c>
      <c r="I127">
        <v>227313.77894736841</v>
      </c>
      <c r="J127">
        <v>-1</v>
      </c>
      <c r="K127" t="s">
        <v>578</v>
      </c>
      <c r="L127" t="s">
        <v>267</v>
      </c>
      <c r="M127">
        <v>0.247</v>
      </c>
      <c r="N127">
        <v>1.8044899999999999</v>
      </c>
      <c r="O127">
        <v>2.5045540000000002</v>
      </c>
      <c r="P127">
        <v>0.13345199999999999</v>
      </c>
      <c r="Q127" t="s">
        <v>578</v>
      </c>
      <c r="R127" t="s">
        <v>578</v>
      </c>
      <c r="S127">
        <v>633158.40000000002</v>
      </c>
      <c r="T127" t="s">
        <v>267</v>
      </c>
      <c r="U127">
        <v>247.39773383210996</v>
      </c>
      <c r="V127">
        <v>454.572</v>
      </c>
      <c r="W127" t="s">
        <v>578</v>
      </c>
      <c r="X127">
        <v>2136501.4166666665</v>
      </c>
      <c r="Y127" t="s">
        <v>310</v>
      </c>
      <c r="Z127" t="s">
        <v>333</v>
      </c>
      <c r="AA127" t="s">
        <v>307</v>
      </c>
      <c r="AB127" t="s">
        <v>485</v>
      </c>
      <c r="AC127">
        <v>1125.5</v>
      </c>
      <c r="AD127">
        <v>0.17635621602709645</v>
      </c>
      <c r="AE127">
        <v>0.23008606124129058</v>
      </c>
    </row>
    <row r="128" spans="1:31" x14ac:dyDescent="0.25">
      <c r="A128" t="s">
        <v>153</v>
      </c>
      <c r="B128" t="s">
        <v>579</v>
      </c>
      <c r="C128">
        <v>0</v>
      </c>
      <c r="D128">
        <v>51243.833333333336</v>
      </c>
      <c r="E128">
        <v>446297.59831775684</v>
      </c>
      <c r="F128">
        <v>1.1124556203057854</v>
      </c>
      <c r="G128">
        <v>8.8260000000000005</v>
      </c>
      <c r="H128" t="s">
        <v>267</v>
      </c>
      <c r="I128">
        <v>85760.416666666657</v>
      </c>
      <c r="J128">
        <v>-1</v>
      </c>
      <c r="K128" t="s">
        <v>403</v>
      </c>
      <c r="L128" t="s">
        <v>267</v>
      </c>
      <c r="M128">
        <v>9.9999999999999992E-2</v>
      </c>
      <c r="N128">
        <v>8.4674600000000009</v>
      </c>
      <c r="O128">
        <v>5.9317979999999997</v>
      </c>
      <c r="P128">
        <v>-11.301019999999999</v>
      </c>
      <c r="Q128" t="s">
        <v>403</v>
      </c>
      <c r="R128" t="s">
        <v>403</v>
      </c>
      <c r="S128">
        <v>47166.62</v>
      </c>
      <c r="T128" t="s">
        <v>267</v>
      </c>
      <c r="U128">
        <v>-22.371165000000001</v>
      </c>
      <c r="V128">
        <v>8.3280000000000012</v>
      </c>
      <c r="W128" t="s">
        <v>403</v>
      </c>
      <c r="X128">
        <v>20007.812727272725</v>
      </c>
      <c r="Y128" t="s">
        <v>310</v>
      </c>
      <c r="Z128" t="s">
        <v>270</v>
      </c>
      <c r="AA128" t="s">
        <v>371</v>
      </c>
      <c r="AB128" t="s">
        <v>272</v>
      </c>
      <c r="AC128">
        <v>88.22</v>
      </c>
      <c r="AD128">
        <v>0.48236181912312276</v>
      </c>
      <c r="AE128">
        <v>0.53425628007652803</v>
      </c>
    </row>
    <row r="129" spans="1:31" x14ac:dyDescent="0.25">
      <c r="A129" t="s">
        <v>154</v>
      </c>
      <c r="B129" t="s">
        <v>580</v>
      </c>
      <c r="C129">
        <v>0</v>
      </c>
      <c r="D129">
        <v>242491.0263157895</v>
      </c>
      <c r="E129" t="s">
        <v>267</v>
      </c>
      <c r="F129">
        <v>78.755970870047548</v>
      </c>
      <c r="G129">
        <v>606.76775600000008</v>
      </c>
      <c r="H129" t="s">
        <v>267</v>
      </c>
      <c r="I129" t="s">
        <v>267</v>
      </c>
      <c r="J129" t="s">
        <v>31</v>
      </c>
      <c r="K129" t="s">
        <v>581</v>
      </c>
      <c r="L129" t="s">
        <v>267</v>
      </c>
      <c r="M129">
        <v>84.744100000000003</v>
      </c>
      <c r="N129" t="s">
        <v>267</v>
      </c>
      <c r="O129" t="s">
        <v>267</v>
      </c>
      <c r="P129">
        <v>-10.03717</v>
      </c>
      <c r="Q129" t="s">
        <v>582</v>
      </c>
      <c r="R129" t="s">
        <v>581</v>
      </c>
      <c r="S129">
        <v>506893</v>
      </c>
      <c r="T129" t="s">
        <v>267</v>
      </c>
      <c r="U129" t="s">
        <v>267</v>
      </c>
      <c r="V129" t="s">
        <v>267</v>
      </c>
      <c r="W129" t="s">
        <v>581</v>
      </c>
      <c r="X129" t="s">
        <v>267</v>
      </c>
      <c r="Y129" t="s">
        <v>284</v>
      </c>
      <c r="Z129" t="s">
        <v>270</v>
      </c>
      <c r="AA129" t="s">
        <v>294</v>
      </c>
      <c r="AB129" t="s">
        <v>272</v>
      </c>
      <c r="AC129">
        <v>7.26</v>
      </c>
      <c r="AD129">
        <v>0.46013882573481563</v>
      </c>
      <c r="AE129">
        <v>0.54793662640546248</v>
      </c>
    </row>
    <row r="130" spans="1:31" x14ac:dyDescent="0.25">
      <c r="A130" t="s">
        <v>155</v>
      </c>
      <c r="B130" t="s">
        <v>583</v>
      </c>
      <c r="C130">
        <v>0</v>
      </c>
      <c r="D130">
        <v>293900.9499999999</v>
      </c>
      <c r="E130">
        <v>186824.89690909086</v>
      </c>
      <c r="F130">
        <v>12.999069458435876</v>
      </c>
      <c r="G130">
        <v>101.791</v>
      </c>
      <c r="H130" t="s">
        <v>267</v>
      </c>
      <c r="I130">
        <v>201115.16095238095</v>
      </c>
      <c r="J130">
        <v>-1</v>
      </c>
      <c r="K130" t="s">
        <v>338</v>
      </c>
      <c r="L130" t="s">
        <v>267</v>
      </c>
      <c r="M130">
        <v>6.85</v>
      </c>
      <c r="N130">
        <v>1.4473100000000001</v>
      </c>
      <c r="O130">
        <v>-0.40053100000000003</v>
      </c>
      <c r="P130">
        <v>0.67476590000000003</v>
      </c>
      <c r="Q130" t="s">
        <v>338</v>
      </c>
      <c r="R130" t="s">
        <v>338</v>
      </c>
      <c r="S130">
        <v>612676.80000000005</v>
      </c>
      <c r="T130" t="s">
        <v>267</v>
      </c>
      <c r="U130">
        <v>-71.494000000000014</v>
      </c>
      <c r="V130">
        <v>98.119</v>
      </c>
      <c r="W130" t="s">
        <v>338</v>
      </c>
      <c r="X130">
        <v>66770.452173913043</v>
      </c>
      <c r="Y130" t="s">
        <v>284</v>
      </c>
      <c r="Z130" t="s">
        <v>270</v>
      </c>
      <c r="AA130" t="s">
        <v>339</v>
      </c>
      <c r="AB130" t="s">
        <v>428</v>
      </c>
      <c r="AC130">
        <v>14.92</v>
      </c>
      <c r="AD130">
        <v>0.3124924335150282</v>
      </c>
      <c r="AE130">
        <v>0.70552294717455344</v>
      </c>
    </row>
    <row r="131" spans="1:31" x14ac:dyDescent="0.25">
      <c r="A131" t="s">
        <v>156</v>
      </c>
      <c r="B131" t="s">
        <v>584</v>
      </c>
      <c r="C131">
        <v>0</v>
      </c>
      <c r="D131">
        <v>181004.78636363635</v>
      </c>
      <c r="E131">
        <v>320356.77339449542</v>
      </c>
      <c r="F131">
        <v>14.96</v>
      </c>
      <c r="G131">
        <v>14.757000000000001</v>
      </c>
      <c r="H131" t="s">
        <v>267</v>
      </c>
      <c r="I131">
        <v>377817.59444444446</v>
      </c>
      <c r="J131">
        <v>-1</v>
      </c>
      <c r="K131" t="s">
        <v>585</v>
      </c>
      <c r="L131" t="s">
        <v>267</v>
      </c>
      <c r="M131">
        <v>0.02</v>
      </c>
      <c r="N131">
        <v>2.7680720000000001</v>
      </c>
      <c r="O131">
        <v>-0.1218175</v>
      </c>
      <c r="P131">
        <v>2.3510629999999999</v>
      </c>
      <c r="Q131" t="s">
        <v>585</v>
      </c>
      <c r="R131" t="s">
        <v>585</v>
      </c>
      <c r="S131">
        <v>113065.1</v>
      </c>
      <c r="T131" t="s">
        <v>267</v>
      </c>
      <c r="U131">
        <v>24.536682000000006</v>
      </c>
      <c r="V131">
        <v>14.776</v>
      </c>
      <c r="W131" t="s">
        <v>585</v>
      </c>
      <c r="X131" t="s">
        <v>267</v>
      </c>
      <c r="Y131" t="s">
        <v>284</v>
      </c>
      <c r="Z131" t="s">
        <v>270</v>
      </c>
      <c r="AA131" t="s">
        <v>336</v>
      </c>
      <c r="AB131" t="s">
        <v>428</v>
      </c>
      <c r="AC131">
        <v>737.9</v>
      </c>
      <c r="AD131">
        <v>0.39844455009210794</v>
      </c>
      <c r="AE131">
        <v>0.85793485645859602</v>
      </c>
    </row>
    <row r="132" spans="1:31" x14ac:dyDescent="0.25">
      <c r="A132" t="s">
        <v>157</v>
      </c>
      <c r="B132" t="s">
        <v>586</v>
      </c>
      <c r="C132">
        <v>0</v>
      </c>
      <c r="D132">
        <v>240234.61111111112</v>
      </c>
      <c r="E132">
        <v>245056.91962441307</v>
      </c>
      <c r="F132">
        <v>2.8597271368638495</v>
      </c>
      <c r="G132">
        <v>22.566500000000001</v>
      </c>
      <c r="H132" t="s">
        <v>267</v>
      </c>
      <c r="I132">
        <v>182615.30000000002</v>
      </c>
      <c r="J132">
        <v>-1</v>
      </c>
      <c r="K132" t="s">
        <v>391</v>
      </c>
      <c r="L132" t="s">
        <v>267</v>
      </c>
      <c r="M132">
        <v>0.27499999999999997</v>
      </c>
      <c r="N132">
        <v>6.0550680000000003</v>
      </c>
      <c r="O132">
        <v>5.5641030000000002</v>
      </c>
      <c r="P132">
        <v>-6.3253709999999996</v>
      </c>
      <c r="Q132" t="s">
        <v>391</v>
      </c>
      <c r="R132" t="s">
        <v>391</v>
      </c>
      <c r="S132">
        <v>364985.3</v>
      </c>
      <c r="T132" t="s">
        <v>267</v>
      </c>
      <c r="U132">
        <v>6.1246599999999951</v>
      </c>
      <c r="V132">
        <v>11.7</v>
      </c>
      <c r="W132" t="s">
        <v>391</v>
      </c>
      <c r="X132">
        <v>330723.52166666661</v>
      </c>
      <c r="Y132" t="s">
        <v>310</v>
      </c>
      <c r="Z132" t="s">
        <v>270</v>
      </c>
      <c r="AA132" t="s">
        <v>381</v>
      </c>
      <c r="AB132" t="s">
        <v>272</v>
      </c>
      <c r="AC132">
        <v>82.34</v>
      </c>
      <c r="AD132">
        <v>0.43038864001137839</v>
      </c>
      <c r="AE132">
        <v>0.48882698640607802</v>
      </c>
    </row>
    <row r="133" spans="1:31" x14ac:dyDescent="0.25">
      <c r="A133" t="s">
        <v>158</v>
      </c>
      <c r="B133" t="s">
        <v>587</v>
      </c>
      <c r="C133">
        <v>0</v>
      </c>
      <c r="D133">
        <v>2519451.1315789479</v>
      </c>
      <c r="E133">
        <v>575211.65121951245</v>
      </c>
      <c r="F133">
        <v>153.369477402819</v>
      </c>
      <c r="G133">
        <v>1199.7549999999999</v>
      </c>
      <c r="H133" t="s">
        <v>267</v>
      </c>
      <c r="I133">
        <v>849136.47619047621</v>
      </c>
      <c r="J133">
        <v>-1</v>
      </c>
      <c r="K133" t="s">
        <v>588</v>
      </c>
      <c r="L133" t="s">
        <v>267</v>
      </c>
      <c r="M133">
        <v>8.65</v>
      </c>
      <c r="N133">
        <v>37.77111</v>
      </c>
      <c r="O133">
        <v>35.073169999999998</v>
      </c>
      <c r="P133">
        <v>3.669035</v>
      </c>
      <c r="Q133" t="s">
        <v>588</v>
      </c>
      <c r="R133" t="s">
        <v>588</v>
      </c>
      <c r="S133">
        <v>1729632</v>
      </c>
      <c r="T133" t="s">
        <v>267</v>
      </c>
      <c r="U133">
        <v>-2.9789190308777034</v>
      </c>
      <c r="V133">
        <v>87.125</v>
      </c>
      <c r="W133" t="s">
        <v>588</v>
      </c>
      <c r="X133">
        <v>2129089.6720000003</v>
      </c>
      <c r="Y133" t="s">
        <v>279</v>
      </c>
      <c r="Z133" t="s">
        <v>380</v>
      </c>
      <c r="AA133" t="s">
        <v>381</v>
      </c>
      <c r="AB133" t="s">
        <v>272</v>
      </c>
      <c r="AC133">
        <v>138.44999999999999</v>
      </c>
      <c r="AD133">
        <v>0.16401965896710552</v>
      </c>
      <c r="AE133">
        <v>0.18904810744776387</v>
      </c>
    </row>
    <row r="134" spans="1:31" x14ac:dyDescent="0.25">
      <c r="A134" t="s">
        <v>159</v>
      </c>
      <c r="B134" t="s">
        <v>589</v>
      </c>
      <c r="C134">
        <v>0</v>
      </c>
      <c r="D134">
        <v>52961.15</v>
      </c>
      <c r="E134">
        <v>247484.34920634923</v>
      </c>
      <c r="F134" t="s">
        <v>267</v>
      </c>
      <c r="G134">
        <v>7.84</v>
      </c>
      <c r="H134" t="s">
        <v>267</v>
      </c>
      <c r="I134">
        <v>184468.4</v>
      </c>
      <c r="J134" t="s">
        <v>31</v>
      </c>
      <c r="K134" t="s">
        <v>590</v>
      </c>
      <c r="L134" t="s">
        <v>267</v>
      </c>
      <c r="M134">
        <v>0.01</v>
      </c>
      <c r="N134">
        <v>0.48593419999999998</v>
      </c>
      <c r="O134">
        <v>-0.70921679999999998</v>
      </c>
      <c r="P134">
        <v>1.29199</v>
      </c>
      <c r="Q134" t="s">
        <v>324</v>
      </c>
      <c r="R134" t="s">
        <v>590</v>
      </c>
      <c r="S134">
        <v>17622.830000000002</v>
      </c>
      <c r="T134" t="s">
        <v>267</v>
      </c>
      <c r="U134">
        <v>0</v>
      </c>
      <c r="V134">
        <v>7.8960000000000008</v>
      </c>
      <c r="W134" t="s">
        <v>590</v>
      </c>
      <c r="X134">
        <v>635535.5</v>
      </c>
      <c r="Y134" t="s">
        <v>370</v>
      </c>
      <c r="Z134" t="s">
        <v>270</v>
      </c>
      <c r="AA134" t="s">
        <v>336</v>
      </c>
      <c r="AB134" t="s">
        <v>428</v>
      </c>
      <c r="AC134">
        <v>784</v>
      </c>
      <c r="AD134">
        <v>0.36833000427985185</v>
      </c>
      <c r="AE134" t="s">
        <v>267</v>
      </c>
    </row>
    <row r="135" spans="1:31" x14ac:dyDescent="0.25">
      <c r="A135" t="s">
        <v>160</v>
      </c>
      <c r="B135" t="s">
        <v>591</v>
      </c>
      <c r="C135">
        <v>0</v>
      </c>
      <c r="D135">
        <v>57477.866666666669</v>
      </c>
      <c r="E135">
        <v>136640.78014184389</v>
      </c>
      <c r="F135">
        <v>0.91992090128919535</v>
      </c>
      <c r="G135">
        <v>7.3709999999999996</v>
      </c>
      <c r="H135" t="s">
        <v>267</v>
      </c>
      <c r="I135">
        <v>131660.45000000001</v>
      </c>
      <c r="J135">
        <v>-1</v>
      </c>
      <c r="K135" t="s">
        <v>592</v>
      </c>
      <c r="L135" t="s">
        <v>267</v>
      </c>
      <c r="M135">
        <v>0.15</v>
      </c>
      <c r="N135">
        <v>-29.057040000000001</v>
      </c>
      <c r="O135">
        <v>-26.38298</v>
      </c>
      <c r="P135">
        <v>-10.640499999999999</v>
      </c>
      <c r="Q135" t="s">
        <v>592</v>
      </c>
      <c r="R135" t="s">
        <v>592</v>
      </c>
      <c r="S135">
        <v>21539.29</v>
      </c>
      <c r="T135" t="s">
        <v>267</v>
      </c>
      <c r="U135">
        <v>1.4977574999999996</v>
      </c>
      <c r="V135">
        <v>17.625</v>
      </c>
      <c r="W135" t="s">
        <v>592</v>
      </c>
      <c r="X135">
        <v>272810.70588235295</v>
      </c>
      <c r="Y135" t="s">
        <v>310</v>
      </c>
      <c r="Z135" t="s">
        <v>270</v>
      </c>
      <c r="AA135" t="s">
        <v>307</v>
      </c>
      <c r="AB135" t="s">
        <v>272</v>
      </c>
      <c r="AC135">
        <v>51.9</v>
      </c>
      <c r="AD135">
        <v>1.5311048146627007</v>
      </c>
      <c r="AE135">
        <v>1.5720969609664286</v>
      </c>
    </row>
    <row r="136" spans="1:31" x14ac:dyDescent="0.25">
      <c r="A136" t="s">
        <v>161</v>
      </c>
      <c r="B136" t="s">
        <v>593</v>
      </c>
      <c r="C136">
        <v>0</v>
      </c>
      <c r="D136">
        <v>2221779.2421052633</v>
      </c>
      <c r="E136">
        <v>3793968.2157201651</v>
      </c>
      <c r="F136">
        <v>105.56260200711543</v>
      </c>
      <c r="G136">
        <v>834.37200000000007</v>
      </c>
      <c r="H136" t="s">
        <v>267</v>
      </c>
      <c r="I136">
        <v>1639348.661904762</v>
      </c>
      <c r="J136">
        <v>-1</v>
      </c>
      <c r="K136" t="s">
        <v>594</v>
      </c>
      <c r="L136" t="s">
        <v>267</v>
      </c>
      <c r="M136">
        <v>25.799999999999997</v>
      </c>
      <c r="N136">
        <v>23.836220000000001</v>
      </c>
      <c r="O136">
        <v>21.278189999999999</v>
      </c>
      <c r="P136">
        <v>1.5103819999999999</v>
      </c>
      <c r="Q136" t="s">
        <v>335</v>
      </c>
      <c r="R136" t="s">
        <v>594</v>
      </c>
      <c r="S136">
        <v>1421136</v>
      </c>
      <c r="T136" t="s">
        <v>267</v>
      </c>
      <c r="U136">
        <v>-1197.7813699999995</v>
      </c>
      <c r="V136">
        <v>558.6</v>
      </c>
      <c r="W136" t="s">
        <v>594</v>
      </c>
      <c r="X136">
        <v>5830472.8000000017</v>
      </c>
      <c r="Y136" t="s">
        <v>284</v>
      </c>
      <c r="Z136" t="s">
        <v>270</v>
      </c>
      <c r="AA136" t="s">
        <v>381</v>
      </c>
      <c r="AB136" t="s">
        <v>272</v>
      </c>
      <c r="AC136">
        <v>32.26</v>
      </c>
      <c r="AD136">
        <v>0.21905377338963647</v>
      </c>
      <c r="AE136">
        <v>0.2541897257858029</v>
      </c>
    </row>
    <row r="137" spans="1:31" x14ac:dyDescent="0.25">
      <c r="A137" t="s">
        <v>162</v>
      </c>
      <c r="B137" t="s">
        <v>595</v>
      </c>
      <c r="C137">
        <v>0</v>
      </c>
      <c r="D137">
        <v>1744492.9285714282</v>
      </c>
      <c r="E137">
        <v>345446.49915254238</v>
      </c>
      <c r="F137">
        <v>767.03582774444044</v>
      </c>
      <c r="G137">
        <v>307.27499999999998</v>
      </c>
      <c r="H137" t="s">
        <v>267</v>
      </c>
      <c r="I137">
        <v>103029.83749999999</v>
      </c>
      <c r="J137">
        <v>-0.99</v>
      </c>
      <c r="K137" t="s">
        <v>596</v>
      </c>
      <c r="L137" t="s">
        <v>267</v>
      </c>
      <c r="M137">
        <v>0.25</v>
      </c>
      <c r="N137">
        <v>4.0645179999999996</v>
      </c>
      <c r="O137">
        <v>4.6443279999999998</v>
      </c>
      <c r="P137">
        <v>0.1507435</v>
      </c>
      <c r="Q137" t="s">
        <v>596</v>
      </c>
      <c r="R137" t="s">
        <v>596</v>
      </c>
      <c r="S137">
        <v>321683.40000000002</v>
      </c>
      <c r="T137" t="s">
        <v>267</v>
      </c>
      <c r="U137">
        <v>-125.06864200000003</v>
      </c>
      <c r="V137">
        <v>258.40100000000001</v>
      </c>
      <c r="W137" t="s">
        <v>596</v>
      </c>
      <c r="X137">
        <v>74247.875</v>
      </c>
      <c r="Y137" t="s">
        <v>284</v>
      </c>
      <c r="Z137" t="s">
        <v>270</v>
      </c>
      <c r="AA137" t="s">
        <v>371</v>
      </c>
      <c r="AB137" t="s">
        <v>485</v>
      </c>
      <c r="AC137">
        <v>1229.0999999999999</v>
      </c>
      <c r="AD137">
        <v>0.25298424957810234</v>
      </c>
      <c r="AE137">
        <v>0.40062931474014107</v>
      </c>
    </row>
    <row r="138" spans="1:31" x14ac:dyDescent="0.25">
      <c r="A138" t="s">
        <v>163</v>
      </c>
      <c r="B138" t="s">
        <v>597</v>
      </c>
      <c r="C138">
        <v>0</v>
      </c>
      <c r="D138">
        <v>294502.45333333337</v>
      </c>
      <c r="E138">
        <v>382459.60367567569</v>
      </c>
      <c r="F138">
        <v>15.836895053620839</v>
      </c>
      <c r="G138">
        <v>123.79499999999999</v>
      </c>
      <c r="H138" t="s">
        <v>267</v>
      </c>
      <c r="I138">
        <v>290793.77777777775</v>
      </c>
      <c r="J138">
        <v>-1</v>
      </c>
      <c r="K138" t="s">
        <v>594</v>
      </c>
      <c r="L138" t="s">
        <v>267</v>
      </c>
      <c r="M138">
        <v>6.3</v>
      </c>
      <c r="N138">
        <v>7.8092100000000002</v>
      </c>
      <c r="O138">
        <v>7.8932989999999998</v>
      </c>
      <c r="P138">
        <v>3.2291629999999998</v>
      </c>
      <c r="Q138" t="s">
        <v>335</v>
      </c>
      <c r="R138" t="s">
        <v>594</v>
      </c>
      <c r="S138">
        <v>355418.3</v>
      </c>
      <c r="T138" t="s">
        <v>267</v>
      </c>
      <c r="U138">
        <v>-142.57753000000002</v>
      </c>
      <c r="V138">
        <v>115.73100000000001</v>
      </c>
      <c r="W138" t="s">
        <v>594</v>
      </c>
      <c r="X138">
        <v>135895.66666666669</v>
      </c>
      <c r="Y138" t="s">
        <v>284</v>
      </c>
      <c r="Z138" t="s">
        <v>270</v>
      </c>
      <c r="AA138" t="s">
        <v>598</v>
      </c>
      <c r="AB138" t="s">
        <v>272</v>
      </c>
      <c r="AC138">
        <v>19.82</v>
      </c>
      <c r="AD138">
        <v>0.55795029277900365</v>
      </c>
      <c r="AE138">
        <v>0.89626464230746417</v>
      </c>
    </row>
    <row r="139" spans="1:31" x14ac:dyDescent="0.25">
      <c r="A139" t="s">
        <v>164</v>
      </c>
      <c r="B139" t="s">
        <v>599</v>
      </c>
      <c r="C139">
        <v>0</v>
      </c>
      <c r="D139">
        <v>327898.84615384619</v>
      </c>
      <c r="E139">
        <v>257348.71950617275</v>
      </c>
      <c r="F139">
        <v>54.461295964091242</v>
      </c>
      <c r="G139">
        <v>426.6</v>
      </c>
      <c r="H139" t="s">
        <v>267</v>
      </c>
      <c r="I139">
        <v>77213.293333333335</v>
      </c>
      <c r="J139">
        <v>-1</v>
      </c>
      <c r="K139" t="s">
        <v>600</v>
      </c>
      <c r="L139" t="s">
        <v>267</v>
      </c>
      <c r="M139">
        <v>7.8999999999999995</v>
      </c>
      <c r="N139">
        <v>-19.070250000000001</v>
      </c>
      <c r="O139">
        <v>-18.940280000000001</v>
      </c>
      <c r="P139">
        <v>-9.3913600000000006</v>
      </c>
      <c r="Q139" t="s">
        <v>600</v>
      </c>
      <c r="R139" t="s">
        <v>600</v>
      </c>
      <c r="S139">
        <v>155865.29999999999</v>
      </c>
      <c r="T139" t="s">
        <v>267</v>
      </c>
      <c r="U139">
        <v>-88.452949999999973</v>
      </c>
      <c r="V139">
        <v>614.87999999999988</v>
      </c>
      <c r="W139" t="s">
        <v>600</v>
      </c>
      <c r="X139">
        <v>78346.621538461535</v>
      </c>
      <c r="Y139" t="s">
        <v>279</v>
      </c>
      <c r="Z139" t="s">
        <v>270</v>
      </c>
      <c r="AA139" t="s">
        <v>371</v>
      </c>
      <c r="AB139" t="s">
        <v>272</v>
      </c>
      <c r="AC139">
        <v>55.38</v>
      </c>
      <c r="AD139">
        <v>0.43210637190794171</v>
      </c>
      <c r="AE139">
        <v>0.49935847967205133</v>
      </c>
    </row>
    <row r="140" spans="1:31" x14ac:dyDescent="0.25">
      <c r="A140" t="s">
        <v>165</v>
      </c>
      <c r="B140" t="s">
        <v>601</v>
      </c>
      <c r="C140">
        <v>0</v>
      </c>
      <c r="D140">
        <v>674150.92105263169</v>
      </c>
      <c r="E140" t="s">
        <v>267</v>
      </c>
      <c r="F140">
        <v>59.646419480751319</v>
      </c>
      <c r="G140">
        <v>463.29499999999996</v>
      </c>
      <c r="H140" t="s">
        <v>267</v>
      </c>
      <c r="I140" t="s">
        <v>267</v>
      </c>
      <c r="J140" t="s">
        <v>31</v>
      </c>
      <c r="K140" t="s">
        <v>602</v>
      </c>
      <c r="L140" t="s">
        <v>267</v>
      </c>
      <c r="M140">
        <v>61</v>
      </c>
      <c r="N140" t="s">
        <v>267</v>
      </c>
      <c r="O140" t="s">
        <v>267</v>
      </c>
      <c r="P140">
        <v>-9.0537430000000008</v>
      </c>
      <c r="Q140" t="s">
        <v>603</v>
      </c>
      <c r="R140" t="s">
        <v>602</v>
      </c>
      <c r="S140">
        <v>1039106</v>
      </c>
      <c r="T140" t="s">
        <v>267</v>
      </c>
      <c r="U140" t="s">
        <v>267</v>
      </c>
      <c r="V140" t="s">
        <v>267</v>
      </c>
      <c r="W140" t="s">
        <v>602</v>
      </c>
      <c r="X140" t="s">
        <v>267</v>
      </c>
      <c r="Y140" t="s">
        <v>400</v>
      </c>
      <c r="Z140" t="s">
        <v>270</v>
      </c>
      <c r="AA140" t="s">
        <v>294</v>
      </c>
      <c r="AB140" t="s">
        <v>272</v>
      </c>
      <c r="AC140">
        <v>7.7850000000000001</v>
      </c>
      <c r="AD140">
        <v>0.42351191617630346</v>
      </c>
      <c r="AE140">
        <v>0.49020602619276249</v>
      </c>
    </row>
    <row r="141" spans="1:31" x14ac:dyDescent="0.25">
      <c r="A141" t="s">
        <v>166</v>
      </c>
      <c r="B141" t="s">
        <v>604</v>
      </c>
      <c r="C141">
        <v>0</v>
      </c>
      <c r="D141">
        <v>10727237.210526315</v>
      </c>
      <c r="E141" t="s">
        <v>267</v>
      </c>
      <c r="F141">
        <v>152.35136577</v>
      </c>
      <c r="G141">
        <v>1180.7075</v>
      </c>
      <c r="H141" t="s">
        <v>267</v>
      </c>
      <c r="I141">
        <v>231690250</v>
      </c>
      <c r="J141">
        <v>-1</v>
      </c>
      <c r="K141" t="s">
        <v>605</v>
      </c>
      <c r="L141" t="s">
        <v>267</v>
      </c>
      <c r="M141">
        <v>92.75</v>
      </c>
      <c r="N141" t="s">
        <v>267</v>
      </c>
      <c r="O141" t="s">
        <v>267</v>
      </c>
      <c r="P141">
        <v>-10.279719999999999</v>
      </c>
      <c r="Q141" t="s">
        <v>606</v>
      </c>
      <c r="R141" t="s">
        <v>605</v>
      </c>
      <c r="S141">
        <v>12414840</v>
      </c>
      <c r="T141" t="s">
        <v>267</v>
      </c>
      <c r="U141" t="s">
        <v>267</v>
      </c>
      <c r="V141" t="s">
        <v>267</v>
      </c>
      <c r="W141" t="s">
        <v>605</v>
      </c>
      <c r="X141" t="s">
        <v>267</v>
      </c>
      <c r="Y141" t="s">
        <v>269</v>
      </c>
      <c r="Z141" t="s">
        <v>333</v>
      </c>
      <c r="AA141" t="s">
        <v>307</v>
      </c>
      <c r="AB141" t="s">
        <v>495</v>
      </c>
      <c r="AC141">
        <v>12.83</v>
      </c>
      <c r="AD141">
        <v>0.11652208292796311</v>
      </c>
      <c r="AE141">
        <v>0.12979873675782688</v>
      </c>
    </row>
    <row r="142" spans="1:31" x14ac:dyDescent="0.25">
      <c r="A142" t="s">
        <v>167</v>
      </c>
      <c r="B142" t="s">
        <v>607</v>
      </c>
      <c r="C142">
        <v>0</v>
      </c>
      <c r="D142">
        <v>546886.6315789473</v>
      </c>
      <c r="E142">
        <v>1373732.5641242939</v>
      </c>
      <c r="F142">
        <v>125.89691144105188</v>
      </c>
      <c r="G142">
        <v>981.92499999999995</v>
      </c>
      <c r="H142" t="s">
        <v>267</v>
      </c>
      <c r="I142">
        <v>101507.84722222222</v>
      </c>
      <c r="J142">
        <v>-1</v>
      </c>
      <c r="K142" t="s">
        <v>608</v>
      </c>
      <c r="L142" t="s">
        <v>267</v>
      </c>
      <c r="M142">
        <v>90.5</v>
      </c>
      <c r="N142">
        <v>12.452590000000001</v>
      </c>
      <c r="O142">
        <v>19.829419999999999</v>
      </c>
      <c r="P142">
        <v>2.7422339999999998</v>
      </c>
      <c r="Q142" t="s">
        <v>609</v>
      </c>
      <c r="R142" t="s">
        <v>608</v>
      </c>
      <c r="S142">
        <v>311999</v>
      </c>
      <c r="T142" t="s">
        <v>267</v>
      </c>
      <c r="U142">
        <v>-254.49867667239513</v>
      </c>
      <c r="V142">
        <v>825.44</v>
      </c>
      <c r="W142" t="s">
        <v>608</v>
      </c>
      <c r="X142">
        <v>207988.39500000002</v>
      </c>
      <c r="Y142" t="s">
        <v>330</v>
      </c>
      <c r="Z142" t="s">
        <v>384</v>
      </c>
      <c r="AA142" t="s">
        <v>275</v>
      </c>
      <c r="AB142" t="s">
        <v>272</v>
      </c>
      <c r="AC142">
        <v>11.24</v>
      </c>
      <c r="AD142">
        <v>0.37590180674480667</v>
      </c>
      <c r="AE142">
        <v>0.42589075785131741</v>
      </c>
    </row>
    <row r="143" spans="1:31" x14ac:dyDescent="0.25">
      <c r="A143" t="s">
        <v>168</v>
      </c>
      <c r="B143" t="s">
        <v>610</v>
      </c>
      <c r="C143">
        <v>0</v>
      </c>
      <c r="D143">
        <v>8789032.7894736845</v>
      </c>
      <c r="E143">
        <v>2137001.2491869922</v>
      </c>
      <c r="F143">
        <v>93.852175007969791</v>
      </c>
      <c r="G143">
        <v>734.67981140000006</v>
      </c>
      <c r="H143" t="s">
        <v>267</v>
      </c>
      <c r="I143">
        <v>7015262.6190476185</v>
      </c>
      <c r="J143">
        <v>-1</v>
      </c>
      <c r="K143" t="s">
        <v>611</v>
      </c>
      <c r="L143" t="s">
        <v>267</v>
      </c>
      <c r="M143">
        <v>253.86309999999997</v>
      </c>
      <c r="N143">
        <v>-14.9146</v>
      </c>
      <c r="O143">
        <v>-9.1974230000000006</v>
      </c>
      <c r="P143">
        <v>-3.8461530000000002</v>
      </c>
      <c r="Q143" t="s">
        <v>611</v>
      </c>
      <c r="R143" t="s">
        <v>611</v>
      </c>
      <c r="S143">
        <v>6757942</v>
      </c>
      <c r="T143" t="s">
        <v>267</v>
      </c>
      <c r="U143">
        <v>1.1824200000000447</v>
      </c>
      <c r="V143">
        <v>816.50282340000001</v>
      </c>
      <c r="W143" t="s">
        <v>611</v>
      </c>
      <c r="X143">
        <v>133220.48000000001</v>
      </c>
      <c r="Y143" t="s">
        <v>279</v>
      </c>
      <c r="Z143" t="s">
        <v>270</v>
      </c>
      <c r="AA143" t="s">
        <v>371</v>
      </c>
      <c r="AB143" t="s">
        <v>272</v>
      </c>
      <c r="AC143">
        <v>3.1</v>
      </c>
      <c r="AD143">
        <v>0.14372027331889337</v>
      </c>
      <c r="AE143">
        <v>0.14563997181242219</v>
      </c>
    </row>
    <row r="144" spans="1:31" x14ac:dyDescent="0.25">
      <c r="A144" t="s">
        <v>169</v>
      </c>
      <c r="B144" t="s">
        <v>612</v>
      </c>
      <c r="C144">
        <v>0</v>
      </c>
      <c r="D144">
        <v>7081290.9473684216</v>
      </c>
      <c r="E144">
        <v>3006732.0715447175</v>
      </c>
      <c r="F144">
        <v>44.007228242435055</v>
      </c>
      <c r="G144">
        <v>356.40000000000003</v>
      </c>
      <c r="H144" t="s">
        <v>267</v>
      </c>
      <c r="I144">
        <v>2998825.5714285718</v>
      </c>
      <c r="J144">
        <v>-1</v>
      </c>
      <c r="K144" t="s">
        <v>613</v>
      </c>
      <c r="L144" t="s">
        <v>267</v>
      </c>
      <c r="M144">
        <v>40.25</v>
      </c>
      <c r="N144" t="s">
        <v>267</v>
      </c>
      <c r="O144">
        <v>41.646090000000001</v>
      </c>
      <c r="P144">
        <v>-17.100190000000001</v>
      </c>
      <c r="Q144" t="s">
        <v>613</v>
      </c>
      <c r="R144" t="s">
        <v>613</v>
      </c>
      <c r="S144">
        <v>14266470</v>
      </c>
      <c r="T144" t="s">
        <v>267</v>
      </c>
      <c r="U144">
        <v>-91.873400000000004</v>
      </c>
      <c r="V144">
        <v>372.09375</v>
      </c>
      <c r="W144" t="s">
        <v>613</v>
      </c>
      <c r="X144">
        <v>1532090.42</v>
      </c>
      <c r="Y144" t="s">
        <v>374</v>
      </c>
      <c r="Z144" t="s">
        <v>270</v>
      </c>
      <c r="AA144" t="s">
        <v>307</v>
      </c>
      <c r="AB144" t="s">
        <v>495</v>
      </c>
      <c r="AC144">
        <v>8.6050000000000004</v>
      </c>
      <c r="AD144">
        <v>0.17285490228233391</v>
      </c>
      <c r="AE144">
        <v>0.18244502883902985</v>
      </c>
    </row>
    <row r="145" spans="1:31" x14ac:dyDescent="0.25">
      <c r="A145" t="s">
        <v>170</v>
      </c>
      <c r="B145" t="s">
        <v>614</v>
      </c>
      <c r="C145">
        <v>0</v>
      </c>
      <c r="D145">
        <v>345087.5</v>
      </c>
      <c r="E145" t="s">
        <v>267</v>
      </c>
      <c r="F145">
        <v>145.51438601000001</v>
      </c>
      <c r="G145">
        <v>3.1816</v>
      </c>
      <c r="H145" t="s">
        <v>267</v>
      </c>
      <c r="I145" t="s">
        <v>267</v>
      </c>
      <c r="J145" t="s">
        <v>31</v>
      </c>
      <c r="K145" t="s">
        <v>606</v>
      </c>
      <c r="L145" t="s">
        <v>267</v>
      </c>
      <c r="M145">
        <v>3.9999999999999996E-4</v>
      </c>
      <c r="N145" t="s">
        <v>267</v>
      </c>
      <c r="O145" t="s">
        <v>267</v>
      </c>
      <c r="P145">
        <v>0.66910740000000002</v>
      </c>
      <c r="Q145" t="s">
        <v>606</v>
      </c>
      <c r="R145" t="s">
        <v>606</v>
      </c>
      <c r="S145">
        <v>24265.34</v>
      </c>
      <c r="T145" t="s">
        <v>267</v>
      </c>
      <c r="U145" t="s">
        <v>267</v>
      </c>
      <c r="V145" t="s">
        <v>267</v>
      </c>
      <c r="W145" t="s">
        <v>606</v>
      </c>
      <c r="X145" t="s">
        <v>267</v>
      </c>
      <c r="Y145" t="s">
        <v>615</v>
      </c>
      <c r="Z145" t="s">
        <v>270</v>
      </c>
      <c r="AA145" t="s">
        <v>307</v>
      </c>
      <c r="AB145" t="s">
        <v>485</v>
      </c>
      <c r="AC145">
        <v>7974</v>
      </c>
      <c r="AD145">
        <v>0.1976174044453976</v>
      </c>
      <c r="AE145">
        <v>0.2036685643884841</v>
      </c>
    </row>
    <row r="146" spans="1:31" x14ac:dyDescent="0.25">
      <c r="A146" t="s">
        <v>171</v>
      </c>
      <c r="B146" t="s">
        <v>616</v>
      </c>
      <c r="C146">
        <v>0</v>
      </c>
      <c r="D146">
        <v>928230.84611111111</v>
      </c>
      <c r="E146">
        <v>842210.73089430924</v>
      </c>
      <c r="F146">
        <v>3.5592568299999998</v>
      </c>
      <c r="G146">
        <v>27.87</v>
      </c>
      <c r="H146" t="s">
        <v>267</v>
      </c>
      <c r="I146">
        <v>238610.42857142861</v>
      </c>
      <c r="J146">
        <v>-1</v>
      </c>
      <c r="K146" t="s">
        <v>399</v>
      </c>
      <c r="L146" t="s">
        <v>267</v>
      </c>
      <c r="M146">
        <v>7.5</v>
      </c>
      <c r="N146">
        <v>-47.382680000000001</v>
      </c>
      <c r="O146">
        <v>-47.13982</v>
      </c>
      <c r="P146">
        <v>-21.4346</v>
      </c>
      <c r="Q146" t="s">
        <v>399</v>
      </c>
      <c r="R146" t="s">
        <v>399</v>
      </c>
      <c r="S146">
        <v>388842.3</v>
      </c>
      <c r="T146" t="s">
        <v>267</v>
      </c>
      <c r="U146">
        <v>-30.495902895999997</v>
      </c>
      <c r="V146">
        <v>83.835499999999996</v>
      </c>
      <c r="W146" t="s">
        <v>399</v>
      </c>
      <c r="X146">
        <v>3081004.8599999994</v>
      </c>
      <c r="Y146" t="s">
        <v>400</v>
      </c>
      <c r="Z146" t="s">
        <v>270</v>
      </c>
      <c r="AA146" t="s">
        <v>307</v>
      </c>
      <c r="AB146" t="s">
        <v>401</v>
      </c>
      <c r="AC146">
        <v>3.7240000000000002</v>
      </c>
      <c r="AD146">
        <v>0.33159796741153941</v>
      </c>
      <c r="AE146">
        <v>0.36588802504846085</v>
      </c>
    </row>
    <row r="147" spans="1:31" x14ac:dyDescent="0.25">
      <c r="A147" t="s">
        <v>172</v>
      </c>
      <c r="B147" t="s">
        <v>617</v>
      </c>
      <c r="C147">
        <v>0</v>
      </c>
      <c r="D147">
        <v>85510.416666666672</v>
      </c>
      <c r="E147">
        <v>99238.829787234034</v>
      </c>
      <c r="F147">
        <v>6.3123196900000007</v>
      </c>
      <c r="G147">
        <v>49.77</v>
      </c>
      <c r="H147" t="s">
        <v>267</v>
      </c>
      <c r="I147">
        <v>101965.45454545454</v>
      </c>
      <c r="J147">
        <v>-1</v>
      </c>
      <c r="K147" t="s">
        <v>419</v>
      </c>
      <c r="L147" t="s">
        <v>267</v>
      </c>
      <c r="M147">
        <v>0.3</v>
      </c>
      <c r="N147">
        <v>42.380290000000002</v>
      </c>
      <c r="O147">
        <v>40.390210000000003</v>
      </c>
      <c r="P147">
        <v>-0.2065488</v>
      </c>
      <c r="Q147" t="s">
        <v>420</v>
      </c>
      <c r="R147" t="s">
        <v>419</v>
      </c>
      <c r="S147">
        <v>276495.2</v>
      </c>
      <c r="T147" t="s">
        <v>267</v>
      </c>
      <c r="U147">
        <v>0</v>
      </c>
      <c r="V147">
        <v>36.134999999999998</v>
      </c>
      <c r="W147" t="s">
        <v>419</v>
      </c>
      <c r="X147">
        <v>92185.8</v>
      </c>
      <c r="Y147" t="s">
        <v>330</v>
      </c>
      <c r="Z147" t="s">
        <v>270</v>
      </c>
      <c r="AA147" t="s">
        <v>303</v>
      </c>
      <c r="AB147" t="s">
        <v>272</v>
      </c>
      <c r="AC147">
        <v>169.1</v>
      </c>
      <c r="AD147">
        <v>0.52682637632378482</v>
      </c>
      <c r="AE147">
        <v>0.61184142819605136</v>
      </c>
    </row>
    <row r="148" spans="1:31" x14ac:dyDescent="0.25">
      <c r="A148" t="s">
        <v>173</v>
      </c>
      <c r="B148" t="s">
        <v>618</v>
      </c>
      <c r="C148">
        <v>0</v>
      </c>
      <c r="D148">
        <v>278156.28571428574</v>
      </c>
      <c r="E148">
        <v>110970.38554216863</v>
      </c>
      <c r="F148">
        <v>1.1011366853266342</v>
      </c>
      <c r="G148">
        <v>8.5877999999999997</v>
      </c>
      <c r="H148" t="s">
        <v>267</v>
      </c>
      <c r="I148">
        <v>32252</v>
      </c>
      <c r="J148">
        <v>-1</v>
      </c>
      <c r="K148" t="s">
        <v>619</v>
      </c>
      <c r="L148" t="s">
        <v>267</v>
      </c>
      <c r="M148">
        <v>0.77999999999999992</v>
      </c>
      <c r="N148">
        <v>-13.064249999999999</v>
      </c>
      <c r="O148">
        <v>-11.61341</v>
      </c>
      <c r="P148">
        <v>-6.0480510000000001</v>
      </c>
      <c r="Q148" t="s">
        <v>619</v>
      </c>
      <c r="R148" t="s">
        <v>619</v>
      </c>
      <c r="S148">
        <v>97699.54</v>
      </c>
      <c r="T148" t="s">
        <v>267</v>
      </c>
      <c r="U148">
        <v>0</v>
      </c>
      <c r="V148">
        <v>10.007400000000001</v>
      </c>
      <c r="W148" t="s">
        <v>619</v>
      </c>
      <c r="X148">
        <v>17724.357142857145</v>
      </c>
      <c r="Y148" t="s">
        <v>350</v>
      </c>
      <c r="Z148" t="s">
        <v>270</v>
      </c>
      <c r="AA148" t="s">
        <v>275</v>
      </c>
      <c r="AB148" t="s">
        <v>272</v>
      </c>
      <c r="AC148">
        <v>11.34</v>
      </c>
      <c r="AD148">
        <v>0.204127114116265</v>
      </c>
      <c r="AE148">
        <v>0.43393537092580403</v>
      </c>
    </row>
    <row r="149" spans="1:31" x14ac:dyDescent="0.25">
      <c r="A149" t="s">
        <v>174</v>
      </c>
      <c r="B149" t="s">
        <v>620</v>
      </c>
      <c r="C149">
        <v>0</v>
      </c>
      <c r="D149">
        <v>48451.8</v>
      </c>
      <c r="E149">
        <v>251909.77419354831</v>
      </c>
      <c r="F149">
        <v>1.3939660945410028</v>
      </c>
      <c r="G149">
        <v>10.56</v>
      </c>
      <c r="H149" t="s">
        <v>267</v>
      </c>
      <c r="I149">
        <v>121535.20000000001</v>
      </c>
      <c r="J149">
        <v>-1</v>
      </c>
      <c r="K149" t="s">
        <v>621</v>
      </c>
      <c r="L149" t="s">
        <v>267</v>
      </c>
      <c r="M149">
        <v>0.3</v>
      </c>
      <c r="N149">
        <v>-18.024989999999999</v>
      </c>
      <c r="O149">
        <v>-15.762869999999999</v>
      </c>
      <c r="P149">
        <v>-2.1356090000000001</v>
      </c>
      <c r="Q149" t="s">
        <v>621</v>
      </c>
      <c r="R149" t="s">
        <v>621</v>
      </c>
      <c r="S149">
        <v>37017.21</v>
      </c>
      <c r="T149" t="s">
        <v>267</v>
      </c>
      <c r="U149">
        <v>1.9834899999999998</v>
      </c>
      <c r="V149">
        <v>13.056000000000001</v>
      </c>
      <c r="W149" t="s">
        <v>621</v>
      </c>
      <c r="X149">
        <v>3232.75</v>
      </c>
      <c r="Y149" t="s">
        <v>310</v>
      </c>
      <c r="Z149" t="s">
        <v>270</v>
      </c>
      <c r="AA149" t="s">
        <v>307</v>
      </c>
      <c r="AB149" t="s">
        <v>272</v>
      </c>
      <c r="AC149">
        <v>36.659999999999997</v>
      </c>
      <c r="AD149">
        <v>0.59394724296471568</v>
      </c>
      <c r="AE149">
        <v>0.636516990429147</v>
      </c>
    </row>
    <row r="150" spans="1:31" x14ac:dyDescent="0.25">
      <c r="A150" t="s">
        <v>175</v>
      </c>
      <c r="B150" t="s">
        <v>622</v>
      </c>
      <c r="C150">
        <v>0</v>
      </c>
      <c r="D150">
        <v>957099.00000000012</v>
      </c>
      <c r="E150" t="s">
        <v>267</v>
      </c>
      <c r="F150">
        <v>3.3865900995906704</v>
      </c>
      <c r="G150">
        <v>26.3</v>
      </c>
      <c r="H150" t="s">
        <v>267</v>
      </c>
      <c r="I150" t="s">
        <v>267</v>
      </c>
      <c r="J150" t="s">
        <v>31</v>
      </c>
      <c r="K150" t="s">
        <v>623</v>
      </c>
      <c r="L150" t="s">
        <v>267</v>
      </c>
      <c r="M150">
        <v>2</v>
      </c>
      <c r="N150" t="s">
        <v>267</v>
      </c>
      <c r="O150" t="s">
        <v>267</v>
      </c>
      <c r="P150">
        <v>-1.7021299999999999</v>
      </c>
      <c r="Q150" t="s">
        <v>624</v>
      </c>
      <c r="R150" t="s">
        <v>623</v>
      </c>
      <c r="S150">
        <v>954355.8</v>
      </c>
      <c r="T150" t="s">
        <v>267</v>
      </c>
      <c r="U150" t="s">
        <v>267</v>
      </c>
      <c r="V150" t="s">
        <v>267</v>
      </c>
      <c r="W150" t="s">
        <v>623</v>
      </c>
      <c r="X150" t="s">
        <v>267</v>
      </c>
      <c r="Y150" t="s">
        <v>302</v>
      </c>
      <c r="Z150" t="s">
        <v>270</v>
      </c>
      <c r="AA150" t="s">
        <v>307</v>
      </c>
      <c r="AB150" t="s">
        <v>272</v>
      </c>
      <c r="AC150">
        <v>13.86</v>
      </c>
      <c r="AD150">
        <v>0.37625858421856578</v>
      </c>
      <c r="AE150">
        <v>0.49154092684174516</v>
      </c>
    </row>
    <row r="151" spans="1:31" x14ac:dyDescent="0.25">
      <c r="A151" t="s">
        <v>176</v>
      </c>
      <c r="B151" t="s">
        <v>625</v>
      </c>
      <c r="C151">
        <v>0</v>
      </c>
      <c r="D151">
        <v>873481.55789473688</v>
      </c>
      <c r="E151">
        <v>912607.41510204086</v>
      </c>
      <c r="F151">
        <v>10.54064653929874</v>
      </c>
      <c r="G151">
        <v>82.792000000000002</v>
      </c>
      <c r="H151" t="s">
        <v>267</v>
      </c>
      <c r="I151">
        <v>1323426.3619047618</v>
      </c>
      <c r="J151">
        <v>-1</v>
      </c>
      <c r="K151" t="s">
        <v>626</v>
      </c>
      <c r="L151" t="s">
        <v>267</v>
      </c>
      <c r="M151">
        <v>79</v>
      </c>
      <c r="N151">
        <v>-28.119630000000001</v>
      </c>
      <c r="O151">
        <v>-26.482759999999999</v>
      </c>
      <c r="P151">
        <v>-13.61426</v>
      </c>
      <c r="Q151" t="s">
        <v>626</v>
      </c>
      <c r="R151" t="s">
        <v>626</v>
      </c>
      <c r="S151">
        <v>931856.6</v>
      </c>
      <c r="T151" t="s">
        <v>267</v>
      </c>
      <c r="U151">
        <v>-6.0220000000000029</v>
      </c>
      <c r="V151">
        <v>84.825000000000003</v>
      </c>
      <c r="W151" t="s">
        <v>626</v>
      </c>
      <c r="X151">
        <v>192411.50833333336</v>
      </c>
      <c r="Y151" t="s">
        <v>302</v>
      </c>
      <c r="Z151" t="s">
        <v>270</v>
      </c>
      <c r="AA151" t="s">
        <v>275</v>
      </c>
      <c r="AB151" t="s">
        <v>272</v>
      </c>
      <c r="AC151">
        <v>1.0660000000000001</v>
      </c>
      <c r="AD151">
        <v>0.40576791344789215</v>
      </c>
      <c r="AE151">
        <v>0.50074021696342996</v>
      </c>
    </row>
    <row r="152" spans="1:31" x14ac:dyDescent="0.25">
      <c r="A152" t="s">
        <v>177</v>
      </c>
      <c r="B152" t="s">
        <v>627</v>
      </c>
      <c r="C152">
        <v>0</v>
      </c>
      <c r="D152">
        <v>58640.722222222219</v>
      </c>
      <c r="E152">
        <v>175819.70135135137</v>
      </c>
      <c r="F152">
        <v>4.9500444537592658</v>
      </c>
      <c r="G152">
        <v>38.721229999999998</v>
      </c>
      <c r="H152" t="s">
        <v>267</v>
      </c>
      <c r="I152">
        <v>37575.609999999993</v>
      </c>
      <c r="J152">
        <v>-1</v>
      </c>
      <c r="K152" t="s">
        <v>628</v>
      </c>
      <c r="L152" t="s">
        <v>267</v>
      </c>
      <c r="M152">
        <v>3.1300000000000001E-2</v>
      </c>
      <c r="N152">
        <v>4.1670769999999999</v>
      </c>
      <c r="O152">
        <v>4.2299800000000003</v>
      </c>
      <c r="P152">
        <v>-0.21356130000000001</v>
      </c>
      <c r="Q152" t="s">
        <v>628</v>
      </c>
      <c r="R152" t="s">
        <v>628</v>
      </c>
      <c r="S152">
        <v>41827.629999999997</v>
      </c>
      <c r="T152" t="s">
        <v>267</v>
      </c>
      <c r="U152">
        <v>0</v>
      </c>
      <c r="V152">
        <v>32.312240000000003</v>
      </c>
      <c r="W152" t="s">
        <v>628</v>
      </c>
      <c r="X152" t="s">
        <v>267</v>
      </c>
      <c r="Y152" t="s">
        <v>370</v>
      </c>
      <c r="Z152" t="s">
        <v>270</v>
      </c>
      <c r="AA152" t="s">
        <v>307</v>
      </c>
      <c r="AB152" t="s">
        <v>485</v>
      </c>
      <c r="AC152">
        <v>1238.2</v>
      </c>
      <c r="AD152">
        <v>0.26250397239058859</v>
      </c>
      <c r="AE152">
        <v>0.2896269799084335</v>
      </c>
    </row>
    <row r="153" spans="1:31" x14ac:dyDescent="0.25">
      <c r="A153" t="s">
        <v>178</v>
      </c>
      <c r="B153" t="s">
        <v>629</v>
      </c>
      <c r="C153">
        <v>0</v>
      </c>
      <c r="D153">
        <v>1351953.4210526315</v>
      </c>
      <c r="E153">
        <v>251323.69925925927</v>
      </c>
      <c r="F153">
        <v>3.5068339407577356</v>
      </c>
      <c r="G153">
        <v>27.576000000000001</v>
      </c>
      <c r="H153" t="s">
        <v>267</v>
      </c>
      <c r="I153">
        <v>78920.68421052632</v>
      </c>
      <c r="J153">
        <v>-1</v>
      </c>
      <c r="K153" t="s">
        <v>630</v>
      </c>
      <c r="L153" t="s">
        <v>267</v>
      </c>
      <c r="M153">
        <v>1.2</v>
      </c>
      <c r="N153">
        <v>75.803830000000005</v>
      </c>
      <c r="O153">
        <v>80.286169999999998</v>
      </c>
      <c r="P153">
        <v>10.204079999999999</v>
      </c>
      <c r="Q153" t="s">
        <v>630</v>
      </c>
      <c r="R153" t="s">
        <v>630</v>
      </c>
      <c r="S153">
        <v>642265.80000000005</v>
      </c>
      <c r="T153" t="s">
        <v>267</v>
      </c>
      <c r="U153">
        <v>-0.84714894058581081</v>
      </c>
      <c r="V153">
        <v>10.064</v>
      </c>
      <c r="W153" t="s">
        <v>630</v>
      </c>
      <c r="X153">
        <v>16944</v>
      </c>
      <c r="Y153" t="s">
        <v>279</v>
      </c>
      <c r="Z153" t="s">
        <v>384</v>
      </c>
      <c r="AA153" t="s">
        <v>275</v>
      </c>
      <c r="AB153" t="s">
        <v>272</v>
      </c>
      <c r="AC153">
        <v>22.68</v>
      </c>
      <c r="AD153">
        <v>0.66970668417556345</v>
      </c>
      <c r="AE153">
        <v>0.88641250145095452</v>
      </c>
    </row>
    <row r="154" spans="1:31" x14ac:dyDescent="0.25">
      <c r="A154" t="s">
        <v>179</v>
      </c>
      <c r="B154" t="s">
        <v>631</v>
      </c>
      <c r="C154">
        <v>0</v>
      </c>
      <c r="D154">
        <v>101704.35833333334</v>
      </c>
      <c r="E154">
        <v>2407278.3204081636</v>
      </c>
      <c r="F154">
        <v>40.695301360000002</v>
      </c>
      <c r="G154">
        <v>318.6867939</v>
      </c>
      <c r="H154" t="s">
        <v>267</v>
      </c>
      <c r="I154">
        <v>168355.15714285712</v>
      </c>
      <c r="J154">
        <v>-1</v>
      </c>
      <c r="K154" t="s">
        <v>632</v>
      </c>
      <c r="L154" t="s">
        <v>267</v>
      </c>
      <c r="M154">
        <v>3.5479999999999998E-2</v>
      </c>
      <c r="N154">
        <v>2.5756139999999998</v>
      </c>
      <c r="O154">
        <v>2.3012969999999999</v>
      </c>
      <c r="P154">
        <v>0.2080718</v>
      </c>
      <c r="Q154" t="s">
        <v>632</v>
      </c>
      <c r="R154" t="s">
        <v>632</v>
      </c>
      <c r="S154">
        <v>58138.32</v>
      </c>
      <c r="T154" t="s">
        <v>267</v>
      </c>
      <c r="U154">
        <v>28.743143310000001</v>
      </c>
      <c r="V154">
        <v>317.66375284999998</v>
      </c>
      <c r="W154" t="s">
        <v>632</v>
      </c>
      <c r="X154">
        <v>163320</v>
      </c>
      <c r="Y154" t="s">
        <v>370</v>
      </c>
      <c r="Z154" t="s">
        <v>270</v>
      </c>
      <c r="AA154" t="s">
        <v>307</v>
      </c>
      <c r="AB154" t="s">
        <v>485</v>
      </c>
      <c r="AC154">
        <v>8981.9</v>
      </c>
      <c r="AD154">
        <v>0.17195137276688163</v>
      </c>
      <c r="AE154">
        <v>0.20759095587246307</v>
      </c>
    </row>
    <row r="155" spans="1:31" x14ac:dyDescent="0.25">
      <c r="A155" t="s">
        <v>180</v>
      </c>
      <c r="B155" t="s">
        <v>633</v>
      </c>
      <c r="C155">
        <v>0</v>
      </c>
      <c r="D155">
        <v>391052.31578947377</v>
      </c>
      <c r="E155">
        <v>199857.22018348621</v>
      </c>
      <c r="F155">
        <v>646.33544544358153</v>
      </c>
      <c r="G155">
        <v>5059.2</v>
      </c>
      <c r="H155" t="s">
        <v>267</v>
      </c>
      <c r="I155">
        <v>216040.89473684211</v>
      </c>
      <c r="J155">
        <v>-1</v>
      </c>
      <c r="K155" t="s">
        <v>634</v>
      </c>
      <c r="L155" t="s">
        <v>267</v>
      </c>
      <c r="M155">
        <v>42.16</v>
      </c>
      <c r="N155">
        <v>5.2466080000000002</v>
      </c>
      <c r="O155">
        <v>4.1810340000000004</v>
      </c>
      <c r="P155">
        <v>-0.1239669</v>
      </c>
      <c r="Q155" t="s">
        <v>634</v>
      </c>
      <c r="R155" t="s">
        <v>634</v>
      </c>
      <c r="S155">
        <v>476298.2</v>
      </c>
      <c r="T155" t="s">
        <v>267</v>
      </c>
      <c r="U155">
        <v>-543.9624591000005</v>
      </c>
      <c r="V155">
        <v>4894.04</v>
      </c>
      <c r="W155" t="s">
        <v>634</v>
      </c>
      <c r="X155">
        <v>3662116.84</v>
      </c>
      <c r="Y155" t="s">
        <v>279</v>
      </c>
      <c r="Z155" t="s">
        <v>270</v>
      </c>
      <c r="AA155" t="s">
        <v>275</v>
      </c>
      <c r="AB155" t="s">
        <v>428</v>
      </c>
      <c r="AC155">
        <v>120.85</v>
      </c>
      <c r="AD155">
        <v>0.42896155732816532</v>
      </c>
      <c r="AE155">
        <v>0.51039207753919658</v>
      </c>
    </row>
    <row r="156" spans="1:31" x14ac:dyDescent="0.25">
      <c r="A156" t="s">
        <v>181</v>
      </c>
      <c r="B156" t="s">
        <v>635</v>
      </c>
      <c r="C156">
        <v>0</v>
      </c>
      <c r="D156">
        <v>227511.81578947365</v>
      </c>
      <c r="E156">
        <v>129064.53913043479</v>
      </c>
      <c r="F156">
        <v>2.2108759069636958</v>
      </c>
      <c r="G156">
        <v>17.844821999999997</v>
      </c>
      <c r="H156" t="s">
        <v>267</v>
      </c>
      <c r="I156">
        <v>156285.5</v>
      </c>
      <c r="J156">
        <v>-1</v>
      </c>
      <c r="K156" t="s">
        <v>636</v>
      </c>
      <c r="L156" t="s">
        <v>267</v>
      </c>
      <c r="M156">
        <v>0.17141999999999999</v>
      </c>
      <c r="N156">
        <v>32.904719999999998</v>
      </c>
      <c r="O156">
        <v>29.4192</v>
      </c>
      <c r="P156">
        <v>-2.9356049999999998</v>
      </c>
      <c r="Q156" t="s">
        <v>636</v>
      </c>
      <c r="R156" t="s">
        <v>636</v>
      </c>
      <c r="S156">
        <v>298346</v>
      </c>
      <c r="T156" t="s">
        <v>267</v>
      </c>
      <c r="U156" t="s">
        <v>267</v>
      </c>
      <c r="V156">
        <v>9.6164640000000006</v>
      </c>
      <c r="W156" t="s">
        <v>636</v>
      </c>
      <c r="X156" t="s">
        <v>267</v>
      </c>
      <c r="Y156" t="s">
        <v>310</v>
      </c>
      <c r="Z156" t="s">
        <v>270</v>
      </c>
      <c r="AA156" t="s">
        <v>307</v>
      </c>
      <c r="AB156" t="s">
        <v>272</v>
      </c>
      <c r="AC156">
        <v>102.5</v>
      </c>
      <c r="AD156">
        <v>0.50439545193633828</v>
      </c>
      <c r="AE156">
        <v>0.66058170855944165</v>
      </c>
    </row>
    <row r="157" spans="1:31" x14ac:dyDescent="0.25">
      <c r="A157" t="s">
        <v>182</v>
      </c>
      <c r="B157" t="s">
        <v>637</v>
      </c>
      <c r="C157">
        <v>0</v>
      </c>
      <c r="D157">
        <v>276131.55555555556</v>
      </c>
      <c r="E157">
        <v>159159.0546875</v>
      </c>
      <c r="F157">
        <v>2.1895556317823024</v>
      </c>
      <c r="G157">
        <v>17.105</v>
      </c>
      <c r="H157" t="s">
        <v>267</v>
      </c>
      <c r="I157">
        <v>57507.71428571429</v>
      </c>
      <c r="J157">
        <v>-1</v>
      </c>
      <c r="K157" t="s">
        <v>638</v>
      </c>
      <c r="L157" t="s">
        <v>267</v>
      </c>
      <c r="M157">
        <v>0.25</v>
      </c>
      <c r="N157">
        <v>-4.28695</v>
      </c>
      <c r="O157">
        <v>-6.9309649999999996</v>
      </c>
      <c r="P157">
        <v>-9.0405870000000004</v>
      </c>
      <c r="Q157" t="s">
        <v>638</v>
      </c>
      <c r="R157" t="s">
        <v>638</v>
      </c>
      <c r="S157">
        <v>118118.7</v>
      </c>
      <c r="T157" t="s">
        <v>267</v>
      </c>
      <c r="U157" t="s">
        <v>267</v>
      </c>
      <c r="V157">
        <v>22.247999999999998</v>
      </c>
      <c r="W157" t="s">
        <v>638</v>
      </c>
      <c r="X157" t="s">
        <v>267</v>
      </c>
      <c r="Y157" t="s">
        <v>310</v>
      </c>
      <c r="Z157" t="s">
        <v>270</v>
      </c>
      <c r="AA157" t="s">
        <v>294</v>
      </c>
      <c r="AB157" t="s">
        <v>272</v>
      </c>
      <c r="AC157">
        <v>69.02</v>
      </c>
      <c r="AD157">
        <v>0.6940059713091693</v>
      </c>
      <c r="AE157">
        <v>0.76534811761178545</v>
      </c>
    </row>
    <row r="158" spans="1:31" x14ac:dyDescent="0.25">
      <c r="A158" t="s">
        <v>183</v>
      </c>
      <c r="B158" t="s">
        <v>639</v>
      </c>
      <c r="C158">
        <v>0</v>
      </c>
      <c r="D158">
        <v>18832443.666666664</v>
      </c>
      <c r="E158">
        <v>43854519.998859666</v>
      </c>
      <c r="F158">
        <v>1183.8117341018349</v>
      </c>
      <c r="G158">
        <v>9285.0500000000011</v>
      </c>
      <c r="H158" t="s">
        <v>267</v>
      </c>
      <c r="I158">
        <v>39096840.857142858</v>
      </c>
      <c r="J158">
        <v>-1</v>
      </c>
      <c r="K158" t="s">
        <v>640</v>
      </c>
      <c r="L158" t="s">
        <v>267</v>
      </c>
      <c r="M158">
        <v>199.25</v>
      </c>
      <c r="N158">
        <v>-12.24039</v>
      </c>
      <c r="O158">
        <v>-11.72748</v>
      </c>
      <c r="P158">
        <v>-9.1918830000000007</v>
      </c>
      <c r="Q158" t="s">
        <v>640</v>
      </c>
      <c r="R158" t="s">
        <v>640</v>
      </c>
      <c r="S158">
        <v>8584390</v>
      </c>
      <c r="T158" t="s">
        <v>267</v>
      </c>
      <c r="U158">
        <v>696.69718499999999</v>
      </c>
      <c r="V158">
        <v>10381.39</v>
      </c>
      <c r="W158" t="s">
        <v>640</v>
      </c>
      <c r="X158">
        <v>12501871.359999999</v>
      </c>
      <c r="Y158" t="s">
        <v>284</v>
      </c>
      <c r="Z158" t="s">
        <v>270</v>
      </c>
      <c r="AA158" t="s">
        <v>371</v>
      </c>
      <c r="AB158" t="s">
        <v>272</v>
      </c>
      <c r="AC158">
        <v>47.42</v>
      </c>
      <c r="AD158">
        <v>0.22090433458343159</v>
      </c>
      <c r="AE158">
        <v>0.23981171467308701</v>
      </c>
    </row>
    <row r="159" spans="1:31" x14ac:dyDescent="0.25">
      <c r="A159" t="s">
        <v>184</v>
      </c>
      <c r="B159" t="s">
        <v>641</v>
      </c>
      <c r="C159">
        <v>0</v>
      </c>
      <c r="D159">
        <v>270087.18421052635</v>
      </c>
      <c r="E159">
        <v>26757.972222222219</v>
      </c>
      <c r="F159">
        <v>67.425054869231445</v>
      </c>
      <c r="G159">
        <v>528.20500000000004</v>
      </c>
      <c r="H159" t="s">
        <v>267</v>
      </c>
      <c r="I159">
        <v>83641.25</v>
      </c>
      <c r="J159">
        <v>-1</v>
      </c>
      <c r="K159" t="s">
        <v>642</v>
      </c>
      <c r="L159" t="s">
        <v>267</v>
      </c>
      <c r="M159">
        <v>37.25</v>
      </c>
      <c r="N159">
        <v>-7.5488619999999997</v>
      </c>
      <c r="O159">
        <v>-8.6489910000000005</v>
      </c>
      <c r="P159">
        <v>-7.7756509999999999</v>
      </c>
      <c r="Q159" t="s">
        <v>642</v>
      </c>
      <c r="R159" t="s">
        <v>642</v>
      </c>
      <c r="S159">
        <v>234715.2</v>
      </c>
      <c r="T159" t="s">
        <v>267</v>
      </c>
      <c r="U159" t="s">
        <v>267</v>
      </c>
      <c r="V159">
        <v>586.08000000000004</v>
      </c>
      <c r="W159" t="s">
        <v>642</v>
      </c>
      <c r="X159" t="s">
        <v>267</v>
      </c>
      <c r="Y159" t="s">
        <v>532</v>
      </c>
      <c r="Z159" t="s">
        <v>270</v>
      </c>
      <c r="AA159" t="s">
        <v>307</v>
      </c>
      <c r="AB159" t="s">
        <v>272</v>
      </c>
      <c r="AC159">
        <v>14.47</v>
      </c>
      <c r="AD159">
        <v>0.41711929576468221</v>
      </c>
      <c r="AE159">
        <v>0.67610524696363095</v>
      </c>
    </row>
    <row r="160" spans="1:31" x14ac:dyDescent="0.25">
      <c r="A160" t="s">
        <v>185</v>
      </c>
      <c r="B160" t="s">
        <v>643</v>
      </c>
      <c r="C160">
        <v>0</v>
      </c>
      <c r="D160">
        <v>359880.97684210533</v>
      </c>
      <c r="E160">
        <v>413308.96425233647</v>
      </c>
      <c r="F160">
        <v>18.211857931503463</v>
      </c>
      <c r="G160">
        <v>45.588083000000005</v>
      </c>
      <c r="H160" t="s">
        <v>267</v>
      </c>
      <c r="I160">
        <v>677980.3833333333</v>
      </c>
      <c r="J160">
        <v>-1</v>
      </c>
      <c r="K160" t="s">
        <v>369</v>
      </c>
      <c r="L160" t="s">
        <v>267</v>
      </c>
      <c r="M160">
        <v>6.6697999999999995</v>
      </c>
      <c r="N160">
        <v>17.841560000000001</v>
      </c>
      <c r="O160">
        <v>10.5093</v>
      </c>
      <c r="P160">
        <v>-1.512969</v>
      </c>
      <c r="Q160" t="s">
        <v>369</v>
      </c>
      <c r="R160" t="s">
        <v>369</v>
      </c>
      <c r="S160">
        <v>448999.4</v>
      </c>
      <c r="T160" t="s">
        <v>267</v>
      </c>
      <c r="U160">
        <v>7.4083609227421832</v>
      </c>
      <c r="V160">
        <v>35.067712999999998</v>
      </c>
      <c r="W160" t="s">
        <v>369</v>
      </c>
      <c r="X160" t="s">
        <v>267</v>
      </c>
      <c r="Y160" t="s">
        <v>269</v>
      </c>
      <c r="Z160" t="s">
        <v>380</v>
      </c>
      <c r="AA160" t="s">
        <v>381</v>
      </c>
      <c r="AB160" t="s">
        <v>272</v>
      </c>
      <c r="AC160">
        <v>6.835</v>
      </c>
      <c r="AD160">
        <v>0.51794285390000783</v>
      </c>
      <c r="AE160">
        <v>0.57107261925879405</v>
      </c>
    </row>
    <row r="161" spans="1:31" x14ac:dyDescent="0.25">
      <c r="A161" t="s">
        <v>186</v>
      </c>
      <c r="B161" t="s">
        <v>644</v>
      </c>
      <c r="C161">
        <v>0</v>
      </c>
      <c r="D161">
        <v>37184.5</v>
      </c>
      <c r="E161">
        <v>376592.46666666667</v>
      </c>
      <c r="F161">
        <v>51.274887450000001</v>
      </c>
      <c r="G161">
        <v>401.185</v>
      </c>
      <c r="H161" t="s">
        <v>267</v>
      </c>
      <c r="I161">
        <v>215511.66666666666</v>
      </c>
      <c r="J161">
        <v>-1</v>
      </c>
      <c r="K161" t="s">
        <v>645</v>
      </c>
      <c r="L161" t="s">
        <v>267</v>
      </c>
      <c r="M161">
        <v>5.125</v>
      </c>
      <c r="N161">
        <v>1.5943149999999999</v>
      </c>
      <c r="O161">
        <v>-0.76007400000000003</v>
      </c>
      <c r="P161">
        <v>0.43589739999999999</v>
      </c>
      <c r="Q161" t="s">
        <v>646</v>
      </c>
      <c r="R161" t="s">
        <v>645</v>
      </c>
      <c r="S161">
        <v>51649.25</v>
      </c>
      <c r="T161" t="s">
        <v>267</v>
      </c>
      <c r="U161" t="s">
        <v>267</v>
      </c>
      <c r="V161">
        <v>404.5675</v>
      </c>
      <c r="W161" t="s">
        <v>645</v>
      </c>
      <c r="X161" t="s">
        <v>267</v>
      </c>
      <c r="Y161" t="s">
        <v>330</v>
      </c>
      <c r="Z161" t="s">
        <v>270</v>
      </c>
      <c r="AA161" t="s">
        <v>339</v>
      </c>
      <c r="AB161" t="s">
        <v>428</v>
      </c>
      <c r="AC161">
        <v>78.34</v>
      </c>
      <c r="AD161">
        <v>0.33576247865232672</v>
      </c>
      <c r="AE161">
        <v>0.33838125776358369</v>
      </c>
    </row>
    <row r="162" spans="1:31" x14ac:dyDescent="0.25">
      <c r="A162" t="s">
        <v>187</v>
      </c>
      <c r="B162" t="s">
        <v>647</v>
      </c>
      <c r="C162">
        <v>0</v>
      </c>
      <c r="D162">
        <v>971.5</v>
      </c>
      <c r="E162">
        <v>252633.61249999999</v>
      </c>
      <c r="F162">
        <v>0.72834468700985688</v>
      </c>
      <c r="G162">
        <v>5.6579999999999995</v>
      </c>
      <c r="H162" t="s">
        <v>267</v>
      </c>
      <c r="I162" t="s">
        <v>267</v>
      </c>
      <c r="J162" t="s">
        <v>31</v>
      </c>
      <c r="K162" t="s">
        <v>648</v>
      </c>
      <c r="L162" t="s">
        <v>267</v>
      </c>
      <c r="M162">
        <v>0.6</v>
      </c>
      <c r="N162">
        <v>-2.2955260000000002</v>
      </c>
      <c r="O162">
        <v>-2.1527430000000001</v>
      </c>
      <c r="P162">
        <v>-2.7508870000000001</v>
      </c>
      <c r="Q162" t="s">
        <v>648</v>
      </c>
      <c r="R162" t="s">
        <v>648</v>
      </c>
      <c r="S162">
        <v>122.7705</v>
      </c>
      <c r="T162" t="s">
        <v>267</v>
      </c>
      <c r="U162">
        <v>0</v>
      </c>
      <c r="V162">
        <v>5.8530000000000006</v>
      </c>
      <c r="W162" t="s">
        <v>648</v>
      </c>
      <c r="X162" t="s">
        <v>267</v>
      </c>
      <c r="Y162" t="s">
        <v>649</v>
      </c>
      <c r="Z162" t="s">
        <v>270</v>
      </c>
      <c r="AA162" t="s">
        <v>307</v>
      </c>
      <c r="AB162" t="s">
        <v>272</v>
      </c>
      <c r="AC162">
        <v>9.5449999999999999</v>
      </c>
      <c r="AD162">
        <v>0.82548894116314675</v>
      </c>
      <c r="AE162">
        <v>0.87400621184071181</v>
      </c>
    </row>
    <row r="163" spans="1:31" x14ac:dyDescent="0.25">
      <c r="A163" t="s">
        <v>188</v>
      </c>
      <c r="B163" t="s">
        <v>650</v>
      </c>
      <c r="C163">
        <v>0</v>
      </c>
      <c r="D163">
        <v>26855.666666666668</v>
      </c>
      <c r="E163">
        <v>144408.19879518074</v>
      </c>
      <c r="F163">
        <v>1.0164714132694048</v>
      </c>
      <c r="G163">
        <v>8.0149999999999988</v>
      </c>
      <c r="H163" t="s">
        <v>267</v>
      </c>
      <c r="I163">
        <v>29724.5</v>
      </c>
      <c r="J163">
        <v>-1</v>
      </c>
      <c r="K163" t="s">
        <v>648</v>
      </c>
      <c r="L163" t="s">
        <v>267</v>
      </c>
      <c r="M163">
        <v>0.7</v>
      </c>
      <c r="N163">
        <v>18.532630000000001</v>
      </c>
      <c r="O163">
        <v>17.980419999999999</v>
      </c>
      <c r="P163">
        <v>-1.6323049999999999</v>
      </c>
      <c r="Q163" t="s">
        <v>648</v>
      </c>
      <c r="R163" t="s">
        <v>648</v>
      </c>
      <c r="S163">
        <v>15216.1</v>
      </c>
      <c r="T163" t="s">
        <v>267</v>
      </c>
      <c r="U163">
        <v>0</v>
      </c>
      <c r="V163">
        <v>6.7934999999999999</v>
      </c>
      <c r="W163" t="s">
        <v>648</v>
      </c>
      <c r="X163" t="s">
        <v>267</v>
      </c>
      <c r="Y163" t="s">
        <v>649</v>
      </c>
      <c r="Z163" t="s">
        <v>270</v>
      </c>
      <c r="AA163" t="s">
        <v>307</v>
      </c>
      <c r="AB163" t="s">
        <v>272</v>
      </c>
      <c r="AC163">
        <v>11.45</v>
      </c>
      <c r="AD163">
        <v>0.85349139038411437</v>
      </c>
      <c r="AE163">
        <v>0.96986531275671639</v>
      </c>
    </row>
    <row r="164" spans="1:31" x14ac:dyDescent="0.25">
      <c r="A164" t="s">
        <v>189</v>
      </c>
      <c r="B164" t="s">
        <v>651</v>
      </c>
      <c r="C164">
        <v>0</v>
      </c>
      <c r="D164" t="s">
        <v>267</v>
      </c>
      <c r="E164">
        <v>204980.09999999998</v>
      </c>
      <c r="F164">
        <v>17.497794766245221</v>
      </c>
      <c r="G164">
        <v>137.70599999999999</v>
      </c>
      <c r="H164" t="s">
        <v>267</v>
      </c>
      <c r="I164">
        <v>257567.22500000001</v>
      </c>
      <c r="J164">
        <v>-1</v>
      </c>
      <c r="K164" t="s">
        <v>652</v>
      </c>
      <c r="L164" t="s">
        <v>267</v>
      </c>
      <c r="M164">
        <v>0.11799999999999999</v>
      </c>
      <c r="N164">
        <v>4.1075889999999999</v>
      </c>
      <c r="O164">
        <v>4.345491</v>
      </c>
      <c r="P164">
        <v>0.16737060000000001</v>
      </c>
      <c r="Q164" t="s">
        <v>653</v>
      </c>
      <c r="R164" t="s">
        <v>652</v>
      </c>
      <c r="S164">
        <v>53573.77</v>
      </c>
      <c r="T164" t="s">
        <v>267</v>
      </c>
      <c r="U164" t="s">
        <v>267</v>
      </c>
      <c r="V164">
        <v>129.73440000000002</v>
      </c>
      <c r="W164" t="s">
        <v>652</v>
      </c>
      <c r="X164" t="s">
        <v>267</v>
      </c>
      <c r="Y164" t="s">
        <v>654</v>
      </c>
      <c r="Z164" t="s">
        <v>270</v>
      </c>
      <c r="AA164" t="s">
        <v>307</v>
      </c>
      <c r="AB164" t="s">
        <v>485</v>
      </c>
      <c r="AC164">
        <v>1167</v>
      </c>
      <c r="AD164">
        <v>0.28634556945501005</v>
      </c>
      <c r="AE164">
        <v>0.29906523137905577</v>
      </c>
    </row>
    <row r="165" spans="1:31" x14ac:dyDescent="0.25">
      <c r="A165" t="s">
        <v>190</v>
      </c>
      <c r="B165" t="s">
        <v>655</v>
      </c>
      <c r="C165">
        <v>0</v>
      </c>
      <c r="D165">
        <v>1656009.6921052632</v>
      </c>
      <c r="E165">
        <v>2351131.7166666659</v>
      </c>
      <c r="F165">
        <v>47.262850511980204</v>
      </c>
      <c r="G165">
        <v>370.84319999999997</v>
      </c>
      <c r="H165" t="s">
        <v>267</v>
      </c>
      <c r="I165">
        <v>72733.933333333334</v>
      </c>
      <c r="J165">
        <v>-1</v>
      </c>
      <c r="K165" t="s">
        <v>652</v>
      </c>
      <c r="L165" t="s">
        <v>267</v>
      </c>
      <c r="M165">
        <v>0.36399999999999999</v>
      </c>
      <c r="N165">
        <v>1.159905</v>
      </c>
      <c r="O165">
        <v>1.1665989999999999</v>
      </c>
      <c r="P165">
        <v>0.20159070000000001</v>
      </c>
      <c r="Q165" t="s">
        <v>653</v>
      </c>
      <c r="R165" t="s">
        <v>652</v>
      </c>
      <c r="S165">
        <v>609675.69999999995</v>
      </c>
      <c r="T165" t="s">
        <v>267</v>
      </c>
      <c r="U165" t="s">
        <v>267</v>
      </c>
      <c r="V165">
        <v>338.41920000000005</v>
      </c>
      <c r="W165" t="s">
        <v>652</v>
      </c>
      <c r="X165" t="s">
        <v>267</v>
      </c>
      <c r="Y165" t="s">
        <v>654</v>
      </c>
      <c r="Z165" t="s">
        <v>270</v>
      </c>
      <c r="AA165" t="s">
        <v>307</v>
      </c>
      <c r="AB165" t="s">
        <v>485</v>
      </c>
      <c r="AC165">
        <v>1018.95</v>
      </c>
      <c r="AD165">
        <v>2.9384959229271462E-2</v>
      </c>
      <c r="AE165">
        <v>3.1762638724807342E-2</v>
      </c>
    </row>
    <row r="166" spans="1:31" x14ac:dyDescent="0.25">
      <c r="A166" t="s">
        <v>191</v>
      </c>
      <c r="B166" t="s">
        <v>656</v>
      </c>
      <c r="C166">
        <v>0</v>
      </c>
      <c r="D166">
        <v>1580702.6473684208</v>
      </c>
      <c r="E166">
        <v>1730001.6045454543</v>
      </c>
      <c r="F166">
        <v>53.540360474872791</v>
      </c>
      <c r="G166">
        <v>419.92500000000001</v>
      </c>
      <c r="H166" t="s">
        <v>267</v>
      </c>
      <c r="I166">
        <v>3769249.4666666663</v>
      </c>
      <c r="J166">
        <v>-1</v>
      </c>
      <c r="K166" t="s">
        <v>293</v>
      </c>
      <c r="L166" t="s">
        <v>267</v>
      </c>
      <c r="M166">
        <v>55</v>
      </c>
      <c r="N166">
        <v>-22.732009999999999</v>
      </c>
      <c r="O166">
        <v>-20.12134</v>
      </c>
      <c r="P166">
        <v>-9.6626630000000002</v>
      </c>
      <c r="Q166" t="s">
        <v>293</v>
      </c>
      <c r="R166" t="s">
        <v>293</v>
      </c>
      <c r="S166">
        <v>1426649</v>
      </c>
      <c r="T166" t="s">
        <v>267</v>
      </c>
      <c r="U166" t="s">
        <v>267</v>
      </c>
      <c r="V166">
        <v>249.22800000000001</v>
      </c>
      <c r="W166" t="s">
        <v>293</v>
      </c>
      <c r="X166" t="s">
        <v>267</v>
      </c>
      <c r="Y166" t="s">
        <v>657</v>
      </c>
      <c r="Z166" t="s">
        <v>270</v>
      </c>
      <c r="AA166" t="s">
        <v>271</v>
      </c>
      <c r="AB166" t="s">
        <v>272</v>
      </c>
      <c r="AC166">
        <v>7.9</v>
      </c>
      <c r="AD166">
        <v>0.18240927708373453</v>
      </c>
      <c r="AE166">
        <v>0.2097673697849598</v>
      </c>
    </row>
    <row r="167" spans="1:31" x14ac:dyDescent="0.25">
      <c r="A167" t="s">
        <v>192</v>
      </c>
      <c r="B167" t="s">
        <v>658</v>
      </c>
      <c r="C167">
        <v>0</v>
      </c>
      <c r="D167">
        <v>51031.616666666669</v>
      </c>
      <c r="E167">
        <v>845859.5843373494</v>
      </c>
      <c r="F167">
        <v>4.1892319999999996</v>
      </c>
      <c r="G167">
        <v>32.900399999999998</v>
      </c>
      <c r="H167" t="s">
        <v>267</v>
      </c>
      <c r="I167">
        <v>133961.38888888891</v>
      </c>
      <c r="J167">
        <v>-1</v>
      </c>
      <c r="K167" t="s">
        <v>659</v>
      </c>
      <c r="L167" t="s">
        <v>267</v>
      </c>
      <c r="M167">
        <v>11.1</v>
      </c>
      <c r="N167">
        <v>-45.938290000000002</v>
      </c>
      <c r="O167">
        <v>-45.501379999999997</v>
      </c>
      <c r="P167">
        <v>-20.075559999999999</v>
      </c>
      <c r="Q167" t="s">
        <v>659</v>
      </c>
      <c r="R167" t="s">
        <v>659</v>
      </c>
      <c r="S167">
        <v>77334.45</v>
      </c>
      <c r="T167" t="s">
        <v>267</v>
      </c>
      <c r="U167" t="s">
        <v>267</v>
      </c>
      <c r="V167">
        <v>83.698999999999998</v>
      </c>
      <c r="W167" t="s">
        <v>659</v>
      </c>
      <c r="X167" t="s">
        <v>267</v>
      </c>
      <c r="Y167" t="s">
        <v>660</v>
      </c>
      <c r="Z167" t="s">
        <v>270</v>
      </c>
      <c r="AA167" t="s">
        <v>307</v>
      </c>
      <c r="AB167" t="s">
        <v>401</v>
      </c>
      <c r="AC167">
        <v>2.9620000000000002</v>
      </c>
      <c r="AD167">
        <v>0.36337384325658145</v>
      </c>
      <c r="AE167">
        <v>0.39613888943335857</v>
      </c>
    </row>
    <row r="168" spans="1:31" x14ac:dyDescent="0.25">
      <c r="A168" t="s">
        <v>193</v>
      </c>
      <c r="B168" t="s">
        <v>661</v>
      </c>
      <c r="C168">
        <v>0</v>
      </c>
      <c r="D168">
        <v>2684.5</v>
      </c>
      <c r="E168">
        <v>250689.97777777771</v>
      </c>
      <c r="F168">
        <v>1.2052337626401091</v>
      </c>
      <c r="G168">
        <v>9.4429999999999996</v>
      </c>
      <c r="H168" t="s">
        <v>267</v>
      </c>
      <c r="I168">
        <v>19263</v>
      </c>
      <c r="J168">
        <v>-1</v>
      </c>
      <c r="K168" t="s">
        <v>648</v>
      </c>
      <c r="L168" t="s">
        <v>267</v>
      </c>
      <c r="M168">
        <v>0.7</v>
      </c>
      <c r="N168">
        <v>22.656459999999999</v>
      </c>
      <c r="O168">
        <v>22.39348</v>
      </c>
      <c r="P168">
        <v>-3.2258049999999998</v>
      </c>
      <c r="Q168" t="s">
        <v>648</v>
      </c>
      <c r="R168" t="s">
        <v>648</v>
      </c>
      <c r="S168">
        <v>1593.1969999999999</v>
      </c>
      <c r="T168" t="s">
        <v>267</v>
      </c>
      <c r="U168">
        <v>0</v>
      </c>
      <c r="V168">
        <v>7.7209999999999992</v>
      </c>
      <c r="W168" t="s">
        <v>648</v>
      </c>
      <c r="X168" t="s">
        <v>267</v>
      </c>
      <c r="Y168" t="s">
        <v>649</v>
      </c>
      <c r="Z168" t="s">
        <v>270</v>
      </c>
      <c r="AA168" t="s">
        <v>371</v>
      </c>
      <c r="AB168" t="s">
        <v>272</v>
      </c>
      <c r="AC168">
        <v>13.5</v>
      </c>
      <c r="AD168">
        <v>0.985866175146345</v>
      </c>
      <c r="AE168">
        <v>1.0848563996490725</v>
      </c>
    </row>
    <row r="169" spans="1:31" x14ac:dyDescent="0.25">
      <c r="A169" t="s">
        <v>194</v>
      </c>
      <c r="B169" t="s">
        <v>662</v>
      </c>
      <c r="C169">
        <v>0</v>
      </c>
      <c r="D169">
        <v>95967.35000000002</v>
      </c>
      <c r="E169" t="s">
        <v>267</v>
      </c>
      <c r="F169">
        <v>106.21724646714526</v>
      </c>
      <c r="G169">
        <v>830.072</v>
      </c>
      <c r="H169" t="s">
        <v>267</v>
      </c>
      <c r="I169" t="s">
        <v>267</v>
      </c>
      <c r="J169" t="s">
        <v>31</v>
      </c>
      <c r="K169" t="s">
        <v>663</v>
      </c>
      <c r="L169" t="s">
        <v>267</v>
      </c>
      <c r="M169">
        <v>81.7</v>
      </c>
      <c r="N169" t="s">
        <v>267</v>
      </c>
      <c r="O169" t="s">
        <v>267</v>
      </c>
      <c r="P169">
        <v>-7.7477510000000001</v>
      </c>
      <c r="Q169" t="s">
        <v>664</v>
      </c>
      <c r="R169" t="s">
        <v>663</v>
      </c>
      <c r="S169" t="s">
        <v>267</v>
      </c>
      <c r="T169" t="s">
        <v>267</v>
      </c>
      <c r="U169" t="s">
        <v>267</v>
      </c>
      <c r="V169" t="s">
        <v>267</v>
      </c>
      <c r="W169" t="s">
        <v>663</v>
      </c>
      <c r="X169" t="s">
        <v>267</v>
      </c>
      <c r="Y169" t="s">
        <v>310</v>
      </c>
      <c r="Z169" t="s">
        <v>270</v>
      </c>
      <c r="AA169" t="s">
        <v>294</v>
      </c>
      <c r="AB169" t="s">
        <v>272</v>
      </c>
      <c r="AC169">
        <v>10.24</v>
      </c>
      <c r="AD169">
        <v>0.67355195184722816</v>
      </c>
      <c r="AE169">
        <v>0.72894739185350466</v>
      </c>
    </row>
    <row r="170" spans="1:31" x14ac:dyDescent="0.25">
      <c r="A170" t="s">
        <v>195</v>
      </c>
      <c r="B170" t="s">
        <v>665</v>
      </c>
      <c r="C170">
        <v>0</v>
      </c>
      <c r="D170">
        <v>18492.847058823532</v>
      </c>
      <c r="E170">
        <v>209268.85057471256</v>
      </c>
      <c r="F170">
        <v>160.382813</v>
      </c>
      <c r="G170">
        <v>1252.5408</v>
      </c>
      <c r="H170" t="s">
        <v>267</v>
      </c>
      <c r="I170">
        <v>60001.1</v>
      </c>
      <c r="J170">
        <v>-1</v>
      </c>
      <c r="K170" t="s">
        <v>659</v>
      </c>
      <c r="L170" t="s">
        <v>267</v>
      </c>
      <c r="M170">
        <v>305.2</v>
      </c>
      <c r="N170">
        <v>-31.465679999999999</v>
      </c>
      <c r="O170">
        <v>-32.259140000000002</v>
      </c>
      <c r="P170">
        <v>-18.440000000000001</v>
      </c>
      <c r="Q170" t="s">
        <v>659</v>
      </c>
      <c r="R170" t="s">
        <v>659</v>
      </c>
      <c r="S170">
        <v>190151.9</v>
      </c>
      <c r="T170" t="s">
        <v>267</v>
      </c>
      <c r="U170" t="s">
        <v>267</v>
      </c>
      <c r="V170">
        <v>1598.31</v>
      </c>
      <c r="W170" t="s">
        <v>659</v>
      </c>
      <c r="X170" t="s">
        <v>267</v>
      </c>
      <c r="Y170" t="s">
        <v>660</v>
      </c>
      <c r="Z170" t="s">
        <v>270</v>
      </c>
      <c r="AA170" t="s">
        <v>307</v>
      </c>
      <c r="AB170" t="s">
        <v>401</v>
      </c>
      <c r="AC170">
        <v>4.0780000000000003</v>
      </c>
      <c r="AD170">
        <v>0.37746439827938805</v>
      </c>
      <c r="AE170">
        <v>0.43321358026533335</v>
      </c>
    </row>
    <row r="171" spans="1:31" x14ac:dyDescent="0.25">
      <c r="A171" t="s">
        <v>196</v>
      </c>
      <c r="B171" t="s">
        <v>666</v>
      </c>
      <c r="C171">
        <v>0</v>
      </c>
      <c r="D171">
        <v>379854.50666666665</v>
      </c>
      <c r="E171">
        <v>1007160.2218934917</v>
      </c>
      <c r="F171">
        <v>1225.2678251424998</v>
      </c>
      <c r="G171">
        <v>9601.57</v>
      </c>
      <c r="H171" t="s">
        <v>267</v>
      </c>
      <c r="I171">
        <v>318840.125</v>
      </c>
      <c r="J171">
        <v>-1</v>
      </c>
      <c r="K171" t="s">
        <v>667</v>
      </c>
      <c r="L171" t="s">
        <v>267</v>
      </c>
      <c r="M171">
        <v>105.05</v>
      </c>
      <c r="N171">
        <v>-12.543760000000001</v>
      </c>
      <c r="O171">
        <v>-10.559010000000001</v>
      </c>
      <c r="P171">
        <v>-5.1094879999999998</v>
      </c>
      <c r="Q171" t="s">
        <v>667</v>
      </c>
      <c r="R171" t="s">
        <v>667</v>
      </c>
      <c r="S171">
        <v>544511.30000000005</v>
      </c>
      <c r="T171" t="s">
        <v>267</v>
      </c>
      <c r="U171">
        <v>3.7999800000000032</v>
      </c>
      <c r="V171">
        <v>10951.622500000001</v>
      </c>
      <c r="W171" t="s">
        <v>667</v>
      </c>
      <c r="X171" t="s">
        <v>267</v>
      </c>
      <c r="Y171" t="s">
        <v>279</v>
      </c>
      <c r="Z171" t="s">
        <v>270</v>
      </c>
      <c r="AA171" t="s">
        <v>275</v>
      </c>
      <c r="AB171" t="s">
        <v>272</v>
      </c>
      <c r="AC171">
        <v>93.6</v>
      </c>
      <c r="AD171">
        <v>0.33052124285856066</v>
      </c>
      <c r="AE171">
        <v>0.46617805389749578</v>
      </c>
    </row>
    <row r="172" spans="1:31" x14ac:dyDescent="0.25">
      <c r="A172" t="s">
        <v>197</v>
      </c>
      <c r="B172" t="s">
        <v>668</v>
      </c>
      <c r="C172">
        <v>0</v>
      </c>
      <c r="D172">
        <v>36182.647058823524</v>
      </c>
      <c r="E172" t="s">
        <v>267</v>
      </c>
      <c r="F172">
        <v>1.1605705563560778</v>
      </c>
      <c r="G172">
        <v>8.8199999999999985</v>
      </c>
      <c r="H172" t="s">
        <v>267</v>
      </c>
      <c r="I172" t="s">
        <v>267</v>
      </c>
      <c r="J172" t="s">
        <v>31</v>
      </c>
      <c r="K172" t="s">
        <v>669</v>
      </c>
      <c r="L172" t="s">
        <v>267</v>
      </c>
      <c r="M172">
        <v>0.7</v>
      </c>
      <c r="N172" t="s">
        <v>267</v>
      </c>
      <c r="O172" t="s">
        <v>267</v>
      </c>
      <c r="P172">
        <v>-10.616440000000001</v>
      </c>
      <c r="Q172" t="s">
        <v>670</v>
      </c>
      <c r="R172" t="s">
        <v>669</v>
      </c>
      <c r="S172">
        <v>79963.539999999994</v>
      </c>
      <c r="T172" t="s">
        <v>267</v>
      </c>
      <c r="U172" t="s">
        <v>267</v>
      </c>
      <c r="V172" t="s">
        <v>267</v>
      </c>
      <c r="W172" t="s">
        <v>669</v>
      </c>
      <c r="X172" t="s">
        <v>267</v>
      </c>
      <c r="Y172" t="s">
        <v>302</v>
      </c>
      <c r="Z172" t="s">
        <v>270</v>
      </c>
      <c r="AA172" t="s">
        <v>307</v>
      </c>
      <c r="AB172" t="s">
        <v>272</v>
      </c>
      <c r="AC172">
        <v>13.05</v>
      </c>
      <c r="AD172">
        <v>0.63784412795969037</v>
      </c>
      <c r="AE172">
        <v>0.8933759462574995</v>
      </c>
    </row>
    <row r="173" spans="1:31" x14ac:dyDescent="0.25">
      <c r="A173" t="s">
        <v>198</v>
      </c>
      <c r="B173" t="s">
        <v>671</v>
      </c>
      <c r="C173">
        <v>0</v>
      </c>
      <c r="D173">
        <v>647871</v>
      </c>
      <c r="E173">
        <v>412355.54079999996</v>
      </c>
      <c r="F173">
        <v>25.038949339999999</v>
      </c>
      <c r="G173">
        <v>102.114</v>
      </c>
      <c r="H173" t="s">
        <v>267</v>
      </c>
      <c r="I173">
        <v>466375.64285714272</v>
      </c>
      <c r="J173">
        <v>-1</v>
      </c>
      <c r="K173" t="s">
        <v>672</v>
      </c>
      <c r="L173" t="s">
        <v>267</v>
      </c>
      <c r="M173">
        <v>1.3499999999999999</v>
      </c>
      <c r="N173">
        <v>-0.1212934</v>
      </c>
      <c r="O173">
        <v>-1.5360579999999999</v>
      </c>
      <c r="P173">
        <v>0.79957230000000001</v>
      </c>
      <c r="Q173" t="s">
        <v>673</v>
      </c>
      <c r="R173" t="s">
        <v>672</v>
      </c>
      <c r="S173">
        <v>377702.40000000002</v>
      </c>
      <c r="T173" t="s">
        <v>267</v>
      </c>
      <c r="U173">
        <v>15.461920759999996</v>
      </c>
      <c r="V173">
        <v>92.183999999999983</v>
      </c>
      <c r="W173" t="s">
        <v>672</v>
      </c>
      <c r="X173" t="s">
        <v>267</v>
      </c>
      <c r="Y173" t="s">
        <v>269</v>
      </c>
      <c r="Z173" t="s">
        <v>333</v>
      </c>
      <c r="AA173" t="s">
        <v>336</v>
      </c>
      <c r="AB173" t="s">
        <v>428</v>
      </c>
      <c r="AC173">
        <v>75.64</v>
      </c>
      <c r="AD173">
        <v>9.9952092065296844E-2</v>
      </c>
      <c r="AE173">
        <v>0.21782852532114541</v>
      </c>
    </row>
    <row r="174" spans="1:31" x14ac:dyDescent="0.25">
      <c r="A174" t="s">
        <v>199</v>
      </c>
      <c r="B174" t="s">
        <v>674</v>
      </c>
      <c r="C174">
        <v>0</v>
      </c>
      <c r="D174">
        <v>306968.08888888889</v>
      </c>
      <c r="E174">
        <v>516704.3648000001</v>
      </c>
      <c r="F174">
        <v>24.141853560000001</v>
      </c>
      <c r="G174">
        <v>93.335999999999999</v>
      </c>
      <c r="H174" t="s">
        <v>267</v>
      </c>
      <c r="I174">
        <v>276992.90476190473</v>
      </c>
      <c r="J174">
        <v>-1</v>
      </c>
      <c r="K174" t="s">
        <v>672</v>
      </c>
      <c r="L174" t="s">
        <v>267</v>
      </c>
      <c r="M174">
        <v>1.2</v>
      </c>
      <c r="N174">
        <v>0.36090129999999998</v>
      </c>
      <c r="O174">
        <v>-0.76549789999999995</v>
      </c>
      <c r="P174">
        <v>0.102964</v>
      </c>
      <c r="Q174" t="s">
        <v>673</v>
      </c>
      <c r="R174" t="s">
        <v>672</v>
      </c>
      <c r="S174">
        <v>463436.79999999999</v>
      </c>
      <c r="T174" t="s">
        <v>267</v>
      </c>
      <c r="U174">
        <v>0</v>
      </c>
      <c r="V174">
        <v>78.38</v>
      </c>
      <c r="W174" t="s">
        <v>672</v>
      </c>
      <c r="X174" t="s">
        <v>267</v>
      </c>
      <c r="Y174" t="s">
        <v>269</v>
      </c>
      <c r="Z174" t="s">
        <v>333</v>
      </c>
      <c r="AA174" t="s">
        <v>336</v>
      </c>
      <c r="AB174" t="s">
        <v>428</v>
      </c>
      <c r="AC174">
        <v>77.78</v>
      </c>
      <c r="AD174">
        <v>7.3837938242737822E-2</v>
      </c>
      <c r="AE174">
        <v>8.4112970485002186E-2</v>
      </c>
    </row>
    <row r="175" spans="1:31" x14ac:dyDescent="0.25">
      <c r="A175" t="s">
        <v>200</v>
      </c>
      <c r="B175" t="s">
        <v>675</v>
      </c>
      <c r="C175">
        <v>0</v>
      </c>
      <c r="D175">
        <v>1717945.3157894732</v>
      </c>
      <c r="E175">
        <v>458709.83300469461</v>
      </c>
      <c r="F175">
        <v>33.191667673199774</v>
      </c>
      <c r="G175">
        <v>260.88960000000003</v>
      </c>
      <c r="H175" t="s">
        <v>267</v>
      </c>
      <c r="I175">
        <v>328164.12952380948</v>
      </c>
      <c r="J175">
        <v>-1</v>
      </c>
      <c r="K175" t="s">
        <v>676</v>
      </c>
      <c r="L175" t="s">
        <v>267</v>
      </c>
      <c r="M175">
        <v>4.74</v>
      </c>
      <c r="N175">
        <v>2.470761</v>
      </c>
      <c r="O175">
        <v>0.62248460000000005</v>
      </c>
      <c r="P175">
        <v>-1.1155120000000001</v>
      </c>
      <c r="Q175" t="s">
        <v>676</v>
      </c>
      <c r="R175" t="s">
        <v>676</v>
      </c>
      <c r="S175">
        <v>2164068</v>
      </c>
      <c r="T175" t="s">
        <v>267</v>
      </c>
      <c r="U175" t="s">
        <v>267</v>
      </c>
      <c r="V175">
        <v>116.34059999999999</v>
      </c>
      <c r="W175" t="s">
        <v>676</v>
      </c>
      <c r="X175" t="s">
        <v>267</v>
      </c>
      <c r="Y175" t="s">
        <v>310</v>
      </c>
      <c r="Z175" t="s">
        <v>270</v>
      </c>
      <c r="AA175" t="s">
        <v>336</v>
      </c>
      <c r="AB175" t="s">
        <v>428</v>
      </c>
      <c r="AC175">
        <v>54.96</v>
      </c>
      <c r="AD175">
        <v>0.22082997500522478</v>
      </c>
      <c r="AE175">
        <v>0.27744439731601978</v>
      </c>
    </row>
    <row r="176" spans="1:31" x14ac:dyDescent="0.25">
      <c r="A176" t="s">
        <v>201</v>
      </c>
      <c r="B176" t="s">
        <v>677</v>
      </c>
      <c r="C176">
        <v>0</v>
      </c>
      <c r="D176">
        <v>9651190.1052631568</v>
      </c>
      <c r="E176">
        <v>4840425.5872093029</v>
      </c>
      <c r="F176">
        <v>75.470296418051262</v>
      </c>
      <c r="G176">
        <v>586.4425</v>
      </c>
      <c r="H176" t="s">
        <v>267</v>
      </c>
      <c r="I176">
        <v>4221218.1428571427</v>
      </c>
      <c r="J176">
        <v>-1</v>
      </c>
      <c r="K176" t="s">
        <v>293</v>
      </c>
      <c r="L176" t="s">
        <v>267</v>
      </c>
      <c r="M176">
        <v>80.5</v>
      </c>
      <c r="N176">
        <v>-15.513109999999999</v>
      </c>
      <c r="O176">
        <v>-16.1435</v>
      </c>
      <c r="P176">
        <v>-11.583920000000001</v>
      </c>
      <c r="Q176" t="s">
        <v>293</v>
      </c>
      <c r="R176" t="s">
        <v>293</v>
      </c>
      <c r="S176">
        <v>4722697</v>
      </c>
      <c r="T176" t="s">
        <v>267</v>
      </c>
      <c r="U176" t="s">
        <v>267</v>
      </c>
      <c r="V176">
        <v>762.66</v>
      </c>
      <c r="W176" t="s">
        <v>293</v>
      </c>
      <c r="X176" t="s">
        <v>267</v>
      </c>
      <c r="Y176" t="s">
        <v>279</v>
      </c>
      <c r="Z176" t="s">
        <v>270</v>
      </c>
      <c r="AA176" t="s">
        <v>294</v>
      </c>
      <c r="AB176" t="s">
        <v>272</v>
      </c>
      <c r="AC176">
        <v>7.48</v>
      </c>
      <c r="AD176">
        <v>0.14071312112093443</v>
      </c>
      <c r="AE176">
        <v>0.17492301287614787</v>
      </c>
    </row>
    <row r="177" spans="1:31" x14ac:dyDescent="0.25">
      <c r="A177" t="s">
        <v>202</v>
      </c>
      <c r="B177" t="s">
        <v>678</v>
      </c>
      <c r="C177">
        <v>0</v>
      </c>
      <c r="D177">
        <v>12330.75</v>
      </c>
      <c r="E177" t="s">
        <v>267</v>
      </c>
      <c r="F177">
        <v>10.79571843766338</v>
      </c>
      <c r="G177">
        <v>84.734999999999999</v>
      </c>
      <c r="H177" t="s">
        <v>267</v>
      </c>
      <c r="I177" t="s">
        <v>267</v>
      </c>
      <c r="J177" t="s">
        <v>31</v>
      </c>
      <c r="K177" t="s">
        <v>679</v>
      </c>
      <c r="L177" t="s">
        <v>267</v>
      </c>
      <c r="M177">
        <v>12.6</v>
      </c>
      <c r="N177" t="s">
        <v>267</v>
      </c>
      <c r="O177" t="s">
        <v>267</v>
      </c>
      <c r="P177">
        <v>-7.4223999999999997</v>
      </c>
      <c r="Q177" t="s">
        <v>680</v>
      </c>
      <c r="R177" t="s">
        <v>679</v>
      </c>
      <c r="S177" t="s">
        <v>267</v>
      </c>
      <c r="T177" t="s">
        <v>267</v>
      </c>
      <c r="U177" t="s">
        <v>267</v>
      </c>
      <c r="V177" t="s">
        <v>267</v>
      </c>
      <c r="W177" t="s">
        <v>679</v>
      </c>
      <c r="X177" t="s">
        <v>267</v>
      </c>
      <c r="Y177" t="s">
        <v>269</v>
      </c>
      <c r="Z177" t="s">
        <v>270</v>
      </c>
      <c r="AA177" t="s">
        <v>271</v>
      </c>
      <c r="AB177" t="s">
        <v>272</v>
      </c>
      <c r="AC177">
        <v>6.86</v>
      </c>
      <c r="AD177">
        <v>0.42725111091335899</v>
      </c>
      <c r="AE177">
        <v>0.4580126695418229</v>
      </c>
    </row>
    <row r="178" spans="1:31" x14ac:dyDescent="0.25">
      <c r="A178" t="s">
        <v>203</v>
      </c>
      <c r="B178" t="s">
        <v>681</v>
      </c>
      <c r="C178">
        <v>0</v>
      </c>
      <c r="D178">
        <v>270046.5</v>
      </c>
      <c r="E178">
        <v>77284.981746031684</v>
      </c>
      <c r="F178">
        <v>16.084643159999999</v>
      </c>
      <c r="G178">
        <v>125.92</v>
      </c>
      <c r="H178" t="s">
        <v>267</v>
      </c>
      <c r="I178">
        <v>5077.125</v>
      </c>
      <c r="J178">
        <v>-1</v>
      </c>
      <c r="K178" t="s">
        <v>682</v>
      </c>
      <c r="L178" t="s">
        <v>267</v>
      </c>
      <c r="M178">
        <v>16</v>
      </c>
      <c r="N178">
        <v>-5.2355159999999996</v>
      </c>
      <c r="O178">
        <v>-6.4765300000000003</v>
      </c>
      <c r="P178">
        <v>-0.37974799999999997</v>
      </c>
      <c r="Q178" t="s">
        <v>682</v>
      </c>
      <c r="R178" t="s">
        <v>682</v>
      </c>
      <c r="S178">
        <v>22836.43</v>
      </c>
      <c r="T178" t="s">
        <v>267</v>
      </c>
      <c r="U178" t="s">
        <v>267</v>
      </c>
      <c r="V178">
        <v>134.63999999999999</v>
      </c>
      <c r="W178" t="s">
        <v>682</v>
      </c>
      <c r="X178" t="s">
        <v>267</v>
      </c>
      <c r="Y178" t="s">
        <v>279</v>
      </c>
      <c r="Z178" t="s">
        <v>333</v>
      </c>
      <c r="AA178" t="s">
        <v>294</v>
      </c>
      <c r="AB178" t="s">
        <v>683</v>
      </c>
      <c r="AC178">
        <v>7.87</v>
      </c>
      <c r="AD178">
        <v>1.4223470788586805</v>
      </c>
      <c r="AE178">
        <v>1.4822023015009791</v>
      </c>
    </row>
    <row r="179" spans="1:31" x14ac:dyDescent="0.25">
      <c r="A179" t="s">
        <v>204</v>
      </c>
      <c r="B179" t="s">
        <v>684</v>
      </c>
      <c r="C179">
        <v>0</v>
      </c>
      <c r="D179">
        <v>2448661.0052631577</v>
      </c>
      <c r="E179">
        <v>7531111.766942149</v>
      </c>
      <c r="F179">
        <v>43.272819383838502</v>
      </c>
      <c r="G179">
        <v>338.03999999999996</v>
      </c>
      <c r="H179" t="s">
        <v>267</v>
      </c>
      <c r="I179">
        <v>21008000.614285707</v>
      </c>
      <c r="J179">
        <v>-1</v>
      </c>
      <c r="K179" t="s">
        <v>685</v>
      </c>
      <c r="L179" t="s">
        <v>267</v>
      </c>
      <c r="M179">
        <v>2.4</v>
      </c>
      <c r="N179">
        <v>31.747979999999998</v>
      </c>
      <c r="O179">
        <v>28.375389999999999</v>
      </c>
      <c r="P179">
        <v>3.9799229999999999</v>
      </c>
      <c r="Q179" t="s">
        <v>685</v>
      </c>
      <c r="R179" t="s">
        <v>685</v>
      </c>
      <c r="S179">
        <v>2704419</v>
      </c>
      <c r="T179" t="s">
        <v>267</v>
      </c>
      <c r="U179" t="s">
        <v>267</v>
      </c>
      <c r="V179">
        <v>666.40500000000009</v>
      </c>
      <c r="W179" t="s">
        <v>685</v>
      </c>
      <c r="X179" t="s">
        <v>267</v>
      </c>
      <c r="Y179" t="s">
        <v>310</v>
      </c>
      <c r="Z179" t="s">
        <v>270</v>
      </c>
      <c r="AA179" t="s">
        <v>275</v>
      </c>
      <c r="AB179" t="s">
        <v>272</v>
      </c>
      <c r="AC179">
        <v>145</v>
      </c>
      <c r="AD179">
        <v>0.39559137797485644</v>
      </c>
      <c r="AE179">
        <v>0.46780774126363978</v>
      </c>
    </row>
    <row r="180" spans="1:31" x14ac:dyDescent="0.25">
      <c r="A180" t="s">
        <v>205</v>
      </c>
      <c r="B180" t="s">
        <v>686</v>
      </c>
      <c r="C180">
        <v>0</v>
      </c>
      <c r="D180">
        <v>244457.875</v>
      </c>
      <c r="E180">
        <v>1977108.512428571</v>
      </c>
      <c r="F180">
        <v>46.939588717307856</v>
      </c>
      <c r="G180">
        <v>368.03159999999997</v>
      </c>
      <c r="H180" t="s">
        <v>267</v>
      </c>
      <c r="I180">
        <v>564443.19999999995</v>
      </c>
      <c r="J180">
        <v>-1</v>
      </c>
      <c r="K180" t="s">
        <v>687</v>
      </c>
      <c r="L180" t="s">
        <v>267</v>
      </c>
      <c r="M180">
        <v>6.66</v>
      </c>
      <c r="N180">
        <v>0.65592830000000002</v>
      </c>
      <c r="O180">
        <v>-0.32200630000000002</v>
      </c>
      <c r="P180">
        <v>-0.17914669999999999</v>
      </c>
      <c r="Q180" t="s">
        <v>687</v>
      </c>
      <c r="R180" t="s">
        <v>687</v>
      </c>
      <c r="S180">
        <v>337215.2</v>
      </c>
      <c r="T180" t="s">
        <v>267</v>
      </c>
      <c r="U180">
        <v>345.27328649999998</v>
      </c>
      <c r="V180">
        <v>495.55349999999999</v>
      </c>
      <c r="W180" t="s">
        <v>687</v>
      </c>
      <c r="X180" t="s">
        <v>267</v>
      </c>
      <c r="Y180" t="s">
        <v>310</v>
      </c>
      <c r="Z180" t="s">
        <v>270</v>
      </c>
      <c r="AA180" t="s">
        <v>336</v>
      </c>
      <c r="AB180" t="s">
        <v>428</v>
      </c>
      <c r="AC180">
        <v>55.72</v>
      </c>
      <c r="AD180">
        <v>0.39589508367957593</v>
      </c>
      <c r="AE180">
        <v>0.57975797989682321</v>
      </c>
    </row>
    <row r="181" spans="1:31" x14ac:dyDescent="0.25">
      <c r="A181" t="s">
        <v>206</v>
      </c>
      <c r="B181" t="s">
        <v>688</v>
      </c>
      <c r="C181">
        <v>0</v>
      </c>
      <c r="D181">
        <v>4583989.1578947371</v>
      </c>
      <c r="E181">
        <v>1319605.5213821132</v>
      </c>
      <c r="F181">
        <v>13.24623931</v>
      </c>
      <c r="G181">
        <v>102.00999999999999</v>
      </c>
      <c r="H181" t="s">
        <v>267</v>
      </c>
      <c r="I181">
        <v>1267264.5238095238</v>
      </c>
      <c r="J181">
        <v>-1</v>
      </c>
      <c r="K181" t="s">
        <v>689</v>
      </c>
      <c r="L181" t="s">
        <v>267</v>
      </c>
      <c r="M181">
        <v>10.1</v>
      </c>
      <c r="N181">
        <v>-7.4649299999999998</v>
      </c>
      <c r="O181">
        <v>-4.8446030000000002</v>
      </c>
      <c r="P181">
        <v>-11.404260000000001</v>
      </c>
      <c r="Q181" t="s">
        <v>689</v>
      </c>
      <c r="R181" t="s">
        <v>689</v>
      </c>
      <c r="S181">
        <v>3007218</v>
      </c>
      <c r="T181" t="s">
        <v>267</v>
      </c>
      <c r="U181" t="s">
        <v>267</v>
      </c>
      <c r="V181">
        <v>110.49399999999999</v>
      </c>
      <c r="W181" t="s">
        <v>689</v>
      </c>
      <c r="X181" t="s">
        <v>267</v>
      </c>
      <c r="Y181" t="s">
        <v>279</v>
      </c>
      <c r="Z181" t="s">
        <v>333</v>
      </c>
      <c r="AA181" t="s">
        <v>336</v>
      </c>
      <c r="AB181" t="s">
        <v>272</v>
      </c>
      <c r="AC181">
        <v>10.41</v>
      </c>
      <c r="AD181">
        <v>0.20396464937554831</v>
      </c>
      <c r="AE181">
        <v>0.25499399651011567</v>
      </c>
    </row>
    <row r="182" spans="1:31" x14ac:dyDescent="0.25">
      <c r="A182" t="s">
        <v>207</v>
      </c>
      <c r="B182" t="s">
        <v>690</v>
      </c>
      <c r="C182">
        <v>0</v>
      </c>
      <c r="D182">
        <v>99546.368421052641</v>
      </c>
      <c r="E182" t="s">
        <v>267</v>
      </c>
      <c r="F182">
        <v>63.35614645566875</v>
      </c>
      <c r="G182">
        <v>6.5584999999999996</v>
      </c>
      <c r="H182" t="s">
        <v>267</v>
      </c>
      <c r="I182">
        <v>5002.5</v>
      </c>
      <c r="J182">
        <v>-0.99</v>
      </c>
      <c r="K182" t="s">
        <v>606</v>
      </c>
      <c r="L182" t="s">
        <v>267</v>
      </c>
      <c r="M182">
        <v>6.4999999999999997E-3</v>
      </c>
      <c r="N182" t="s">
        <v>267</v>
      </c>
      <c r="O182" t="s">
        <v>267</v>
      </c>
      <c r="P182">
        <v>0.24826219999999999</v>
      </c>
      <c r="Q182" t="s">
        <v>606</v>
      </c>
      <c r="R182" t="s">
        <v>606</v>
      </c>
      <c r="S182">
        <v>220414.6</v>
      </c>
      <c r="T182" t="s">
        <v>267</v>
      </c>
      <c r="U182" t="s">
        <v>267</v>
      </c>
      <c r="V182" t="s">
        <v>267</v>
      </c>
      <c r="W182" t="s">
        <v>606</v>
      </c>
      <c r="X182" t="s">
        <v>267</v>
      </c>
      <c r="Y182" t="s">
        <v>615</v>
      </c>
      <c r="Z182" t="s">
        <v>270</v>
      </c>
      <c r="AA182" t="s">
        <v>307</v>
      </c>
      <c r="AB182" t="s">
        <v>485</v>
      </c>
      <c r="AC182">
        <v>1009.5</v>
      </c>
      <c r="AD182">
        <v>0.13116054019274234</v>
      </c>
      <c r="AE182">
        <v>0.13831672792961158</v>
      </c>
    </row>
    <row r="183" spans="1:31" x14ac:dyDescent="0.25">
      <c r="A183" t="s">
        <v>208</v>
      </c>
      <c r="B183" t="s">
        <v>691</v>
      </c>
      <c r="C183">
        <v>0</v>
      </c>
      <c r="D183">
        <v>172304.32631578948</v>
      </c>
      <c r="E183">
        <v>66775.017127659594</v>
      </c>
      <c r="F183">
        <v>83.964859331046526</v>
      </c>
      <c r="G183">
        <v>657.36</v>
      </c>
      <c r="H183" t="s">
        <v>267</v>
      </c>
      <c r="I183">
        <v>273711.4411764706</v>
      </c>
      <c r="J183">
        <v>-1</v>
      </c>
      <c r="K183" t="s">
        <v>360</v>
      </c>
      <c r="L183" t="s">
        <v>267</v>
      </c>
      <c r="M183">
        <v>88</v>
      </c>
      <c r="N183">
        <v>-7.5743910000000003</v>
      </c>
      <c r="O183">
        <v>-7.2749649999999999</v>
      </c>
      <c r="P183">
        <v>-9.9401240000000008</v>
      </c>
      <c r="Q183" t="s">
        <v>360</v>
      </c>
      <c r="R183" t="s">
        <v>360</v>
      </c>
      <c r="S183">
        <v>187847.9</v>
      </c>
      <c r="T183" t="s">
        <v>267</v>
      </c>
      <c r="U183" t="s">
        <v>267</v>
      </c>
      <c r="V183">
        <v>863.71499999999992</v>
      </c>
      <c r="W183" t="s">
        <v>360</v>
      </c>
      <c r="X183" t="s">
        <v>267</v>
      </c>
      <c r="Y183" t="s">
        <v>279</v>
      </c>
      <c r="Z183" t="s">
        <v>270</v>
      </c>
      <c r="AA183" t="s">
        <v>271</v>
      </c>
      <c r="AB183" t="s">
        <v>272</v>
      </c>
      <c r="AC183">
        <v>7.52</v>
      </c>
      <c r="AD183">
        <v>0.56052617879312039</v>
      </c>
      <c r="AE183">
        <v>0.72096027435936749</v>
      </c>
    </row>
    <row r="184" spans="1:31" x14ac:dyDescent="0.25">
      <c r="A184" t="s">
        <v>209</v>
      </c>
      <c r="B184" t="s">
        <v>692</v>
      </c>
      <c r="C184">
        <v>0</v>
      </c>
      <c r="D184">
        <v>2714803.6</v>
      </c>
      <c r="E184">
        <v>314546.7</v>
      </c>
      <c r="F184">
        <v>479.8042406613024</v>
      </c>
      <c r="G184">
        <v>3765.5279999999993</v>
      </c>
      <c r="H184" t="s">
        <v>267</v>
      </c>
      <c r="I184">
        <v>48315.142857142855</v>
      </c>
      <c r="J184">
        <v>-0.99</v>
      </c>
      <c r="K184" t="s">
        <v>693</v>
      </c>
      <c r="L184" t="s">
        <v>267</v>
      </c>
      <c r="M184">
        <v>46.8</v>
      </c>
      <c r="N184">
        <v>12.76679</v>
      </c>
      <c r="O184">
        <v>11.17151</v>
      </c>
      <c r="P184">
        <v>-4.1481089999999998</v>
      </c>
      <c r="Q184" t="s">
        <v>693</v>
      </c>
      <c r="R184" t="s">
        <v>693</v>
      </c>
      <c r="S184">
        <v>516945.7</v>
      </c>
      <c r="T184" t="s">
        <v>267</v>
      </c>
      <c r="U184" t="s">
        <v>267</v>
      </c>
      <c r="V184">
        <v>3296.3839999999996</v>
      </c>
      <c r="W184" t="s">
        <v>693</v>
      </c>
      <c r="X184" t="s">
        <v>267</v>
      </c>
      <c r="Y184" t="s">
        <v>310</v>
      </c>
      <c r="Z184" t="s">
        <v>270</v>
      </c>
      <c r="AA184" t="s">
        <v>294</v>
      </c>
      <c r="AB184" t="s">
        <v>272</v>
      </c>
      <c r="AC184">
        <v>81.8</v>
      </c>
      <c r="AD184">
        <v>0.62935007305094903</v>
      </c>
      <c r="AE184">
        <v>0.74939261153777181</v>
      </c>
    </row>
    <row r="185" spans="1:31" x14ac:dyDescent="0.25">
      <c r="A185" t="s">
        <v>210</v>
      </c>
      <c r="B185" t="s">
        <v>694</v>
      </c>
      <c r="C185">
        <v>0</v>
      </c>
      <c r="D185">
        <v>84803.123684210543</v>
      </c>
      <c r="E185">
        <v>54899.357142857138</v>
      </c>
      <c r="F185">
        <v>97.247786796903867</v>
      </c>
      <c r="G185">
        <v>42.501900000000006</v>
      </c>
      <c r="H185" t="s">
        <v>267</v>
      </c>
      <c r="I185">
        <v>14664.135714285714</v>
      </c>
      <c r="J185">
        <v>-0.99</v>
      </c>
      <c r="K185" t="s">
        <v>695</v>
      </c>
      <c r="L185" t="s">
        <v>267</v>
      </c>
      <c r="M185">
        <v>4.1999999999999996E-2</v>
      </c>
      <c r="N185">
        <v>0.95016</v>
      </c>
      <c r="O185">
        <v>0.93271360000000003</v>
      </c>
      <c r="P185">
        <v>0.1583833</v>
      </c>
      <c r="Q185" t="s">
        <v>696</v>
      </c>
      <c r="R185" t="s">
        <v>695</v>
      </c>
      <c r="S185">
        <v>72008.710000000006</v>
      </c>
      <c r="T185" t="s">
        <v>267</v>
      </c>
      <c r="U185" t="s">
        <v>267</v>
      </c>
      <c r="V185">
        <v>26.564924999999999</v>
      </c>
      <c r="W185" t="s">
        <v>695</v>
      </c>
      <c r="X185" t="s">
        <v>267</v>
      </c>
      <c r="Y185" t="s">
        <v>284</v>
      </c>
      <c r="Z185" t="s">
        <v>270</v>
      </c>
      <c r="AA185" t="s">
        <v>307</v>
      </c>
      <c r="AB185" t="s">
        <v>485</v>
      </c>
      <c r="AC185">
        <v>1011.8</v>
      </c>
      <c r="AD185">
        <v>2.0271174949176216E-2</v>
      </c>
      <c r="AE185">
        <v>1.9016966503891446E-2</v>
      </c>
    </row>
    <row r="186" spans="1:31" x14ac:dyDescent="0.25">
      <c r="A186" t="s">
        <v>211</v>
      </c>
      <c r="B186" t="s">
        <v>697</v>
      </c>
      <c r="C186">
        <v>0</v>
      </c>
      <c r="D186">
        <v>63612.333333333336</v>
      </c>
      <c r="E186" t="s">
        <v>267</v>
      </c>
      <c r="F186">
        <v>108.16432745183049</v>
      </c>
      <c r="G186">
        <v>851.98</v>
      </c>
      <c r="H186" t="s">
        <v>267</v>
      </c>
      <c r="I186" t="s">
        <v>267</v>
      </c>
      <c r="J186" t="s">
        <v>31</v>
      </c>
      <c r="K186" t="s">
        <v>663</v>
      </c>
      <c r="L186" t="s">
        <v>267</v>
      </c>
      <c r="M186">
        <v>82</v>
      </c>
      <c r="N186" t="s">
        <v>267</v>
      </c>
      <c r="O186" t="s">
        <v>267</v>
      </c>
      <c r="P186">
        <v>9.6433119999999997E-2</v>
      </c>
      <c r="Q186" t="s">
        <v>664</v>
      </c>
      <c r="R186" t="s">
        <v>663</v>
      </c>
      <c r="S186" t="s">
        <v>267</v>
      </c>
      <c r="T186" t="s">
        <v>267</v>
      </c>
      <c r="U186" t="s">
        <v>267</v>
      </c>
      <c r="V186" t="s">
        <v>267</v>
      </c>
      <c r="W186" t="s">
        <v>663</v>
      </c>
      <c r="X186" t="s">
        <v>267</v>
      </c>
      <c r="Y186" t="s">
        <v>279</v>
      </c>
      <c r="Z186" t="s">
        <v>270</v>
      </c>
      <c r="AA186" t="s">
        <v>271</v>
      </c>
      <c r="AB186" t="s">
        <v>272</v>
      </c>
      <c r="AC186">
        <v>10.38</v>
      </c>
      <c r="AD186">
        <v>0.5641009498310926</v>
      </c>
      <c r="AE186">
        <v>0.59612726860874365</v>
      </c>
    </row>
    <row r="187" spans="1:31" x14ac:dyDescent="0.25">
      <c r="A187" t="s">
        <v>212</v>
      </c>
      <c r="B187" t="s">
        <v>698</v>
      </c>
      <c r="C187">
        <v>0</v>
      </c>
      <c r="D187">
        <v>1287995.652631579</v>
      </c>
      <c r="E187">
        <v>3305940.9388429746</v>
      </c>
      <c r="F187">
        <v>41.442406890000001</v>
      </c>
      <c r="G187">
        <v>255.25799999999998</v>
      </c>
      <c r="H187" t="s">
        <v>267</v>
      </c>
      <c r="I187">
        <v>1543058.6857142856</v>
      </c>
      <c r="J187">
        <v>-1</v>
      </c>
      <c r="K187" t="s">
        <v>699</v>
      </c>
      <c r="L187" t="s">
        <v>267</v>
      </c>
      <c r="M187">
        <v>17.399999999999999</v>
      </c>
      <c r="N187">
        <v>0.52004989999999995</v>
      </c>
      <c r="O187">
        <v>-1.3280240000000001</v>
      </c>
      <c r="P187">
        <v>0.20229320000000001</v>
      </c>
      <c r="Q187" t="s">
        <v>685</v>
      </c>
      <c r="R187" t="s">
        <v>699</v>
      </c>
      <c r="S187">
        <v>1358950</v>
      </c>
      <c r="T187" t="s">
        <v>267</v>
      </c>
      <c r="U187" t="s">
        <v>267</v>
      </c>
      <c r="V187">
        <v>231.92400000000001</v>
      </c>
      <c r="W187" t="s">
        <v>699</v>
      </c>
      <c r="X187" t="s">
        <v>267</v>
      </c>
      <c r="Y187" t="s">
        <v>269</v>
      </c>
      <c r="Z187" t="s">
        <v>333</v>
      </c>
      <c r="AA187" t="s">
        <v>336</v>
      </c>
      <c r="AB187" t="s">
        <v>272</v>
      </c>
      <c r="AC187">
        <v>14.86</v>
      </c>
      <c r="AD187">
        <v>0.22711418946462156</v>
      </c>
      <c r="AE187">
        <v>0.27529004995303091</v>
      </c>
    </row>
    <row r="188" spans="1:31" x14ac:dyDescent="0.25">
      <c r="A188" t="s">
        <v>213</v>
      </c>
      <c r="B188" t="s">
        <v>700</v>
      </c>
      <c r="C188">
        <v>0</v>
      </c>
      <c r="D188">
        <v>160834.76470588235</v>
      </c>
      <c r="E188">
        <v>7520.2499999999991</v>
      </c>
      <c r="F188">
        <v>76.875997903622732</v>
      </c>
      <c r="G188">
        <v>603.1</v>
      </c>
      <c r="H188" t="s">
        <v>267</v>
      </c>
      <c r="I188">
        <v>4225</v>
      </c>
      <c r="J188">
        <v>-0.98</v>
      </c>
      <c r="K188" t="s">
        <v>642</v>
      </c>
      <c r="L188" t="s">
        <v>267</v>
      </c>
      <c r="M188">
        <v>37</v>
      </c>
      <c r="N188">
        <v>-0.71897200000000006</v>
      </c>
      <c r="O188">
        <v>-1.0197959999999999</v>
      </c>
      <c r="P188">
        <v>-5.9829020000000002</v>
      </c>
      <c r="Q188" t="s">
        <v>642</v>
      </c>
      <c r="R188" t="s">
        <v>642</v>
      </c>
      <c r="S188">
        <v>76296.800000000003</v>
      </c>
      <c r="T188" t="s">
        <v>267</v>
      </c>
      <c r="U188" t="s">
        <v>267</v>
      </c>
      <c r="V188">
        <v>616.79000000000008</v>
      </c>
      <c r="W188" t="s">
        <v>642</v>
      </c>
      <c r="X188" t="s">
        <v>267</v>
      </c>
      <c r="Y188" t="s">
        <v>532</v>
      </c>
      <c r="Z188" t="s">
        <v>270</v>
      </c>
      <c r="AA188" t="s">
        <v>294</v>
      </c>
      <c r="AB188" t="s">
        <v>272</v>
      </c>
      <c r="AC188">
        <v>16.5</v>
      </c>
      <c r="AD188">
        <v>0.37912540278237328</v>
      </c>
      <c r="AE188">
        <v>0.44413731887836255</v>
      </c>
    </row>
    <row r="189" spans="1:31" x14ac:dyDescent="0.25">
      <c r="A189" t="s">
        <v>214</v>
      </c>
      <c r="B189" t="s">
        <v>701</v>
      </c>
      <c r="C189">
        <v>0</v>
      </c>
      <c r="D189">
        <v>53695</v>
      </c>
      <c r="E189">
        <v>88817.985507246383</v>
      </c>
      <c r="F189" t="s">
        <v>267</v>
      </c>
      <c r="G189">
        <v>179.22</v>
      </c>
      <c r="H189" t="s">
        <v>267</v>
      </c>
      <c r="I189">
        <v>71791</v>
      </c>
      <c r="J189" t="s">
        <v>31</v>
      </c>
      <c r="K189" t="s">
        <v>702</v>
      </c>
      <c r="L189" t="s">
        <v>267</v>
      </c>
      <c r="M189">
        <v>2.1749999999999998</v>
      </c>
      <c r="N189">
        <v>1.127192</v>
      </c>
      <c r="O189">
        <v>-0.31378299999999998</v>
      </c>
      <c r="P189">
        <v>0.85469899999999999</v>
      </c>
      <c r="Q189" t="s">
        <v>703</v>
      </c>
      <c r="R189" t="s">
        <v>702</v>
      </c>
      <c r="S189">
        <v>4468.7539999999999</v>
      </c>
      <c r="T189" t="s">
        <v>267</v>
      </c>
      <c r="U189" t="s">
        <v>267</v>
      </c>
      <c r="V189">
        <v>176.07749999999999</v>
      </c>
      <c r="W189" t="s">
        <v>702</v>
      </c>
      <c r="X189" t="s">
        <v>267</v>
      </c>
      <c r="Y189" t="s">
        <v>330</v>
      </c>
      <c r="Z189" t="s">
        <v>450</v>
      </c>
      <c r="AA189" t="s">
        <v>451</v>
      </c>
      <c r="AB189" t="s">
        <v>428</v>
      </c>
      <c r="AC189">
        <v>82.6</v>
      </c>
      <c r="AD189">
        <v>0.85071573122429878</v>
      </c>
      <c r="AE189">
        <v>1.0313763153592668</v>
      </c>
    </row>
    <row r="190" spans="1:31" x14ac:dyDescent="0.25">
      <c r="A190" t="s">
        <v>215</v>
      </c>
      <c r="B190" t="s">
        <v>704</v>
      </c>
      <c r="C190">
        <v>0</v>
      </c>
      <c r="D190" t="s">
        <v>267</v>
      </c>
      <c r="E190">
        <v>13018.633333333333</v>
      </c>
      <c r="F190">
        <v>16.68</v>
      </c>
      <c r="G190">
        <v>128.56480000000002</v>
      </c>
      <c r="H190" t="s">
        <v>267</v>
      </c>
      <c r="I190" t="s">
        <v>267</v>
      </c>
      <c r="J190" t="s">
        <v>31</v>
      </c>
      <c r="K190" t="s">
        <v>652</v>
      </c>
      <c r="L190" t="s">
        <v>267</v>
      </c>
      <c r="M190">
        <v>1.6E-2</v>
      </c>
      <c r="N190">
        <v>2.5583420000000001</v>
      </c>
      <c r="O190">
        <v>2.4296630000000001</v>
      </c>
      <c r="P190">
        <v>0.27955039999999998</v>
      </c>
      <c r="Q190" t="s">
        <v>653</v>
      </c>
      <c r="R190" t="s">
        <v>652</v>
      </c>
      <c r="S190" t="s">
        <v>267</v>
      </c>
      <c r="T190" t="s">
        <v>267</v>
      </c>
      <c r="U190" t="s">
        <v>267</v>
      </c>
      <c r="V190">
        <v>125.51519999999999</v>
      </c>
      <c r="W190" t="s">
        <v>652</v>
      </c>
      <c r="X190" t="s">
        <v>267</v>
      </c>
      <c r="Y190" t="s">
        <v>654</v>
      </c>
      <c r="Z190" t="s">
        <v>270</v>
      </c>
      <c r="AA190" t="s">
        <v>307</v>
      </c>
      <c r="AB190" t="s">
        <v>485</v>
      </c>
      <c r="AC190">
        <v>8035.3</v>
      </c>
      <c r="AD190">
        <v>0.19340891121192422</v>
      </c>
      <c r="AE190">
        <v>0.19959193856619611</v>
      </c>
    </row>
    <row r="191" spans="1:31" x14ac:dyDescent="0.25">
      <c r="A191" t="s">
        <v>216</v>
      </c>
      <c r="B191" t="s">
        <v>705</v>
      </c>
      <c r="C191">
        <v>0</v>
      </c>
      <c r="D191">
        <v>14736754.105263157</v>
      </c>
      <c r="E191" t="s">
        <v>267</v>
      </c>
      <c r="F191">
        <v>26.90820234886063</v>
      </c>
      <c r="G191">
        <v>213.28</v>
      </c>
      <c r="H191" t="s">
        <v>267</v>
      </c>
      <c r="I191" t="s">
        <v>267</v>
      </c>
      <c r="J191" t="s">
        <v>31</v>
      </c>
      <c r="K191" t="s">
        <v>706</v>
      </c>
      <c r="L191" t="s">
        <v>267</v>
      </c>
      <c r="M191">
        <v>8.6</v>
      </c>
      <c r="N191" t="s">
        <v>267</v>
      </c>
      <c r="O191" t="s">
        <v>267</v>
      </c>
      <c r="P191">
        <v>7.8699779999999997</v>
      </c>
      <c r="Q191" t="s">
        <v>707</v>
      </c>
      <c r="R191" t="s">
        <v>706</v>
      </c>
      <c r="S191">
        <v>11382600</v>
      </c>
      <c r="T191" t="s">
        <v>267</v>
      </c>
      <c r="U191" t="s">
        <v>267</v>
      </c>
      <c r="V191" t="s">
        <v>267</v>
      </c>
      <c r="W191" t="s">
        <v>706</v>
      </c>
      <c r="X191" t="s">
        <v>267</v>
      </c>
      <c r="Y191" t="s">
        <v>302</v>
      </c>
      <c r="Z191" t="s">
        <v>270</v>
      </c>
      <c r="AA191" t="s">
        <v>303</v>
      </c>
      <c r="AB191" t="s">
        <v>272</v>
      </c>
      <c r="AC191">
        <v>25.22</v>
      </c>
      <c r="AD191">
        <v>0.21565574130723006</v>
      </c>
      <c r="AE191">
        <v>0.28577520839582399</v>
      </c>
    </row>
    <row r="192" spans="1:31" x14ac:dyDescent="0.25">
      <c r="A192" t="s">
        <v>217</v>
      </c>
      <c r="B192" t="s">
        <v>708</v>
      </c>
      <c r="C192">
        <v>0</v>
      </c>
      <c r="D192">
        <v>248396.10526315789</v>
      </c>
      <c r="E192" t="s">
        <v>267</v>
      </c>
      <c r="F192">
        <v>9.1926907333494849</v>
      </c>
      <c r="G192">
        <v>71.567999999999998</v>
      </c>
      <c r="H192" t="s">
        <v>267</v>
      </c>
      <c r="I192" t="s">
        <v>267</v>
      </c>
      <c r="J192" t="s">
        <v>31</v>
      </c>
      <c r="K192" t="s">
        <v>664</v>
      </c>
      <c r="L192" t="s">
        <v>267</v>
      </c>
      <c r="M192">
        <v>4.8</v>
      </c>
      <c r="N192" t="s">
        <v>267</v>
      </c>
      <c r="O192" t="s">
        <v>267</v>
      </c>
      <c r="P192">
        <v>-3.3974380000000002</v>
      </c>
      <c r="Q192" t="s">
        <v>497</v>
      </c>
      <c r="R192" t="s">
        <v>664</v>
      </c>
      <c r="S192" t="s">
        <v>267</v>
      </c>
      <c r="T192" t="s">
        <v>267</v>
      </c>
      <c r="U192" t="s">
        <v>267</v>
      </c>
      <c r="V192" t="s">
        <v>267</v>
      </c>
      <c r="W192" t="s">
        <v>664</v>
      </c>
      <c r="X192" t="s">
        <v>267</v>
      </c>
      <c r="Y192" t="s">
        <v>654</v>
      </c>
      <c r="Z192" t="s">
        <v>270</v>
      </c>
      <c r="AA192" t="s">
        <v>294</v>
      </c>
      <c r="AB192" t="s">
        <v>272</v>
      </c>
      <c r="AC192">
        <v>15.07</v>
      </c>
      <c r="AD192">
        <v>0.35153079889816208</v>
      </c>
      <c r="AE192">
        <v>0.46157928187889258</v>
      </c>
    </row>
    <row r="193" spans="1:31" x14ac:dyDescent="0.25">
      <c r="A193" t="s">
        <v>218</v>
      </c>
      <c r="B193" t="s">
        <v>709</v>
      </c>
      <c r="C193">
        <v>0</v>
      </c>
      <c r="D193">
        <v>2024714.9736842103</v>
      </c>
      <c r="E193" t="s">
        <v>267</v>
      </c>
      <c r="F193">
        <v>8.5135552543323829</v>
      </c>
      <c r="G193">
        <v>67.040000000000006</v>
      </c>
      <c r="H193" t="s">
        <v>267</v>
      </c>
      <c r="I193" t="s">
        <v>267</v>
      </c>
      <c r="J193" t="s">
        <v>31</v>
      </c>
      <c r="K193" t="s">
        <v>386</v>
      </c>
      <c r="L193" t="s">
        <v>267</v>
      </c>
      <c r="M193">
        <v>8</v>
      </c>
      <c r="N193" t="s">
        <v>267</v>
      </c>
      <c r="O193" t="s">
        <v>267</v>
      </c>
      <c r="P193">
        <v>-8.9019200000000005</v>
      </c>
      <c r="Q193" t="s">
        <v>387</v>
      </c>
      <c r="R193" t="s">
        <v>386</v>
      </c>
      <c r="S193" t="s">
        <v>267</v>
      </c>
      <c r="T193" t="s">
        <v>267</v>
      </c>
      <c r="U193" t="s">
        <v>267</v>
      </c>
      <c r="V193" t="s">
        <v>267</v>
      </c>
      <c r="W193" t="s">
        <v>386</v>
      </c>
      <c r="X193" t="s">
        <v>267</v>
      </c>
      <c r="Y193" t="s">
        <v>269</v>
      </c>
      <c r="Z193" t="s">
        <v>270</v>
      </c>
      <c r="AA193" t="s">
        <v>271</v>
      </c>
      <c r="AB193" t="s">
        <v>272</v>
      </c>
      <c r="AC193">
        <v>8.5449999999999999</v>
      </c>
      <c r="AD193">
        <v>0.19555684458812536</v>
      </c>
      <c r="AE193">
        <v>0.26526804501688683</v>
      </c>
    </row>
    <row r="194" spans="1:31" x14ac:dyDescent="0.25">
      <c r="A194" t="s">
        <v>219</v>
      </c>
      <c r="B194" t="s">
        <v>710</v>
      </c>
      <c r="C194">
        <v>0</v>
      </c>
      <c r="D194">
        <v>561493.21052631573</v>
      </c>
      <c r="E194" t="s">
        <v>267</v>
      </c>
      <c r="F194">
        <v>8.8326394078116817</v>
      </c>
      <c r="G194">
        <v>69.12</v>
      </c>
      <c r="H194" t="s">
        <v>267</v>
      </c>
      <c r="I194" t="s">
        <v>267</v>
      </c>
      <c r="J194" t="s">
        <v>31</v>
      </c>
      <c r="K194" t="s">
        <v>711</v>
      </c>
      <c r="L194" t="s">
        <v>267</v>
      </c>
      <c r="M194">
        <v>1</v>
      </c>
      <c r="N194" t="s">
        <v>267</v>
      </c>
      <c r="O194" t="s">
        <v>267</v>
      </c>
      <c r="P194">
        <v>-9.4349519999999991</v>
      </c>
      <c r="Q194" t="s">
        <v>680</v>
      </c>
      <c r="R194" t="s">
        <v>711</v>
      </c>
      <c r="S194" t="s">
        <v>267</v>
      </c>
      <c r="T194" t="s">
        <v>267</v>
      </c>
      <c r="U194" t="s">
        <v>267</v>
      </c>
      <c r="V194" t="s">
        <v>267</v>
      </c>
      <c r="W194" t="s">
        <v>711</v>
      </c>
      <c r="X194" t="s">
        <v>267</v>
      </c>
      <c r="Y194" t="s">
        <v>310</v>
      </c>
      <c r="Z194" t="s">
        <v>270</v>
      </c>
      <c r="AA194" t="s">
        <v>307</v>
      </c>
      <c r="AB194" t="s">
        <v>495</v>
      </c>
      <c r="AC194">
        <v>68.92</v>
      </c>
      <c r="AD194">
        <v>0.38551096727339834</v>
      </c>
      <c r="AE194">
        <v>0.45684591012365433</v>
      </c>
    </row>
    <row r="195" spans="1:31" x14ac:dyDescent="0.25">
      <c r="A195" t="s">
        <v>220</v>
      </c>
      <c r="B195" t="s">
        <v>712</v>
      </c>
      <c r="C195">
        <v>0</v>
      </c>
      <c r="D195">
        <v>1495.5</v>
      </c>
      <c r="E195" t="s">
        <v>267</v>
      </c>
      <c r="F195">
        <v>76.452605531681556</v>
      </c>
      <c r="G195">
        <v>601.79999999999995</v>
      </c>
      <c r="H195" t="s">
        <v>267</v>
      </c>
      <c r="I195" t="s">
        <v>267</v>
      </c>
      <c r="J195" t="s">
        <v>31</v>
      </c>
      <c r="K195" t="s">
        <v>663</v>
      </c>
      <c r="L195" t="s">
        <v>267</v>
      </c>
      <c r="M195">
        <v>85</v>
      </c>
      <c r="N195" t="s">
        <v>267</v>
      </c>
      <c r="O195" t="s">
        <v>267</v>
      </c>
      <c r="P195">
        <v>-7.7524449999999998</v>
      </c>
      <c r="Q195" t="s">
        <v>664</v>
      </c>
      <c r="R195" t="s">
        <v>663</v>
      </c>
      <c r="S195" t="s">
        <v>267</v>
      </c>
      <c r="T195" t="s">
        <v>267</v>
      </c>
      <c r="U195" t="s">
        <v>267</v>
      </c>
      <c r="V195" t="s">
        <v>267</v>
      </c>
      <c r="W195" t="s">
        <v>663</v>
      </c>
      <c r="X195" t="s">
        <v>267</v>
      </c>
      <c r="Y195" t="s">
        <v>279</v>
      </c>
      <c r="Z195" t="s">
        <v>270</v>
      </c>
      <c r="AA195" t="s">
        <v>294</v>
      </c>
      <c r="AB195" t="s">
        <v>272</v>
      </c>
      <c r="AC195">
        <v>7.08</v>
      </c>
      <c r="AD195">
        <v>0.83994515810094261</v>
      </c>
      <c r="AE195">
        <v>0.86501232056829069</v>
      </c>
    </row>
    <row r="196" spans="1:31" x14ac:dyDescent="0.25">
      <c r="A196" t="s">
        <v>221</v>
      </c>
      <c r="B196" t="s">
        <v>713</v>
      </c>
      <c r="C196">
        <v>0</v>
      </c>
      <c r="D196">
        <v>14720819.368421052</v>
      </c>
      <c r="E196">
        <v>13317493.850406496</v>
      </c>
      <c r="F196">
        <v>25.512085811198528</v>
      </c>
      <c r="G196">
        <v>200.10000000000002</v>
      </c>
      <c r="H196" t="s">
        <v>277</v>
      </c>
      <c r="I196">
        <v>12127240.761904761</v>
      </c>
      <c r="J196">
        <v>-1</v>
      </c>
      <c r="K196" t="s">
        <v>714</v>
      </c>
      <c r="L196" t="s">
        <v>267</v>
      </c>
      <c r="M196">
        <v>14.5</v>
      </c>
      <c r="N196">
        <v>70.771190000000004</v>
      </c>
      <c r="O196">
        <v>72.875</v>
      </c>
      <c r="P196">
        <v>5.3313009999999998</v>
      </c>
      <c r="Q196" t="s">
        <v>714</v>
      </c>
      <c r="R196" t="s">
        <v>714</v>
      </c>
      <c r="S196">
        <v>10068030</v>
      </c>
      <c r="T196" t="s">
        <v>267</v>
      </c>
      <c r="U196">
        <v>2.04711</v>
      </c>
      <c r="V196">
        <v>236</v>
      </c>
      <c r="W196" t="s">
        <v>714</v>
      </c>
      <c r="X196">
        <v>556154.66399999999</v>
      </c>
      <c r="Y196" t="s">
        <v>370</v>
      </c>
      <c r="Z196" t="s">
        <v>270</v>
      </c>
      <c r="AA196" t="s">
        <v>275</v>
      </c>
      <c r="AB196" t="s">
        <v>272</v>
      </c>
      <c r="AC196">
        <v>13.83</v>
      </c>
      <c r="AD196">
        <v>0.38022285076204276</v>
      </c>
      <c r="AE196">
        <v>0.52112080669648109</v>
      </c>
    </row>
    <row r="197" spans="1:31" x14ac:dyDescent="0.25">
      <c r="A197" t="s">
        <v>222</v>
      </c>
      <c r="B197" t="s">
        <v>715</v>
      </c>
      <c r="C197">
        <v>0</v>
      </c>
      <c r="D197">
        <v>3016202.8421052629</v>
      </c>
      <c r="E197">
        <v>953806.39484978572</v>
      </c>
      <c r="F197">
        <v>8.1</v>
      </c>
      <c r="G197">
        <v>64.295999999999992</v>
      </c>
      <c r="H197" t="s">
        <v>277</v>
      </c>
      <c r="I197">
        <v>315191.90000000002</v>
      </c>
      <c r="J197">
        <v>-1</v>
      </c>
      <c r="K197" t="s">
        <v>716</v>
      </c>
      <c r="L197" t="s">
        <v>267</v>
      </c>
      <c r="M197">
        <v>1.2</v>
      </c>
      <c r="N197">
        <v>27.646930000000001</v>
      </c>
      <c r="O197">
        <v>26.582280000000001</v>
      </c>
      <c r="P197">
        <v>-6.735754</v>
      </c>
      <c r="Q197" t="s">
        <v>716</v>
      </c>
      <c r="R197" t="s">
        <v>716</v>
      </c>
      <c r="S197">
        <v>1370924</v>
      </c>
      <c r="T197" t="s">
        <v>267</v>
      </c>
      <c r="U197">
        <v>1.3281830959999881</v>
      </c>
      <c r="V197">
        <v>51.191999999999993</v>
      </c>
      <c r="W197" t="s">
        <v>716</v>
      </c>
      <c r="X197">
        <v>356886.96</v>
      </c>
      <c r="Y197" t="s">
        <v>284</v>
      </c>
      <c r="Z197" t="s">
        <v>333</v>
      </c>
      <c r="AA197" t="s">
        <v>336</v>
      </c>
      <c r="AB197" t="s">
        <v>272</v>
      </c>
      <c r="AC197">
        <v>54</v>
      </c>
      <c r="AD197">
        <v>0.14840621315415137</v>
      </c>
      <c r="AE197">
        <v>0.16687626462289296</v>
      </c>
    </row>
    <row r="198" spans="1:31" x14ac:dyDescent="0.25">
      <c r="A198" t="s">
        <v>223</v>
      </c>
      <c r="B198" t="s">
        <v>717</v>
      </c>
      <c r="C198">
        <v>0</v>
      </c>
      <c r="D198">
        <v>4344151.421052631</v>
      </c>
      <c r="E198">
        <v>533330.33868312777</v>
      </c>
      <c r="F198">
        <v>19.35080887258902</v>
      </c>
      <c r="G198">
        <v>153.22500000000002</v>
      </c>
      <c r="H198" t="s">
        <v>277</v>
      </c>
      <c r="I198">
        <v>757411.90476190462</v>
      </c>
      <c r="J198">
        <v>-1</v>
      </c>
      <c r="K198" t="s">
        <v>379</v>
      </c>
      <c r="L198" t="s">
        <v>267</v>
      </c>
      <c r="M198">
        <v>0.75</v>
      </c>
      <c r="N198">
        <v>80.138729999999995</v>
      </c>
      <c r="O198">
        <v>76.297579999999996</v>
      </c>
      <c r="P198">
        <v>7.178547</v>
      </c>
      <c r="Q198" t="s">
        <v>379</v>
      </c>
      <c r="R198" t="s">
        <v>379</v>
      </c>
      <c r="S198">
        <v>2516786</v>
      </c>
      <c r="T198" t="s">
        <v>267</v>
      </c>
      <c r="U198">
        <v>7.4856967925973263</v>
      </c>
      <c r="V198">
        <v>109.82</v>
      </c>
      <c r="W198" t="s">
        <v>379</v>
      </c>
      <c r="X198">
        <v>20040917.285714284</v>
      </c>
      <c r="Y198" t="s">
        <v>279</v>
      </c>
      <c r="Z198" t="s">
        <v>380</v>
      </c>
      <c r="AA198" t="s">
        <v>381</v>
      </c>
      <c r="AB198" t="s">
        <v>281</v>
      </c>
      <c r="AC198">
        <v>203.8</v>
      </c>
      <c r="AD198">
        <v>0.23674259630393824</v>
      </c>
      <c r="AE198">
        <v>0.30718251329888674</v>
      </c>
    </row>
    <row r="199" spans="1:31" x14ac:dyDescent="0.25">
      <c r="A199" t="s">
        <v>224</v>
      </c>
      <c r="B199" t="s">
        <v>718</v>
      </c>
      <c r="C199">
        <v>0</v>
      </c>
      <c r="D199">
        <v>9766280.9473684225</v>
      </c>
      <c r="E199">
        <v>5806550.6747967508</v>
      </c>
      <c r="F199">
        <v>20.582784230000001</v>
      </c>
      <c r="G199">
        <v>163.29239999999999</v>
      </c>
      <c r="H199" t="s">
        <v>277</v>
      </c>
      <c r="I199">
        <v>2812400.3809523815</v>
      </c>
      <c r="J199">
        <v>-1</v>
      </c>
      <c r="K199" t="s">
        <v>719</v>
      </c>
      <c r="L199" t="s">
        <v>267</v>
      </c>
      <c r="M199">
        <v>4.0199999999999996</v>
      </c>
      <c r="N199">
        <v>28.17098</v>
      </c>
      <c r="O199">
        <v>27.126000000000001</v>
      </c>
      <c r="P199">
        <v>-6.4840169999999997</v>
      </c>
      <c r="Q199" t="s">
        <v>719</v>
      </c>
      <c r="R199" t="s">
        <v>719</v>
      </c>
      <c r="S199">
        <v>6559575</v>
      </c>
      <c r="T199" t="s">
        <v>267</v>
      </c>
      <c r="U199">
        <v>-49.005075112000007</v>
      </c>
      <c r="V199">
        <v>129.52439999999999</v>
      </c>
      <c r="W199" t="s">
        <v>719</v>
      </c>
      <c r="X199">
        <v>1949309.1600000001</v>
      </c>
      <c r="Y199" t="s">
        <v>279</v>
      </c>
      <c r="Z199" t="s">
        <v>333</v>
      </c>
      <c r="AA199" t="s">
        <v>336</v>
      </c>
      <c r="AB199" t="s">
        <v>272</v>
      </c>
      <c r="AC199">
        <v>40.96</v>
      </c>
      <c r="AD199">
        <v>9.9816414414998569E-2</v>
      </c>
      <c r="AE199">
        <v>0.10143318527333428</v>
      </c>
    </row>
    <row r="200" spans="1:31" x14ac:dyDescent="0.25">
      <c r="A200" t="s">
        <v>225</v>
      </c>
      <c r="B200" t="s">
        <v>720</v>
      </c>
      <c r="C200">
        <v>0</v>
      </c>
      <c r="D200">
        <v>31292444.947368424</v>
      </c>
      <c r="E200">
        <v>33234677.020325191</v>
      </c>
      <c r="F200">
        <v>170.25961122000001</v>
      </c>
      <c r="G200">
        <v>1305.836</v>
      </c>
      <c r="H200" t="s">
        <v>277</v>
      </c>
      <c r="I200">
        <v>88034822.857142866</v>
      </c>
      <c r="J200">
        <v>-1</v>
      </c>
      <c r="K200" t="s">
        <v>721</v>
      </c>
      <c r="L200" t="s">
        <v>267</v>
      </c>
      <c r="M200">
        <v>62.599999999999994</v>
      </c>
      <c r="N200">
        <v>-21.603349999999999</v>
      </c>
      <c r="O200">
        <v>-20.72072</v>
      </c>
      <c r="P200">
        <v>-20.481929999999998</v>
      </c>
      <c r="Q200" t="s">
        <v>721</v>
      </c>
      <c r="R200" t="s">
        <v>721</v>
      </c>
      <c r="S200">
        <v>40427160</v>
      </c>
      <c r="T200" t="s">
        <v>267</v>
      </c>
      <c r="U200">
        <v>-786.93643680799994</v>
      </c>
      <c r="V200">
        <v>1347.9840000000002</v>
      </c>
      <c r="W200" t="s">
        <v>721</v>
      </c>
      <c r="X200">
        <v>13523543.960000001</v>
      </c>
      <c r="Y200" t="s">
        <v>279</v>
      </c>
      <c r="Z200" t="s">
        <v>333</v>
      </c>
      <c r="AA200" t="s">
        <v>336</v>
      </c>
      <c r="AB200" t="s">
        <v>495</v>
      </c>
      <c r="AC200">
        <v>21.12</v>
      </c>
      <c r="AD200">
        <v>0.13660801998197725</v>
      </c>
      <c r="AE200">
        <v>0.14305653081442246</v>
      </c>
    </row>
    <row r="201" spans="1:31" x14ac:dyDescent="0.25">
      <c r="A201" t="s">
        <v>226</v>
      </c>
      <c r="B201" t="s">
        <v>722</v>
      </c>
      <c r="C201">
        <v>0</v>
      </c>
      <c r="D201">
        <v>1132630.2736842106</v>
      </c>
      <c r="E201">
        <v>1079729.1864583329</v>
      </c>
      <c r="F201">
        <v>2.1034476600000001</v>
      </c>
      <c r="G201">
        <v>17.806027999999998</v>
      </c>
      <c r="H201" t="s">
        <v>332</v>
      </c>
      <c r="I201">
        <v>975235.81428571418</v>
      </c>
      <c r="J201">
        <v>-1</v>
      </c>
      <c r="K201" t="s">
        <v>389</v>
      </c>
      <c r="L201" t="s">
        <v>267</v>
      </c>
      <c r="M201">
        <v>1.2031099999999999</v>
      </c>
      <c r="N201">
        <v>2.4536750000000001</v>
      </c>
      <c r="O201">
        <v>-4.2674279999999998</v>
      </c>
      <c r="P201">
        <v>33.267319999999998</v>
      </c>
      <c r="Q201" t="s">
        <v>389</v>
      </c>
      <c r="R201" t="s">
        <v>389</v>
      </c>
      <c r="S201">
        <v>1649419</v>
      </c>
      <c r="T201" t="s">
        <v>267</v>
      </c>
      <c r="U201" t="s">
        <v>267</v>
      </c>
      <c r="V201">
        <v>24.6487266</v>
      </c>
      <c r="W201" t="s">
        <v>389</v>
      </c>
      <c r="X201" t="s">
        <v>267</v>
      </c>
      <c r="Y201" t="s">
        <v>279</v>
      </c>
      <c r="Z201" t="s">
        <v>270</v>
      </c>
      <c r="AA201" t="s">
        <v>336</v>
      </c>
      <c r="AB201" t="s">
        <v>281</v>
      </c>
      <c r="AC201">
        <v>13.46</v>
      </c>
      <c r="AD201">
        <v>0.6293260394246617</v>
      </c>
      <c r="AE201">
        <v>0.66180136690342106</v>
      </c>
    </row>
    <row r="202" spans="1:31" x14ac:dyDescent="0.25">
      <c r="A202" t="s">
        <v>227</v>
      </c>
      <c r="B202" t="s">
        <v>723</v>
      </c>
      <c r="C202">
        <v>0</v>
      </c>
      <c r="D202">
        <v>1371457.4736842108</v>
      </c>
      <c r="E202">
        <v>3862294.700520834</v>
      </c>
      <c r="F202">
        <v>6.7476814000000003</v>
      </c>
      <c r="G202">
        <v>55.497363099999994</v>
      </c>
      <c r="H202" t="s">
        <v>332</v>
      </c>
      <c r="I202">
        <v>2208731.5190476188</v>
      </c>
      <c r="J202">
        <v>-1</v>
      </c>
      <c r="K202" t="s">
        <v>389</v>
      </c>
      <c r="L202" t="s">
        <v>267</v>
      </c>
      <c r="M202">
        <v>4.9684299999999997</v>
      </c>
      <c r="N202">
        <v>14.1129</v>
      </c>
      <c r="O202">
        <v>11.608090000000001</v>
      </c>
      <c r="P202">
        <v>24.98509</v>
      </c>
      <c r="Q202" t="s">
        <v>389</v>
      </c>
      <c r="R202" t="s">
        <v>389</v>
      </c>
      <c r="S202">
        <v>1575165</v>
      </c>
      <c r="T202" t="s">
        <v>267</v>
      </c>
      <c r="U202" t="s">
        <v>267</v>
      </c>
      <c r="V202">
        <v>72.476057699999998</v>
      </c>
      <c r="W202" t="s">
        <v>389</v>
      </c>
      <c r="X202" t="s">
        <v>267</v>
      </c>
      <c r="Y202" t="s">
        <v>279</v>
      </c>
      <c r="Z202" t="s">
        <v>270</v>
      </c>
      <c r="AA202" t="s">
        <v>336</v>
      </c>
      <c r="AB202" t="s">
        <v>281</v>
      </c>
      <c r="AC202">
        <v>10.48</v>
      </c>
      <c r="AD202">
        <v>0.25457933271963767</v>
      </c>
      <c r="AE202">
        <v>0.35328017982916993</v>
      </c>
    </row>
    <row r="203" spans="1:31" x14ac:dyDescent="0.25">
      <c r="A203" t="s">
        <v>228</v>
      </c>
      <c r="B203" t="s">
        <v>724</v>
      </c>
      <c r="C203">
        <v>0</v>
      </c>
      <c r="D203">
        <v>3447139.289473684</v>
      </c>
      <c r="E203">
        <v>1532422.5065040642</v>
      </c>
      <c r="F203">
        <v>4.7537689199999997</v>
      </c>
      <c r="G203">
        <v>36.869999999999997</v>
      </c>
      <c r="H203" t="s">
        <v>332</v>
      </c>
      <c r="I203">
        <v>836715.84761904762</v>
      </c>
      <c r="J203">
        <v>-1</v>
      </c>
      <c r="K203" t="s">
        <v>725</v>
      </c>
      <c r="L203" t="s">
        <v>267</v>
      </c>
      <c r="M203">
        <v>6</v>
      </c>
      <c r="N203">
        <v>31.4544</v>
      </c>
      <c r="O203">
        <v>32.101660000000003</v>
      </c>
      <c r="P203">
        <v>20.330739999999999</v>
      </c>
      <c r="Q203" t="s">
        <v>725</v>
      </c>
      <c r="R203" t="s">
        <v>725</v>
      </c>
      <c r="S203">
        <v>1433491</v>
      </c>
      <c r="T203" t="s">
        <v>267</v>
      </c>
      <c r="U203">
        <v>-29.071259360000006</v>
      </c>
      <c r="V203">
        <v>37.456000000000003</v>
      </c>
      <c r="W203" t="s">
        <v>725</v>
      </c>
      <c r="X203" t="s">
        <v>267</v>
      </c>
      <c r="Y203" t="s">
        <v>279</v>
      </c>
      <c r="Z203" t="s">
        <v>333</v>
      </c>
      <c r="AA203" t="s">
        <v>307</v>
      </c>
      <c r="AB203" t="s">
        <v>401</v>
      </c>
      <c r="AC203">
        <v>6.1849999999999996</v>
      </c>
      <c r="AD203">
        <v>0.27419491328462009</v>
      </c>
      <c r="AE203">
        <v>0.28595208275695111</v>
      </c>
    </row>
    <row r="204" spans="1:31" x14ac:dyDescent="0.25">
      <c r="A204" t="s">
        <v>229</v>
      </c>
      <c r="B204" t="s">
        <v>726</v>
      </c>
      <c r="C204">
        <v>0</v>
      </c>
      <c r="D204">
        <v>1443544.894736842</v>
      </c>
      <c r="E204">
        <v>2140527.925520834</v>
      </c>
      <c r="F204">
        <v>5.6214135199999999</v>
      </c>
      <c r="G204">
        <v>43.285286800000002</v>
      </c>
      <c r="H204" t="s">
        <v>332</v>
      </c>
      <c r="I204">
        <v>774039.11904761882</v>
      </c>
      <c r="J204">
        <v>-1</v>
      </c>
      <c r="K204" t="s">
        <v>389</v>
      </c>
      <c r="L204" t="s">
        <v>267</v>
      </c>
      <c r="M204">
        <v>2.8552299999999997</v>
      </c>
      <c r="N204">
        <v>-26.06026</v>
      </c>
      <c r="O204">
        <v>-25.074480000000001</v>
      </c>
      <c r="P204">
        <v>15.63218</v>
      </c>
      <c r="Q204" t="s">
        <v>389</v>
      </c>
      <c r="R204" t="s">
        <v>389</v>
      </c>
      <c r="S204">
        <v>1605433</v>
      </c>
      <c r="T204" t="s">
        <v>267</v>
      </c>
      <c r="U204" t="s">
        <v>267</v>
      </c>
      <c r="V204">
        <v>43.406332200000001</v>
      </c>
      <c r="W204" t="s">
        <v>389</v>
      </c>
      <c r="X204" t="s">
        <v>267</v>
      </c>
      <c r="Y204" t="s">
        <v>279</v>
      </c>
      <c r="Z204" t="s">
        <v>270</v>
      </c>
      <c r="AA204" t="s">
        <v>336</v>
      </c>
      <c r="AB204" t="s">
        <v>281</v>
      </c>
      <c r="AC204">
        <v>15.09</v>
      </c>
      <c r="AD204">
        <v>0.37638575177883898</v>
      </c>
      <c r="AE204">
        <v>0.44136644314246593</v>
      </c>
    </row>
    <row r="205" spans="1:31" x14ac:dyDescent="0.25">
      <c r="A205" t="s">
        <v>230</v>
      </c>
      <c r="B205" t="s">
        <v>727</v>
      </c>
      <c r="C205">
        <v>0</v>
      </c>
      <c r="D205">
        <v>4142810.0000000009</v>
      </c>
      <c r="E205">
        <v>5029449.4536585379</v>
      </c>
      <c r="F205">
        <v>24.7</v>
      </c>
      <c r="G205">
        <v>191.32320000000001</v>
      </c>
      <c r="H205" t="s">
        <v>332</v>
      </c>
      <c r="I205">
        <v>1470455.0238095236</v>
      </c>
      <c r="J205">
        <v>-1</v>
      </c>
      <c r="K205" t="s">
        <v>728</v>
      </c>
      <c r="L205" t="s">
        <v>267</v>
      </c>
      <c r="M205">
        <v>51.989999999999995</v>
      </c>
      <c r="N205">
        <v>-27.988199999999999</v>
      </c>
      <c r="O205">
        <v>-26.362539999999999</v>
      </c>
      <c r="P205">
        <v>4.2285709999999996</v>
      </c>
      <c r="Q205" t="s">
        <v>728</v>
      </c>
      <c r="R205" t="s">
        <v>728</v>
      </c>
      <c r="S205">
        <v>4175283</v>
      </c>
      <c r="T205" t="s">
        <v>267</v>
      </c>
      <c r="U205">
        <v>54.942269788000026</v>
      </c>
      <c r="V205">
        <v>225.35746</v>
      </c>
      <c r="W205" t="s">
        <v>728</v>
      </c>
      <c r="X205">
        <v>6271621.2000000002</v>
      </c>
      <c r="Y205" t="s">
        <v>284</v>
      </c>
      <c r="Z205" t="s">
        <v>333</v>
      </c>
      <c r="AA205" t="s">
        <v>336</v>
      </c>
      <c r="AB205" t="s">
        <v>272</v>
      </c>
      <c r="AC205">
        <v>3.6480000000000001</v>
      </c>
      <c r="AD205">
        <v>0.12511112947846903</v>
      </c>
      <c r="AE205">
        <v>0.12227823869954713</v>
      </c>
    </row>
    <row r="206" spans="1:31" x14ac:dyDescent="0.25">
      <c r="A206" t="s">
        <v>231</v>
      </c>
      <c r="B206" t="s">
        <v>729</v>
      </c>
      <c r="C206">
        <v>0</v>
      </c>
      <c r="D206">
        <v>31710977.894736838</v>
      </c>
      <c r="E206">
        <v>34874422.963414654</v>
      </c>
      <c r="F206">
        <v>192.71452350999999</v>
      </c>
      <c r="G206">
        <v>1496.3535999999999</v>
      </c>
      <c r="H206" t="s">
        <v>332</v>
      </c>
      <c r="I206">
        <v>16333934.666666668</v>
      </c>
      <c r="J206">
        <v>-1</v>
      </c>
      <c r="K206" t="s">
        <v>730</v>
      </c>
      <c r="L206" t="s">
        <v>267</v>
      </c>
      <c r="M206">
        <v>628.72</v>
      </c>
      <c r="N206">
        <v>-28.458780000000001</v>
      </c>
      <c r="O206">
        <v>-26.8323</v>
      </c>
      <c r="P206">
        <v>4.3401290000000001</v>
      </c>
      <c r="Q206" t="s">
        <v>730</v>
      </c>
      <c r="R206" t="s">
        <v>730</v>
      </c>
      <c r="S206">
        <v>31931740</v>
      </c>
      <c r="T206" t="s">
        <v>267</v>
      </c>
      <c r="U206">
        <v>445.27384173599995</v>
      </c>
      <c r="V206">
        <v>1761.7264</v>
      </c>
      <c r="W206" t="s">
        <v>730</v>
      </c>
      <c r="X206">
        <v>21646595.680000003</v>
      </c>
      <c r="Y206" t="s">
        <v>279</v>
      </c>
      <c r="Z206" t="s">
        <v>333</v>
      </c>
      <c r="AA206" t="s">
        <v>336</v>
      </c>
      <c r="AB206" t="s">
        <v>272</v>
      </c>
      <c r="AC206">
        <v>2.3559999999999999</v>
      </c>
      <c r="AD206">
        <v>0.10904720880493289</v>
      </c>
      <c r="AE206">
        <v>0.10258720596424821</v>
      </c>
    </row>
    <row r="207" spans="1:31" x14ac:dyDescent="0.25">
      <c r="A207" t="s">
        <v>232</v>
      </c>
      <c r="B207" t="s">
        <v>731</v>
      </c>
      <c r="C207">
        <v>0</v>
      </c>
      <c r="D207">
        <v>1880513.1789473686</v>
      </c>
      <c r="E207">
        <v>1650084.7802083329</v>
      </c>
      <c r="F207">
        <v>5.0730312099999999</v>
      </c>
      <c r="G207">
        <v>37.420782000000003</v>
      </c>
      <c r="H207" t="s">
        <v>277</v>
      </c>
      <c r="I207">
        <v>1708241.8190476191</v>
      </c>
      <c r="J207">
        <v>-1</v>
      </c>
      <c r="K207" t="s">
        <v>389</v>
      </c>
      <c r="L207" t="s">
        <v>267</v>
      </c>
      <c r="M207">
        <v>2.01187</v>
      </c>
      <c r="N207">
        <v>-72.096940000000004</v>
      </c>
      <c r="O207">
        <v>-70.462530000000001</v>
      </c>
      <c r="P207">
        <v>-36.017760000000003</v>
      </c>
      <c r="Q207" t="s">
        <v>389</v>
      </c>
      <c r="R207" t="s">
        <v>389</v>
      </c>
      <c r="S207">
        <v>2351531</v>
      </c>
      <c r="T207" t="s">
        <v>267</v>
      </c>
      <c r="U207" t="s">
        <v>267</v>
      </c>
      <c r="V207">
        <v>24.7229584</v>
      </c>
      <c r="W207" t="s">
        <v>389</v>
      </c>
      <c r="X207" t="s">
        <v>267</v>
      </c>
      <c r="Y207" t="s">
        <v>279</v>
      </c>
      <c r="Z207" t="s">
        <v>270</v>
      </c>
      <c r="AA207" t="s">
        <v>336</v>
      </c>
      <c r="AB207" t="s">
        <v>281</v>
      </c>
      <c r="AC207">
        <v>20.18</v>
      </c>
      <c r="AD207">
        <v>0.48547781106419907</v>
      </c>
      <c r="AE207">
        <v>0.57165147814049044</v>
      </c>
    </row>
    <row r="208" spans="1:31" x14ac:dyDescent="0.25">
      <c r="A208" t="s">
        <v>233</v>
      </c>
      <c r="B208" t="s">
        <v>732</v>
      </c>
      <c r="C208">
        <v>0</v>
      </c>
      <c r="D208">
        <v>2371376.6052631582</v>
      </c>
      <c r="E208">
        <v>5716429.8635416664</v>
      </c>
      <c r="F208">
        <v>10.92587975</v>
      </c>
      <c r="G208">
        <v>81.695060999999995</v>
      </c>
      <c r="H208" t="s">
        <v>277</v>
      </c>
      <c r="I208">
        <v>5706701.1904761894</v>
      </c>
      <c r="J208">
        <v>-1</v>
      </c>
      <c r="K208" t="s">
        <v>389</v>
      </c>
      <c r="L208" t="s">
        <v>267</v>
      </c>
      <c r="M208">
        <v>0.84482999999999997</v>
      </c>
      <c r="N208">
        <v>-39.819940000000003</v>
      </c>
      <c r="O208">
        <v>-38.374180000000003</v>
      </c>
      <c r="P208">
        <v>-26.566949999999999</v>
      </c>
      <c r="Q208" t="s">
        <v>389</v>
      </c>
      <c r="R208" t="s">
        <v>389</v>
      </c>
      <c r="S208">
        <v>3917451</v>
      </c>
      <c r="T208" t="s">
        <v>267</v>
      </c>
      <c r="U208" t="s">
        <v>267</v>
      </c>
      <c r="V208">
        <v>82.785059000000004</v>
      </c>
      <c r="W208" t="s">
        <v>389</v>
      </c>
      <c r="X208" t="s">
        <v>267</v>
      </c>
      <c r="Y208" t="s">
        <v>279</v>
      </c>
      <c r="Z208" t="s">
        <v>270</v>
      </c>
      <c r="AA208" t="s">
        <v>336</v>
      </c>
      <c r="AB208" t="s">
        <v>281</v>
      </c>
      <c r="AC208">
        <v>103.1</v>
      </c>
      <c r="AD208">
        <v>0.26785889123955953</v>
      </c>
      <c r="AE208">
        <v>0.39146217900006092</v>
      </c>
    </row>
    <row r="209" spans="1:31" x14ac:dyDescent="0.25">
      <c r="A209" t="s">
        <v>234</v>
      </c>
      <c r="B209" t="s">
        <v>733</v>
      </c>
      <c r="C209">
        <v>0</v>
      </c>
      <c r="D209">
        <v>6428440.5789473671</v>
      </c>
      <c r="E209">
        <v>2652042.7937500007</v>
      </c>
      <c r="F209">
        <v>9.6870765299999988</v>
      </c>
      <c r="G209">
        <v>76.827590000000001</v>
      </c>
      <c r="H209" t="s">
        <v>277</v>
      </c>
      <c r="I209">
        <v>1659835.0238095236</v>
      </c>
      <c r="J209">
        <v>-1</v>
      </c>
      <c r="K209" t="s">
        <v>389</v>
      </c>
      <c r="L209" t="s">
        <v>267</v>
      </c>
      <c r="M209">
        <v>0.5474</v>
      </c>
      <c r="N209">
        <v>-3.703408</v>
      </c>
      <c r="O209">
        <v>-5.6591189999999996</v>
      </c>
      <c r="P209">
        <v>-20.837990000000001</v>
      </c>
      <c r="Q209" t="s">
        <v>389</v>
      </c>
      <c r="R209" t="s">
        <v>389</v>
      </c>
      <c r="S209">
        <v>5598762</v>
      </c>
      <c r="T209" t="s">
        <v>267</v>
      </c>
      <c r="U209" t="s">
        <v>267</v>
      </c>
      <c r="V209">
        <v>59.689479999999989</v>
      </c>
      <c r="W209" t="s">
        <v>389</v>
      </c>
      <c r="X209" t="s">
        <v>267</v>
      </c>
      <c r="Y209" t="s">
        <v>279</v>
      </c>
      <c r="Z209" t="s">
        <v>270</v>
      </c>
      <c r="AA209" t="s">
        <v>336</v>
      </c>
      <c r="AB209" t="s">
        <v>281</v>
      </c>
      <c r="AC209">
        <v>141.69999999999999</v>
      </c>
      <c r="AD209">
        <v>0.25206780079422186</v>
      </c>
      <c r="AE209">
        <v>0.31649069708240796</v>
      </c>
    </row>
    <row r="210" spans="1:31" x14ac:dyDescent="0.25">
      <c r="A210" t="s">
        <v>235</v>
      </c>
      <c r="B210" t="s">
        <v>734</v>
      </c>
      <c r="C210">
        <v>0</v>
      </c>
      <c r="D210">
        <v>234994.15045538978</v>
      </c>
      <c r="E210">
        <v>201380.32442520661</v>
      </c>
      <c r="F210">
        <v>6.0848446596658432</v>
      </c>
      <c r="G210">
        <v>48.134037962829815</v>
      </c>
      <c r="H210" t="s">
        <v>267</v>
      </c>
      <c r="I210">
        <v>435093.43450878788</v>
      </c>
      <c r="J210">
        <v>-1</v>
      </c>
      <c r="K210" t="s">
        <v>735</v>
      </c>
      <c r="L210" t="s">
        <v>267</v>
      </c>
      <c r="M210">
        <v>0.75329999999999997</v>
      </c>
      <c r="N210">
        <v>-9.0335249999999991</v>
      </c>
      <c r="O210">
        <v>-9.7879269999999998</v>
      </c>
      <c r="P210">
        <v>-10.081300000000001</v>
      </c>
      <c r="Q210" t="s">
        <v>735</v>
      </c>
      <c r="R210" t="s">
        <v>735</v>
      </c>
      <c r="S210">
        <v>88653.51</v>
      </c>
      <c r="T210" t="s">
        <v>267</v>
      </c>
      <c r="U210">
        <v>-23.774025300455865</v>
      </c>
      <c r="V210">
        <v>51.428568432416192</v>
      </c>
      <c r="W210" t="s">
        <v>735</v>
      </c>
      <c r="X210">
        <v>76554.36579419332</v>
      </c>
      <c r="Y210" t="s">
        <v>269</v>
      </c>
      <c r="Z210" t="s">
        <v>384</v>
      </c>
      <c r="AA210" t="s">
        <v>307</v>
      </c>
      <c r="AB210" t="s">
        <v>495</v>
      </c>
      <c r="AC210">
        <v>55.3</v>
      </c>
      <c r="AD210">
        <v>0.76653973466964198</v>
      </c>
      <c r="AE210">
        <v>0.57206456604644695</v>
      </c>
    </row>
    <row r="211" spans="1:31" x14ac:dyDescent="0.25">
      <c r="A211" t="s">
        <v>236</v>
      </c>
      <c r="B211" t="s">
        <v>736</v>
      </c>
      <c r="C211">
        <v>0</v>
      </c>
      <c r="D211">
        <v>2446697.1325666662</v>
      </c>
      <c r="E211">
        <v>1094062.1065611118</v>
      </c>
      <c r="F211">
        <v>27.025123359999998</v>
      </c>
      <c r="G211">
        <v>43.249182291030884</v>
      </c>
      <c r="H211" t="s">
        <v>267</v>
      </c>
      <c r="I211">
        <v>585887.63964666682</v>
      </c>
      <c r="J211">
        <v>-1</v>
      </c>
      <c r="K211" t="s">
        <v>737</v>
      </c>
      <c r="L211" t="s">
        <v>267</v>
      </c>
      <c r="M211">
        <v>0.25</v>
      </c>
      <c r="N211">
        <v>61.643549999999998</v>
      </c>
      <c r="O211">
        <v>66.001480000000001</v>
      </c>
      <c r="P211">
        <v>-0.53144340000000001</v>
      </c>
      <c r="Q211" t="s">
        <v>738</v>
      </c>
      <c r="R211" t="s">
        <v>737</v>
      </c>
      <c r="S211">
        <v>175548</v>
      </c>
      <c r="T211" t="s">
        <v>267</v>
      </c>
      <c r="U211" t="s">
        <v>267</v>
      </c>
      <c r="V211">
        <v>21.063233400000001</v>
      </c>
      <c r="W211" t="s">
        <v>737</v>
      </c>
      <c r="X211" t="s">
        <v>267</v>
      </c>
      <c r="Y211" t="s">
        <v>330</v>
      </c>
      <c r="Z211" t="s">
        <v>333</v>
      </c>
      <c r="AA211" t="s">
        <v>357</v>
      </c>
      <c r="AB211" t="s">
        <v>272</v>
      </c>
      <c r="AC211">
        <v>22.46</v>
      </c>
      <c r="AD211">
        <v>0.29319401820010638</v>
      </c>
      <c r="AE211">
        <v>0.36456021531708493</v>
      </c>
    </row>
    <row r="212" spans="1:31" x14ac:dyDescent="0.25">
      <c r="A212" t="s">
        <v>237</v>
      </c>
      <c r="B212" t="s">
        <v>739</v>
      </c>
      <c r="C212">
        <v>0</v>
      </c>
      <c r="D212">
        <v>256663.14800000002</v>
      </c>
      <c r="E212" t="s">
        <v>267</v>
      </c>
      <c r="F212">
        <v>16.975036290000002</v>
      </c>
      <c r="G212">
        <v>132.30332369718201</v>
      </c>
      <c r="H212" t="s">
        <v>267</v>
      </c>
      <c r="I212" t="s">
        <v>267</v>
      </c>
      <c r="J212" t="s">
        <v>31</v>
      </c>
      <c r="K212" t="s">
        <v>740</v>
      </c>
      <c r="L212" t="s">
        <v>267</v>
      </c>
      <c r="M212">
        <v>4.06332</v>
      </c>
      <c r="N212" t="s">
        <v>267</v>
      </c>
      <c r="O212" t="s">
        <v>267</v>
      </c>
      <c r="P212">
        <v>-10.055859999999999</v>
      </c>
      <c r="Q212" t="s">
        <v>741</v>
      </c>
      <c r="R212" t="s">
        <v>740</v>
      </c>
      <c r="S212" t="s">
        <v>267</v>
      </c>
      <c r="T212" t="s">
        <v>267</v>
      </c>
      <c r="U212" t="s">
        <v>267</v>
      </c>
      <c r="V212" t="s">
        <v>267</v>
      </c>
      <c r="W212" t="s">
        <v>740</v>
      </c>
      <c r="X212" t="s">
        <v>267</v>
      </c>
      <c r="Y212" t="s">
        <v>284</v>
      </c>
      <c r="Z212" t="s">
        <v>333</v>
      </c>
      <c r="AA212" t="s">
        <v>307</v>
      </c>
      <c r="AB212" t="s">
        <v>495</v>
      </c>
      <c r="AC212">
        <v>4.1859999999999999</v>
      </c>
      <c r="AD212">
        <v>0.31317925215588049</v>
      </c>
      <c r="AE212">
        <v>0.34157374868896334</v>
      </c>
    </row>
    <row r="213" spans="1:31" x14ac:dyDescent="0.25">
      <c r="A213" t="s">
        <v>238</v>
      </c>
      <c r="B213" t="s">
        <v>742</v>
      </c>
      <c r="C213">
        <v>0</v>
      </c>
      <c r="D213">
        <v>226375.87757777778</v>
      </c>
      <c r="E213">
        <v>296812.85415124998</v>
      </c>
      <c r="F213">
        <v>5.84</v>
      </c>
      <c r="G213">
        <v>45.831585868263247</v>
      </c>
      <c r="H213" t="s">
        <v>267</v>
      </c>
      <c r="I213">
        <v>245418.6409575</v>
      </c>
      <c r="J213">
        <v>-1</v>
      </c>
      <c r="K213" t="s">
        <v>743</v>
      </c>
      <c r="L213" t="s">
        <v>267</v>
      </c>
      <c r="M213">
        <v>16.099999999999998</v>
      </c>
      <c r="N213">
        <v>-44.13984</v>
      </c>
      <c r="O213">
        <v>-42.503869999999999</v>
      </c>
      <c r="P213">
        <v>-11.638960000000001</v>
      </c>
      <c r="Q213" t="s">
        <v>743</v>
      </c>
      <c r="R213" t="s">
        <v>743</v>
      </c>
      <c r="S213">
        <v>17767.810000000001</v>
      </c>
      <c r="T213" t="s">
        <v>267</v>
      </c>
      <c r="U213" t="s">
        <v>267</v>
      </c>
      <c r="V213">
        <v>72.017421190000007</v>
      </c>
      <c r="W213" t="s">
        <v>743</v>
      </c>
      <c r="X213" t="s">
        <v>267</v>
      </c>
      <c r="Y213" t="s">
        <v>284</v>
      </c>
      <c r="Z213" t="s">
        <v>333</v>
      </c>
      <c r="AA213" t="s">
        <v>307</v>
      </c>
      <c r="AB213" t="s">
        <v>401</v>
      </c>
      <c r="AC213">
        <v>0.372</v>
      </c>
      <c r="AD213">
        <v>0.55497739916590894</v>
      </c>
      <c r="AE213">
        <v>0.61841350750997959</v>
      </c>
    </row>
    <row r="214" spans="1:31" x14ac:dyDescent="0.25">
      <c r="A214" t="s">
        <v>239</v>
      </c>
      <c r="B214" t="s">
        <v>744</v>
      </c>
      <c r="C214">
        <v>-0.29230710368575441</v>
      </c>
      <c r="D214">
        <v>737549.87499999988</v>
      </c>
      <c r="E214">
        <v>168646.24363095243</v>
      </c>
      <c r="F214">
        <v>1.3882685390392879</v>
      </c>
      <c r="G214">
        <v>10.756245</v>
      </c>
      <c r="H214" t="s">
        <v>267</v>
      </c>
      <c r="I214">
        <v>40767.5</v>
      </c>
      <c r="J214">
        <v>-1</v>
      </c>
      <c r="K214" t="s">
        <v>592</v>
      </c>
      <c r="L214" t="s">
        <v>267</v>
      </c>
      <c r="M214">
        <v>0.23474999999999999</v>
      </c>
      <c r="N214">
        <v>-13.839869999999999</v>
      </c>
      <c r="O214">
        <v>-15.08525</v>
      </c>
      <c r="P214">
        <v>1.822222</v>
      </c>
      <c r="Q214" t="s">
        <v>592</v>
      </c>
      <c r="R214" t="s">
        <v>592</v>
      </c>
      <c r="S214">
        <v>149910.1</v>
      </c>
      <c r="T214" t="s">
        <v>267</v>
      </c>
      <c r="U214">
        <v>136.63296500000001</v>
      </c>
      <c r="V214">
        <v>18.063109999999998</v>
      </c>
      <c r="W214" t="s">
        <v>592</v>
      </c>
      <c r="X214">
        <v>579596.86956521752</v>
      </c>
      <c r="Y214" t="s">
        <v>310</v>
      </c>
      <c r="Z214" t="s">
        <v>270</v>
      </c>
      <c r="AA214" t="s">
        <v>461</v>
      </c>
      <c r="AB214" t="s">
        <v>272</v>
      </c>
      <c r="AC214">
        <v>45.82</v>
      </c>
      <c r="AD214">
        <v>1.1570027841278709</v>
      </c>
      <c r="AE214">
        <v>1.4347146197444416</v>
      </c>
    </row>
    <row r="215" spans="1:31" x14ac:dyDescent="0.25">
      <c r="A215" t="s">
        <v>240</v>
      </c>
      <c r="B215" t="s">
        <v>745</v>
      </c>
      <c r="C215">
        <v>-0.35543011095523519</v>
      </c>
      <c r="D215">
        <v>258690.64210526316</v>
      </c>
      <c r="E215">
        <v>566615.01489583368</v>
      </c>
      <c r="F215">
        <v>3.1919114700000004</v>
      </c>
      <c r="G215">
        <v>24.0939382</v>
      </c>
      <c r="H215" t="s">
        <v>277</v>
      </c>
      <c r="I215">
        <v>178515.77142857146</v>
      </c>
      <c r="J215">
        <v>-1</v>
      </c>
      <c r="K215" t="s">
        <v>389</v>
      </c>
      <c r="L215" t="s">
        <v>267</v>
      </c>
      <c r="M215">
        <v>0.43950999999999996</v>
      </c>
      <c r="N215">
        <v>-12.45091</v>
      </c>
      <c r="O215">
        <v>-8.7837840000000007</v>
      </c>
      <c r="P215">
        <v>7.2644710000000003</v>
      </c>
      <c r="Q215" t="s">
        <v>389</v>
      </c>
      <c r="R215" t="s">
        <v>389</v>
      </c>
      <c r="S215">
        <v>208893</v>
      </c>
      <c r="T215" t="s">
        <v>267</v>
      </c>
      <c r="U215" t="s">
        <v>267</v>
      </c>
      <c r="V215">
        <v>30.427941599999997</v>
      </c>
      <c r="W215" t="s">
        <v>389</v>
      </c>
      <c r="X215" t="s">
        <v>267</v>
      </c>
      <c r="Y215" t="s">
        <v>279</v>
      </c>
      <c r="Z215" t="s">
        <v>270</v>
      </c>
      <c r="AA215" t="s">
        <v>336</v>
      </c>
      <c r="AB215" t="s">
        <v>281</v>
      </c>
      <c r="AC215">
        <v>56.7</v>
      </c>
      <c r="AD215">
        <v>0.30925518872757818</v>
      </c>
      <c r="AE215">
        <v>0.74225138265257351</v>
      </c>
    </row>
    <row r="216" spans="1:31" x14ac:dyDescent="0.25">
      <c r="A216" t="s">
        <v>241</v>
      </c>
      <c r="B216" t="s">
        <v>746</v>
      </c>
      <c r="C216">
        <v>-0.35762983037877849</v>
      </c>
      <c r="D216">
        <v>3626528.0736842109</v>
      </c>
      <c r="E216">
        <v>1265845.0458333325</v>
      </c>
      <c r="F216">
        <v>7.0160450299999999</v>
      </c>
      <c r="G216">
        <v>49.584476999999993</v>
      </c>
      <c r="H216" t="s">
        <v>332</v>
      </c>
      <c r="I216">
        <v>1110637.6857142858</v>
      </c>
      <c r="J216">
        <v>-1</v>
      </c>
      <c r="K216" t="s">
        <v>389</v>
      </c>
      <c r="L216" t="s">
        <v>267</v>
      </c>
      <c r="M216">
        <v>0.65156999999999998</v>
      </c>
      <c r="N216">
        <v>-7.9945740000000001</v>
      </c>
      <c r="O216">
        <v>7.3406089999999993E-2</v>
      </c>
      <c r="P216">
        <v>164.3827</v>
      </c>
      <c r="Q216" t="s">
        <v>389</v>
      </c>
      <c r="R216" t="s">
        <v>389</v>
      </c>
      <c r="S216">
        <v>2310217</v>
      </c>
      <c r="T216" t="s">
        <v>267</v>
      </c>
      <c r="U216" t="s">
        <v>267</v>
      </c>
      <c r="V216">
        <v>28.737331799999996</v>
      </c>
      <c r="W216" t="s">
        <v>389</v>
      </c>
      <c r="X216" t="s">
        <v>267</v>
      </c>
      <c r="Y216" t="s">
        <v>279</v>
      </c>
      <c r="Z216" t="s">
        <v>270</v>
      </c>
      <c r="AA216" t="s">
        <v>336</v>
      </c>
      <c r="AB216" t="s">
        <v>281</v>
      </c>
      <c r="AC216">
        <v>81.8</v>
      </c>
      <c r="AD216">
        <v>0.52472544686698419</v>
      </c>
      <c r="AE216">
        <v>0.62200147815427942</v>
      </c>
    </row>
    <row r="217" spans="1:31" x14ac:dyDescent="0.25">
      <c r="A217" t="s">
        <v>242</v>
      </c>
      <c r="B217" t="s">
        <v>747</v>
      </c>
      <c r="C217">
        <v>-0.61860865190619585</v>
      </c>
      <c r="D217">
        <v>12608426.315789474</v>
      </c>
      <c r="E217">
        <v>3749196.8008130086</v>
      </c>
      <c r="F217">
        <v>93.959367859454048</v>
      </c>
      <c r="G217">
        <v>736.0200000000001</v>
      </c>
      <c r="H217" t="s">
        <v>267</v>
      </c>
      <c r="I217">
        <v>5481061.8095238097</v>
      </c>
      <c r="J217">
        <v>-1</v>
      </c>
      <c r="K217" t="s">
        <v>748</v>
      </c>
      <c r="L217" t="s">
        <v>267</v>
      </c>
      <c r="M217">
        <v>43.5</v>
      </c>
      <c r="N217">
        <v>35.449919999999999</v>
      </c>
      <c r="O217">
        <v>36.436599999999999</v>
      </c>
      <c r="P217">
        <v>4.2944829999999996</v>
      </c>
      <c r="Q217" t="s">
        <v>748</v>
      </c>
      <c r="R217" t="s">
        <v>748</v>
      </c>
      <c r="S217">
        <v>13403090</v>
      </c>
      <c r="T217" t="s">
        <v>267</v>
      </c>
      <c r="U217">
        <v>-13.71069299999999</v>
      </c>
      <c r="V217">
        <v>489.678</v>
      </c>
      <c r="W217" t="s">
        <v>748</v>
      </c>
      <c r="X217">
        <v>1268975.8120000004</v>
      </c>
      <c r="Y217" t="s">
        <v>279</v>
      </c>
      <c r="Z217" t="s">
        <v>270</v>
      </c>
      <c r="AA217" t="s">
        <v>275</v>
      </c>
      <c r="AB217" t="s">
        <v>272</v>
      </c>
      <c r="AC217">
        <v>17</v>
      </c>
      <c r="AD217">
        <v>0.33829225689043524</v>
      </c>
      <c r="AE217">
        <v>0.42472451981401332</v>
      </c>
    </row>
    <row r="218" spans="1:31" x14ac:dyDescent="0.25">
      <c r="A218" t="s">
        <v>243</v>
      </c>
      <c r="B218" t="s">
        <v>749</v>
      </c>
      <c r="C218">
        <v>-0.66434829741104451</v>
      </c>
      <c r="D218">
        <v>57058.5</v>
      </c>
      <c r="E218">
        <v>80491.421428571426</v>
      </c>
      <c r="F218" t="s">
        <v>267</v>
      </c>
      <c r="G218">
        <v>9.2517040000000001</v>
      </c>
      <c r="H218" t="s">
        <v>267</v>
      </c>
      <c r="I218">
        <v>69150</v>
      </c>
      <c r="J218" t="s">
        <v>31</v>
      </c>
      <c r="K218" t="s">
        <v>544</v>
      </c>
      <c r="L218" t="s">
        <v>267</v>
      </c>
      <c r="M218">
        <v>9.1420000000000001E-2</v>
      </c>
      <c r="N218">
        <v>61.080669999999998</v>
      </c>
      <c r="O218">
        <v>55.788179999999997</v>
      </c>
      <c r="P218">
        <v>-4.528302</v>
      </c>
      <c r="Q218" t="s">
        <v>544</v>
      </c>
      <c r="R218" t="s">
        <v>544</v>
      </c>
      <c r="S218">
        <v>31337.8</v>
      </c>
      <c r="T218" t="s">
        <v>267</v>
      </c>
      <c r="U218" t="s">
        <v>267</v>
      </c>
      <c r="V218">
        <v>5.9386431999999996</v>
      </c>
      <c r="W218" t="s">
        <v>544</v>
      </c>
      <c r="X218" t="s">
        <v>267</v>
      </c>
      <c r="Y218" t="s">
        <v>310</v>
      </c>
      <c r="Z218" t="s">
        <v>270</v>
      </c>
      <c r="AA218" t="s">
        <v>303</v>
      </c>
      <c r="AB218" t="s">
        <v>272</v>
      </c>
      <c r="AC218">
        <v>101.2</v>
      </c>
      <c r="AD218">
        <v>1.0949242625371982</v>
      </c>
      <c r="AE218">
        <v>1.4344086866192558</v>
      </c>
    </row>
    <row r="219" spans="1:31" x14ac:dyDescent="0.25">
      <c r="A219" t="s">
        <v>244</v>
      </c>
      <c r="B219" t="s">
        <v>750</v>
      </c>
      <c r="C219">
        <v>-0.77664821569777809</v>
      </c>
      <c r="D219">
        <v>283053.76470588241</v>
      </c>
      <c r="E219">
        <v>263643.75410000002</v>
      </c>
      <c r="F219">
        <v>5.4328475000000003</v>
      </c>
      <c r="G219">
        <v>42.293999999999997</v>
      </c>
      <c r="H219" t="s">
        <v>267</v>
      </c>
      <c r="I219">
        <v>464958</v>
      </c>
      <c r="J219">
        <v>-1</v>
      </c>
      <c r="K219" t="s">
        <v>539</v>
      </c>
      <c r="L219" t="s">
        <v>267</v>
      </c>
      <c r="M219">
        <v>0.42</v>
      </c>
      <c r="N219">
        <v>3.858222</v>
      </c>
      <c r="O219">
        <v>4.4932109999999996</v>
      </c>
      <c r="P219">
        <v>-0.5469946</v>
      </c>
      <c r="Q219" t="s">
        <v>539</v>
      </c>
      <c r="R219" t="s">
        <v>539</v>
      </c>
      <c r="S219">
        <v>275243.59999999998</v>
      </c>
      <c r="T219" t="s">
        <v>267</v>
      </c>
      <c r="U219">
        <v>-37.190377999999988</v>
      </c>
      <c r="V219">
        <v>49.764000000000003</v>
      </c>
      <c r="W219" t="s">
        <v>539</v>
      </c>
      <c r="X219">
        <v>60271.3</v>
      </c>
      <c r="Y219" t="s">
        <v>330</v>
      </c>
      <c r="Z219" t="s">
        <v>270</v>
      </c>
      <c r="AA219" t="s">
        <v>474</v>
      </c>
      <c r="AB219" t="s">
        <v>272</v>
      </c>
      <c r="AC219">
        <v>100</v>
      </c>
      <c r="AD219">
        <v>0.57444445166785685</v>
      </c>
      <c r="AE219">
        <v>0.74091683501380923</v>
      </c>
    </row>
    <row r="220" spans="1:31" x14ac:dyDescent="0.25">
      <c r="A220" t="s">
        <v>245</v>
      </c>
      <c r="B220" t="s">
        <v>751</v>
      </c>
      <c r="C220">
        <v>-0.97522416899670672</v>
      </c>
      <c r="D220">
        <v>46221044.684210524</v>
      </c>
      <c r="E220">
        <v>54455644.981707297</v>
      </c>
      <c r="F220">
        <v>123.64035143647746</v>
      </c>
      <c r="G220">
        <v>964.76</v>
      </c>
      <c r="H220" t="s">
        <v>267</v>
      </c>
      <c r="I220">
        <v>85167852.285714284</v>
      </c>
      <c r="J220">
        <v>-1</v>
      </c>
      <c r="K220" t="s">
        <v>752</v>
      </c>
      <c r="L220" t="s">
        <v>267</v>
      </c>
      <c r="M220">
        <v>178</v>
      </c>
      <c r="N220">
        <v>-22.54917</v>
      </c>
      <c r="O220">
        <v>-19.828199999999999</v>
      </c>
      <c r="P220">
        <v>-9.8954170000000001</v>
      </c>
      <c r="Q220" t="s">
        <v>753</v>
      </c>
      <c r="R220" t="s">
        <v>752</v>
      </c>
      <c r="S220">
        <v>30344180</v>
      </c>
      <c r="T220" t="s">
        <v>267</v>
      </c>
      <c r="U220">
        <v>-298.7915799999999</v>
      </c>
      <c r="V220">
        <v>1725.2950000000001</v>
      </c>
      <c r="W220" t="s">
        <v>752</v>
      </c>
      <c r="X220">
        <v>23924203.376000002</v>
      </c>
      <c r="Y220" t="s">
        <v>284</v>
      </c>
      <c r="Z220" t="s">
        <v>270</v>
      </c>
      <c r="AA220" t="s">
        <v>271</v>
      </c>
      <c r="AB220" t="s">
        <v>272</v>
      </c>
      <c r="AC220">
        <v>5.6</v>
      </c>
      <c r="AD220">
        <v>0.10833289011659514</v>
      </c>
      <c r="AE220">
        <v>0.1081259543423751</v>
      </c>
    </row>
    <row r="221" spans="1:31" x14ac:dyDescent="0.25">
      <c r="A221" t="s">
        <v>246</v>
      </c>
      <c r="B221" t="s">
        <v>754</v>
      </c>
      <c r="C221">
        <v>-1.2205727904603996</v>
      </c>
      <c r="D221">
        <v>9454029.2105263155</v>
      </c>
      <c r="E221">
        <v>2700359.4504065034</v>
      </c>
      <c r="F221">
        <v>17.706649475268105</v>
      </c>
      <c r="G221">
        <v>138.89128500000001</v>
      </c>
      <c r="H221" t="s">
        <v>267</v>
      </c>
      <c r="I221">
        <v>3379822.2857142854</v>
      </c>
      <c r="J221">
        <v>-1</v>
      </c>
      <c r="K221" t="s">
        <v>755</v>
      </c>
      <c r="L221" t="s">
        <v>267</v>
      </c>
      <c r="M221">
        <v>0.12329999999999999</v>
      </c>
      <c r="N221">
        <v>1.210027</v>
      </c>
      <c r="O221">
        <v>1.226248</v>
      </c>
      <c r="P221">
        <v>0.14664489999999999</v>
      </c>
      <c r="Q221" t="s">
        <v>755</v>
      </c>
      <c r="R221" t="s">
        <v>755</v>
      </c>
      <c r="S221">
        <v>6632664</v>
      </c>
      <c r="T221" t="s">
        <v>267</v>
      </c>
      <c r="U221">
        <v>17.314903779999995</v>
      </c>
      <c r="V221">
        <v>105.52662000000001</v>
      </c>
      <c r="W221" t="s">
        <v>755</v>
      </c>
      <c r="X221">
        <v>1041188.1740000001</v>
      </c>
      <c r="Y221" t="s">
        <v>370</v>
      </c>
      <c r="Z221" t="s">
        <v>270</v>
      </c>
      <c r="AA221" t="s">
        <v>271</v>
      </c>
      <c r="AB221" t="s">
        <v>485</v>
      </c>
      <c r="AC221">
        <v>1126.8</v>
      </c>
      <c r="AD221">
        <v>6.5290728523408293E-3</v>
      </c>
      <c r="AE221">
        <v>8.0830986809450247E-3</v>
      </c>
    </row>
    <row r="222" spans="1:31" x14ac:dyDescent="0.25">
      <c r="A222" t="s">
        <v>247</v>
      </c>
      <c r="B222" t="s">
        <v>756</v>
      </c>
      <c r="C222">
        <v>-1.2363236518888858</v>
      </c>
      <c r="D222">
        <v>668520.8529411765</v>
      </c>
      <c r="E222">
        <v>2663007.7038626615</v>
      </c>
      <c r="F222" t="s">
        <v>267</v>
      </c>
      <c r="G222">
        <v>306.71999999999997</v>
      </c>
      <c r="H222" t="s">
        <v>267</v>
      </c>
      <c r="I222">
        <v>1633344.8333333335</v>
      </c>
      <c r="J222" t="s">
        <v>31</v>
      </c>
      <c r="K222" t="s">
        <v>757</v>
      </c>
      <c r="L222" t="s">
        <v>267</v>
      </c>
      <c r="M222">
        <v>48</v>
      </c>
      <c r="N222">
        <v>-8.4707039999999996</v>
      </c>
      <c r="O222">
        <v>-8.8235270000000003</v>
      </c>
      <c r="P222">
        <v>1.0333870000000001</v>
      </c>
      <c r="Q222" t="s">
        <v>757</v>
      </c>
      <c r="R222" t="s">
        <v>757</v>
      </c>
      <c r="S222">
        <v>443331.8</v>
      </c>
      <c r="T222" t="s">
        <v>267</v>
      </c>
      <c r="U222" t="s">
        <v>267</v>
      </c>
      <c r="V222">
        <v>397.28999999999996</v>
      </c>
      <c r="W222" t="s">
        <v>757</v>
      </c>
      <c r="X222" t="s">
        <v>267</v>
      </c>
      <c r="Y222" t="s">
        <v>284</v>
      </c>
      <c r="Z222" t="s">
        <v>270</v>
      </c>
      <c r="AA222" t="s">
        <v>461</v>
      </c>
      <c r="AB222" t="s">
        <v>272</v>
      </c>
      <c r="AC222">
        <v>6.3550000000000004</v>
      </c>
      <c r="AD222">
        <v>0.41343916503453115</v>
      </c>
      <c r="AE222">
        <v>0.50388229093475012</v>
      </c>
    </row>
    <row r="223" spans="1:31" x14ac:dyDescent="0.25">
      <c r="A223" t="s">
        <v>248</v>
      </c>
      <c r="B223" t="s">
        <v>758</v>
      </c>
      <c r="C223">
        <v>-1.3071814657659517</v>
      </c>
      <c r="D223">
        <v>3917156.4736842099</v>
      </c>
      <c r="E223">
        <v>3381795.1930894284</v>
      </c>
      <c r="F223">
        <v>112.45397910763695</v>
      </c>
      <c r="G223">
        <v>884.48199999999997</v>
      </c>
      <c r="H223" t="s">
        <v>267</v>
      </c>
      <c r="I223">
        <v>3226961.7142857146</v>
      </c>
      <c r="J223">
        <v>-1</v>
      </c>
      <c r="K223" t="s">
        <v>415</v>
      </c>
      <c r="L223" t="s">
        <v>267</v>
      </c>
      <c r="M223">
        <v>8.85</v>
      </c>
      <c r="N223">
        <v>-3.6246230000000002</v>
      </c>
      <c r="O223">
        <v>-6.860036</v>
      </c>
      <c r="P223">
        <v>-11.349690000000001</v>
      </c>
      <c r="Q223" t="s">
        <v>415</v>
      </c>
      <c r="R223" t="s">
        <v>415</v>
      </c>
      <c r="S223">
        <v>4910991</v>
      </c>
      <c r="T223" t="s">
        <v>267</v>
      </c>
      <c r="U223">
        <v>-421.47699999999986</v>
      </c>
      <c r="V223">
        <v>1091.43</v>
      </c>
      <c r="W223" t="s">
        <v>415</v>
      </c>
      <c r="X223">
        <v>5586806.7120000003</v>
      </c>
      <c r="Y223" t="s">
        <v>310</v>
      </c>
      <c r="Z223" t="s">
        <v>270</v>
      </c>
      <c r="AA223" t="s">
        <v>275</v>
      </c>
      <c r="AB223" t="s">
        <v>272</v>
      </c>
      <c r="AC223">
        <v>101.15</v>
      </c>
      <c r="AD223">
        <v>0.22538361820607636</v>
      </c>
      <c r="AE223">
        <v>0.27462422268392173</v>
      </c>
    </row>
    <row r="224" spans="1:31" x14ac:dyDescent="0.25">
      <c r="A224" t="s">
        <v>249</v>
      </c>
      <c r="B224" t="s">
        <v>759</v>
      </c>
      <c r="C224">
        <v>-1.6905110775058303</v>
      </c>
      <c r="D224">
        <v>5251249.421052631</v>
      </c>
      <c r="E224">
        <v>10767325.621951224</v>
      </c>
      <c r="F224">
        <v>44.535100626544299</v>
      </c>
      <c r="G224">
        <v>348.82</v>
      </c>
      <c r="H224" t="s">
        <v>277</v>
      </c>
      <c r="I224">
        <v>7912789.5238095233</v>
      </c>
      <c r="J224">
        <v>-1</v>
      </c>
      <c r="K224" t="s">
        <v>760</v>
      </c>
      <c r="L224" t="s">
        <v>267</v>
      </c>
      <c r="M224">
        <v>65.2</v>
      </c>
      <c r="N224">
        <v>4.847048</v>
      </c>
      <c r="O224">
        <v>12.3515</v>
      </c>
      <c r="P224">
        <v>-9.1070520000000002E-2</v>
      </c>
      <c r="Q224" t="s">
        <v>761</v>
      </c>
      <c r="R224" t="s">
        <v>760</v>
      </c>
      <c r="S224">
        <v>4375959</v>
      </c>
      <c r="T224" t="s">
        <v>267</v>
      </c>
      <c r="U224">
        <v>36.111096155959395</v>
      </c>
      <c r="V224">
        <v>517.49199999999996</v>
      </c>
      <c r="W224" t="s">
        <v>760</v>
      </c>
      <c r="X224">
        <v>3372630.2960000006</v>
      </c>
      <c r="Y224" t="s">
        <v>279</v>
      </c>
      <c r="Z224" t="s">
        <v>384</v>
      </c>
      <c r="AA224" t="s">
        <v>275</v>
      </c>
      <c r="AB224" t="s">
        <v>272</v>
      </c>
      <c r="AC224">
        <v>5.4850000000000003</v>
      </c>
      <c r="AD224">
        <v>0.32540996637377118</v>
      </c>
      <c r="AE224">
        <v>0.40104314780616734</v>
      </c>
    </row>
    <row r="225" spans="1:31" x14ac:dyDescent="0.25">
      <c r="A225" t="s">
        <v>250</v>
      </c>
      <c r="B225" t="s">
        <v>762</v>
      </c>
      <c r="C225">
        <v>-2.290484177075514</v>
      </c>
      <c r="D225">
        <v>19083856.578947369</v>
      </c>
      <c r="E225">
        <v>9707846.0727642197</v>
      </c>
      <c r="F225">
        <v>85.323681739028117</v>
      </c>
      <c r="G225">
        <v>670.40600000000006</v>
      </c>
      <c r="H225" t="s">
        <v>267</v>
      </c>
      <c r="I225">
        <v>8571110.5714285709</v>
      </c>
      <c r="J225">
        <v>-1</v>
      </c>
      <c r="K225" t="s">
        <v>763</v>
      </c>
      <c r="L225" t="s">
        <v>267</v>
      </c>
      <c r="M225">
        <v>34.1</v>
      </c>
      <c r="N225">
        <v>50.482959999999999</v>
      </c>
      <c r="O225">
        <v>63.738010000000003</v>
      </c>
      <c r="P225">
        <v>20.16413</v>
      </c>
      <c r="Q225" t="s">
        <v>763</v>
      </c>
      <c r="R225" t="s">
        <v>763</v>
      </c>
      <c r="S225">
        <v>12737560</v>
      </c>
      <c r="T225" t="s">
        <v>267</v>
      </c>
      <c r="U225">
        <v>-0.61187228336262045</v>
      </c>
      <c r="V225">
        <v>487.02799999999996</v>
      </c>
      <c r="W225" t="s">
        <v>763</v>
      </c>
      <c r="X225">
        <v>622195.97916666663</v>
      </c>
      <c r="Y225" t="s">
        <v>279</v>
      </c>
      <c r="Z225" t="s">
        <v>384</v>
      </c>
      <c r="AA225" t="s">
        <v>275</v>
      </c>
      <c r="AB225" t="s">
        <v>272</v>
      </c>
      <c r="AC225">
        <v>20.5</v>
      </c>
      <c r="AD225">
        <v>0.30013361203022593</v>
      </c>
      <c r="AE225">
        <v>0.39388905698575655</v>
      </c>
    </row>
    <row r="226" spans="1:31" x14ac:dyDescent="0.25">
      <c r="A226" t="s">
        <v>251</v>
      </c>
      <c r="B226" t="s">
        <v>764</v>
      </c>
      <c r="C226">
        <v>-3.9299850000000247</v>
      </c>
      <c r="D226">
        <v>7747575.2105263164</v>
      </c>
      <c r="E226">
        <v>10874168.891056918</v>
      </c>
      <c r="F226">
        <v>168.50196031000002</v>
      </c>
      <c r="G226">
        <v>1242.912</v>
      </c>
      <c r="H226" t="s">
        <v>267</v>
      </c>
      <c r="I226">
        <v>10164505.19047619</v>
      </c>
      <c r="J226">
        <v>-1</v>
      </c>
      <c r="K226" t="s">
        <v>765</v>
      </c>
      <c r="L226" t="s">
        <v>267</v>
      </c>
      <c r="M226">
        <v>18.149999999999999</v>
      </c>
      <c r="N226">
        <v>1.748068</v>
      </c>
      <c r="O226">
        <v>-0.43630330000000001</v>
      </c>
      <c r="P226">
        <v>2.2401450000000001</v>
      </c>
      <c r="Q226" t="s">
        <v>408</v>
      </c>
      <c r="R226" t="s">
        <v>765</v>
      </c>
      <c r="S226">
        <v>10153740</v>
      </c>
      <c r="T226" t="s">
        <v>267</v>
      </c>
      <c r="U226">
        <v>120.27362989949999</v>
      </c>
      <c r="V226">
        <v>1268.6220000000001</v>
      </c>
      <c r="W226" t="s">
        <v>765</v>
      </c>
      <c r="X226">
        <v>1558913.4240000001</v>
      </c>
      <c r="Y226" t="s">
        <v>279</v>
      </c>
      <c r="Z226" t="s">
        <v>333</v>
      </c>
      <c r="AA226" t="s">
        <v>336</v>
      </c>
      <c r="AB226" t="s">
        <v>428</v>
      </c>
      <c r="AC226">
        <v>68.459999999999994</v>
      </c>
      <c r="AD226">
        <v>7.9348815463881256E-2</v>
      </c>
      <c r="AE226">
        <v>0.11157843703339913</v>
      </c>
    </row>
    <row r="227" spans="1:31" x14ac:dyDescent="0.25">
      <c r="A227" t="s">
        <v>252</v>
      </c>
      <c r="B227" t="s">
        <v>766</v>
      </c>
      <c r="C227">
        <v>-4.3349335510037488</v>
      </c>
      <c r="D227">
        <v>3397998.2631578948</v>
      </c>
      <c r="E227">
        <v>6479967.1943089459</v>
      </c>
      <c r="F227">
        <v>8.511196829930757</v>
      </c>
      <c r="G227">
        <v>66.864000000000004</v>
      </c>
      <c r="H227" t="s">
        <v>332</v>
      </c>
      <c r="I227">
        <v>6412592.333333333</v>
      </c>
      <c r="J227">
        <v>-1</v>
      </c>
      <c r="K227" t="s">
        <v>767</v>
      </c>
      <c r="L227" t="s">
        <v>267</v>
      </c>
      <c r="M227">
        <v>33.6</v>
      </c>
      <c r="N227">
        <v>30.296469999999999</v>
      </c>
      <c r="O227">
        <v>25.196850000000001</v>
      </c>
      <c r="P227">
        <v>19.54888</v>
      </c>
      <c r="Q227" t="s">
        <v>296</v>
      </c>
      <c r="R227" t="s">
        <v>767</v>
      </c>
      <c r="S227">
        <v>5960498</v>
      </c>
      <c r="T227" t="s">
        <v>267</v>
      </c>
      <c r="U227">
        <v>19.177759999999992</v>
      </c>
      <c r="V227">
        <v>54.864000000000004</v>
      </c>
      <c r="W227" t="s">
        <v>767</v>
      </c>
      <c r="X227">
        <v>4807192.4000000013</v>
      </c>
      <c r="Y227" t="s">
        <v>279</v>
      </c>
      <c r="Z227" t="s">
        <v>270</v>
      </c>
      <c r="AA227" t="s">
        <v>275</v>
      </c>
      <c r="AB227" t="s">
        <v>272</v>
      </c>
      <c r="AC227">
        <v>1.9079999999999999</v>
      </c>
      <c r="AD227">
        <v>0.17230256472725733</v>
      </c>
      <c r="AE227">
        <v>0.15409119863133633</v>
      </c>
    </row>
    <row r="228" spans="1:31" x14ac:dyDescent="0.25">
      <c r="A228" t="s">
        <v>253</v>
      </c>
      <c r="B228" t="s">
        <v>768</v>
      </c>
      <c r="C228">
        <v>-4.378110265503798</v>
      </c>
      <c r="D228">
        <v>281630731.57894742</v>
      </c>
      <c r="E228">
        <v>169429123.7398375</v>
      </c>
      <c r="F228">
        <v>793.38294570714459</v>
      </c>
      <c r="G228">
        <v>5514.375</v>
      </c>
      <c r="H228" t="s">
        <v>267</v>
      </c>
      <c r="I228">
        <v>241054407.61904758</v>
      </c>
      <c r="J228">
        <v>-1</v>
      </c>
      <c r="K228" t="s">
        <v>769</v>
      </c>
      <c r="L228" t="s">
        <v>267</v>
      </c>
      <c r="M228">
        <v>1297.5</v>
      </c>
      <c r="N228">
        <v>-22.620519999999999</v>
      </c>
      <c r="O228">
        <v>-20.145849999999999</v>
      </c>
      <c r="P228">
        <v>-10.13541</v>
      </c>
      <c r="Q228" t="s">
        <v>770</v>
      </c>
      <c r="R228" t="s">
        <v>769</v>
      </c>
      <c r="S228">
        <v>218073300</v>
      </c>
      <c r="T228" t="s">
        <v>267</v>
      </c>
      <c r="U228">
        <v>304.11654711864469</v>
      </c>
      <c r="V228">
        <v>6351.63</v>
      </c>
      <c r="W228" t="s">
        <v>769</v>
      </c>
      <c r="X228">
        <v>54528537.20000001</v>
      </c>
      <c r="Y228" t="s">
        <v>269</v>
      </c>
      <c r="Z228" t="s">
        <v>270</v>
      </c>
      <c r="AA228" t="s">
        <v>271</v>
      </c>
      <c r="AB228" t="s">
        <v>272</v>
      </c>
      <c r="AC228">
        <v>4.38</v>
      </c>
      <c r="AD228">
        <v>6.2631352584836111E-2</v>
      </c>
      <c r="AE228">
        <v>5.8017830537829489E-2</v>
      </c>
    </row>
    <row r="229" spans="1:31" x14ac:dyDescent="0.25">
      <c r="A229" t="s">
        <v>254</v>
      </c>
      <c r="B229" t="s">
        <v>771</v>
      </c>
      <c r="C229">
        <v>-6.1780271917965468</v>
      </c>
      <c r="D229">
        <v>51145374.210526317</v>
      </c>
      <c r="E229">
        <v>50272128.703252055</v>
      </c>
      <c r="F229">
        <v>937.82130531386042</v>
      </c>
      <c r="G229">
        <v>7376.26</v>
      </c>
      <c r="H229" t="s">
        <v>267</v>
      </c>
      <c r="I229">
        <v>32471708.095238097</v>
      </c>
      <c r="J229">
        <v>-1</v>
      </c>
      <c r="K229" t="s">
        <v>772</v>
      </c>
      <c r="L229" t="s">
        <v>267</v>
      </c>
      <c r="M229">
        <v>464.5</v>
      </c>
      <c r="N229">
        <v>4.1624090000000002</v>
      </c>
      <c r="O229">
        <v>6.5476200000000002</v>
      </c>
      <c r="P229">
        <v>-1.467892</v>
      </c>
      <c r="Q229" t="s">
        <v>772</v>
      </c>
      <c r="R229" t="s">
        <v>772</v>
      </c>
      <c r="S229">
        <v>48126710</v>
      </c>
      <c r="T229" t="s">
        <v>267</v>
      </c>
      <c r="U229">
        <v>-446.51217000000008</v>
      </c>
      <c r="V229">
        <v>8247.9599999999991</v>
      </c>
      <c r="W229" t="s">
        <v>772</v>
      </c>
      <c r="X229">
        <v>37160528.960000001</v>
      </c>
      <c r="Y229" t="s">
        <v>279</v>
      </c>
      <c r="Z229" t="s">
        <v>270</v>
      </c>
      <c r="AA229" t="s">
        <v>275</v>
      </c>
      <c r="AB229" t="s">
        <v>272</v>
      </c>
      <c r="AC229">
        <v>16.11</v>
      </c>
      <c r="AD229">
        <v>9.5293958972840931E-2</v>
      </c>
      <c r="AE229">
        <v>0.10140121464145344</v>
      </c>
    </row>
    <row r="230" spans="1:31" x14ac:dyDescent="0.25">
      <c r="A230" t="s">
        <v>255</v>
      </c>
      <c r="B230" t="s">
        <v>773</v>
      </c>
      <c r="C230">
        <v>-6.7101803433410714</v>
      </c>
      <c r="D230">
        <v>4474514.3894736851</v>
      </c>
      <c r="E230">
        <v>6412836.3520325199</v>
      </c>
      <c r="F230">
        <v>14.970976054883256</v>
      </c>
      <c r="G230">
        <v>117.56159999999998</v>
      </c>
      <c r="H230" t="s">
        <v>332</v>
      </c>
      <c r="I230">
        <v>4755689.9571428569</v>
      </c>
      <c r="J230">
        <v>-1</v>
      </c>
      <c r="K230" t="s">
        <v>296</v>
      </c>
      <c r="L230" t="s">
        <v>267</v>
      </c>
      <c r="M230">
        <v>31.2</v>
      </c>
      <c r="N230">
        <v>9.1898330000000001</v>
      </c>
      <c r="O230">
        <v>7.5362299999999998</v>
      </c>
      <c r="P230">
        <v>8.4795300000000005</v>
      </c>
      <c r="Q230" t="s">
        <v>296</v>
      </c>
      <c r="R230" t="s">
        <v>296</v>
      </c>
      <c r="S230">
        <v>6366240</v>
      </c>
      <c r="T230" t="s">
        <v>267</v>
      </c>
      <c r="U230">
        <v>-17.161679999999997</v>
      </c>
      <c r="V230">
        <v>135.24</v>
      </c>
      <c r="W230" t="s">
        <v>296</v>
      </c>
      <c r="X230">
        <v>8404044.3600000013</v>
      </c>
      <c r="Y230" t="s">
        <v>279</v>
      </c>
      <c r="Z230" t="s">
        <v>270</v>
      </c>
      <c r="AA230" t="s">
        <v>271</v>
      </c>
      <c r="AB230" t="s">
        <v>272</v>
      </c>
      <c r="AC230">
        <v>3.71</v>
      </c>
      <c r="AD230">
        <v>7.8104873624719309E-2</v>
      </c>
      <c r="AE230">
        <v>6.8948160834192668E-2</v>
      </c>
    </row>
    <row r="231" spans="1:31" x14ac:dyDescent="0.25">
      <c r="A231" t="s">
        <v>256</v>
      </c>
      <c r="B231" t="s">
        <v>774</v>
      </c>
      <c r="C231">
        <v>-6.7573742888486352</v>
      </c>
      <c r="D231">
        <v>472467.51624999993</v>
      </c>
      <c r="E231">
        <v>2080593.203862661</v>
      </c>
      <c r="F231">
        <v>50.938559306818313</v>
      </c>
      <c r="G231">
        <v>398.33600000000001</v>
      </c>
      <c r="H231" t="s">
        <v>267</v>
      </c>
      <c r="I231">
        <v>324403.52380952373</v>
      </c>
      <c r="J231">
        <v>-1</v>
      </c>
      <c r="K231" t="s">
        <v>352</v>
      </c>
      <c r="L231" t="s">
        <v>267</v>
      </c>
      <c r="M231">
        <v>12.799999999999999</v>
      </c>
      <c r="N231">
        <v>-14.1272</v>
      </c>
      <c r="O231">
        <v>-14.531750000000001</v>
      </c>
      <c r="P231">
        <v>-7.3512219999999999</v>
      </c>
      <c r="Q231" t="s">
        <v>352</v>
      </c>
      <c r="R231" t="s">
        <v>352</v>
      </c>
      <c r="S231">
        <v>347836.3</v>
      </c>
      <c r="T231" t="s">
        <v>267</v>
      </c>
      <c r="U231">
        <v>3316.1197199999983</v>
      </c>
      <c r="V231">
        <v>1226.28</v>
      </c>
      <c r="W231" t="s">
        <v>352</v>
      </c>
      <c r="X231">
        <v>119334.36363636362</v>
      </c>
      <c r="Y231" t="s">
        <v>310</v>
      </c>
      <c r="Z231" t="s">
        <v>270</v>
      </c>
      <c r="AA231" t="s">
        <v>275</v>
      </c>
      <c r="AB231" t="s">
        <v>272</v>
      </c>
      <c r="AC231">
        <v>31.76</v>
      </c>
      <c r="AD231">
        <v>0.38235468133717471</v>
      </c>
      <c r="AE231">
        <v>0.43539686318360071</v>
      </c>
    </row>
    <row r="232" spans="1:31" x14ac:dyDescent="0.25">
      <c r="A232" t="s">
        <v>257</v>
      </c>
      <c r="B232" t="s">
        <v>775</v>
      </c>
      <c r="C232">
        <v>-10.648002066168404</v>
      </c>
      <c r="D232">
        <v>231405.875</v>
      </c>
      <c r="E232">
        <v>185302.54807692312</v>
      </c>
      <c r="F232">
        <v>11.663586889999999</v>
      </c>
      <c r="G232">
        <v>90.070290000000014</v>
      </c>
      <c r="H232" t="s">
        <v>267</v>
      </c>
      <c r="I232">
        <v>198158.07142857142</v>
      </c>
      <c r="J232">
        <v>-1</v>
      </c>
      <c r="K232" t="s">
        <v>776</v>
      </c>
      <c r="L232" t="s">
        <v>267</v>
      </c>
      <c r="M232">
        <v>1.9286999999999999</v>
      </c>
      <c r="N232">
        <v>10.814959999999999</v>
      </c>
      <c r="O232">
        <v>11.235429999999999</v>
      </c>
      <c r="P232">
        <v>-5.7289589999999997</v>
      </c>
      <c r="Q232" t="s">
        <v>776</v>
      </c>
      <c r="R232" t="s">
        <v>776</v>
      </c>
      <c r="S232">
        <v>114974.9</v>
      </c>
      <c r="T232" t="s">
        <v>267</v>
      </c>
      <c r="U232">
        <v>-5.3107650000000151</v>
      </c>
      <c r="V232">
        <v>159.96123</v>
      </c>
      <c r="W232" t="s">
        <v>776</v>
      </c>
      <c r="X232">
        <v>879942</v>
      </c>
      <c r="Y232" t="s">
        <v>374</v>
      </c>
      <c r="Z232" t="s">
        <v>270</v>
      </c>
      <c r="AA232" t="s">
        <v>307</v>
      </c>
      <c r="AB232" t="s">
        <v>272</v>
      </c>
      <c r="AC232">
        <v>47.72</v>
      </c>
      <c r="AD232">
        <v>0.59932811574975398</v>
      </c>
      <c r="AE232">
        <v>0.64359105471789124</v>
      </c>
    </row>
    <row r="233" spans="1:31" x14ac:dyDescent="0.25">
      <c r="A233" t="s">
        <v>258</v>
      </c>
      <c r="B233" t="s">
        <v>777</v>
      </c>
      <c r="C233">
        <v>-13.373177842565598</v>
      </c>
      <c r="D233">
        <v>408769.15791666671</v>
      </c>
      <c r="E233">
        <v>103066.97954545452</v>
      </c>
      <c r="F233">
        <v>30.238690406224258</v>
      </c>
      <c r="G233">
        <v>236.85999999999999</v>
      </c>
      <c r="H233" t="s">
        <v>267</v>
      </c>
      <c r="I233">
        <v>44271.25</v>
      </c>
      <c r="J233">
        <v>-1</v>
      </c>
      <c r="K233" t="s">
        <v>608</v>
      </c>
      <c r="L233" t="s">
        <v>267</v>
      </c>
      <c r="M233">
        <v>26</v>
      </c>
      <c r="N233">
        <v>-9.4036779999999993</v>
      </c>
      <c r="O233">
        <v>-5.0051560000000004</v>
      </c>
      <c r="P233">
        <v>-7.95</v>
      </c>
      <c r="Q233" t="s">
        <v>609</v>
      </c>
      <c r="R233" t="s">
        <v>608</v>
      </c>
      <c r="S233">
        <v>157781.6</v>
      </c>
      <c r="T233" t="s">
        <v>267</v>
      </c>
      <c r="U233">
        <v>90.330907085413003</v>
      </c>
      <c r="V233">
        <v>358.53</v>
      </c>
      <c r="W233" t="s">
        <v>608</v>
      </c>
      <c r="X233">
        <v>258874</v>
      </c>
      <c r="Y233" t="s">
        <v>330</v>
      </c>
      <c r="Z233" t="s">
        <v>384</v>
      </c>
      <c r="AA233" t="s">
        <v>275</v>
      </c>
      <c r="AB233" t="s">
        <v>272</v>
      </c>
      <c r="AC233">
        <v>9.2050000000000001</v>
      </c>
      <c r="AD233">
        <v>0.35133798713325171</v>
      </c>
      <c r="AE233">
        <v>0.41948252116617468</v>
      </c>
    </row>
    <row r="234" spans="1:31" x14ac:dyDescent="0.25">
      <c r="A234" t="s">
        <v>259</v>
      </c>
      <c r="B234" t="s">
        <v>778</v>
      </c>
      <c r="C234">
        <v>-26.167908068260079</v>
      </c>
      <c r="D234">
        <v>4036111.3421052638</v>
      </c>
      <c r="E234">
        <v>13203406.188211381</v>
      </c>
      <c r="F234">
        <v>1035.9368213981056</v>
      </c>
      <c r="G234">
        <v>8123.4400000000005</v>
      </c>
      <c r="H234" t="s">
        <v>267</v>
      </c>
      <c r="I234">
        <v>5644757.2380952379</v>
      </c>
      <c r="J234">
        <v>-1</v>
      </c>
      <c r="K234" t="s">
        <v>779</v>
      </c>
      <c r="L234" t="s">
        <v>267</v>
      </c>
      <c r="M234">
        <v>214</v>
      </c>
      <c r="N234">
        <v>12.76337</v>
      </c>
      <c r="O234">
        <v>10.720459999999999</v>
      </c>
      <c r="P234">
        <v>0.73413899999999999</v>
      </c>
      <c r="Q234" t="s">
        <v>780</v>
      </c>
      <c r="R234" t="s">
        <v>779</v>
      </c>
      <c r="S234">
        <v>4425078</v>
      </c>
      <c r="T234" t="s">
        <v>267</v>
      </c>
      <c r="U234">
        <v>4649.1931499999982</v>
      </c>
      <c r="V234">
        <v>8675</v>
      </c>
      <c r="W234" t="s">
        <v>779</v>
      </c>
      <c r="X234">
        <v>6162567.1199999973</v>
      </c>
      <c r="Y234" t="s">
        <v>314</v>
      </c>
      <c r="Z234" t="s">
        <v>270</v>
      </c>
      <c r="AA234" t="s">
        <v>275</v>
      </c>
      <c r="AB234" t="s">
        <v>272</v>
      </c>
      <c r="AC234">
        <v>38.42</v>
      </c>
      <c r="AD234">
        <v>0.15916107395290224</v>
      </c>
      <c r="AE234">
        <v>0.20792806619925203</v>
      </c>
    </row>
    <row r="235" spans="1:31" x14ac:dyDescent="0.25">
      <c r="A235" t="s">
        <v>260</v>
      </c>
      <c r="B235" t="s">
        <v>781</v>
      </c>
      <c r="C235">
        <v>-30.551995001338927</v>
      </c>
      <c r="D235">
        <v>81075641.052631587</v>
      </c>
      <c r="E235">
        <v>104807228.73170732</v>
      </c>
      <c r="F235">
        <v>1930.2864076611952</v>
      </c>
      <c r="G235">
        <v>15400.699999999999</v>
      </c>
      <c r="H235" t="s">
        <v>267</v>
      </c>
      <c r="I235">
        <v>79329390.476190493</v>
      </c>
      <c r="J235">
        <v>-1</v>
      </c>
      <c r="K235" t="s">
        <v>782</v>
      </c>
      <c r="L235" t="s">
        <v>267</v>
      </c>
      <c r="M235">
        <v>884</v>
      </c>
      <c r="N235">
        <v>7.8346859999999996</v>
      </c>
      <c r="O235">
        <v>6.3530790000000001</v>
      </c>
      <c r="P235">
        <v>-1.638422</v>
      </c>
      <c r="Q235" t="s">
        <v>783</v>
      </c>
      <c r="R235" t="s">
        <v>782</v>
      </c>
      <c r="S235">
        <v>75226250</v>
      </c>
      <c r="T235" t="s">
        <v>267</v>
      </c>
      <c r="U235">
        <v>2915.7885999999912</v>
      </c>
      <c r="V235">
        <v>18498.100000000002</v>
      </c>
      <c r="W235" t="s">
        <v>782</v>
      </c>
      <c r="X235">
        <v>74250910.799999997</v>
      </c>
      <c r="Y235" t="s">
        <v>314</v>
      </c>
      <c r="Z235" t="s">
        <v>270</v>
      </c>
      <c r="AA235" t="s">
        <v>275</v>
      </c>
      <c r="AB235" t="s">
        <v>272</v>
      </c>
      <c r="AC235">
        <v>17.41</v>
      </c>
      <c r="AD235">
        <v>8.6329132329613131E-2</v>
      </c>
      <c r="AE235">
        <v>9.6283482166907866E-2</v>
      </c>
    </row>
    <row r="236" spans="1:31" x14ac:dyDescent="0.25">
      <c r="A236" t="s">
        <v>261</v>
      </c>
      <c r="B236" t="s">
        <v>784</v>
      </c>
      <c r="C236">
        <v>-58.755022383325588</v>
      </c>
      <c r="D236">
        <v>314501936.84210521</v>
      </c>
      <c r="E236">
        <v>402676609.34959352</v>
      </c>
      <c r="F236">
        <v>397.50966680225957</v>
      </c>
      <c r="G236">
        <v>3122.4383999999995</v>
      </c>
      <c r="H236" t="s">
        <v>332</v>
      </c>
      <c r="I236">
        <v>319215595.23809528</v>
      </c>
      <c r="J236">
        <v>-1</v>
      </c>
      <c r="K236" t="s">
        <v>785</v>
      </c>
      <c r="L236" t="s">
        <v>267</v>
      </c>
      <c r="M236">
        <v>1449.6</v>
      </c>
      <c r="N236">
        <v>16.824210000000001</v>
      </c>
      <c r="O236">
        <v>13.478260000000001</v>
      </c>
      <c r="P236">
        <v>16.909289999999999</v>
      </c>
      <c r="Q236" t="s">
        <v>785</v>
      </c>
      <c r="R236" t="s">
        <v>785</v>
      </c>
      <c r="S236">
        <v>285660000</v>
      </c>
      <c r="T236" t="s">
        <v>267</v>
      </c>
      <c r="U236">
        <v>2067.0591200000003</v>
      </c>
      <c r="V236">
        <v>3878.7200000000003</v>
      </c>
      <c r="W236" t="s">
        <v>785</v>
      </c>
      <c r="X236">
        <v>392123624</v>
      </c>
      <c r="Y236" t="s">
        <v>279</v>
      </c>
      <c r="Z236" t="s">
        <v>270</v>
      </c>
      <c r="AA236" t="s">
        <v>271</v>
      </c>
      <c r="AB236" t="s">
        <v>272</v>
      </c>
      <c r="AC236">
        <v>2.0880000000000001</v>
      </c>
      <c r="AD236">
        <v>0.10905096140871109</v>
      </c>
      <c r="AE236">
        <v>0.11143822895096586</v>
      </c>
    </row>
    <row r="237" spans="1:31" x14ac:dyDescent="0.25">
      <c r="A237" t="s">
        <v>262</v>
      </c>
      <c r="B237" t="s">
        <v>786</v>
      </c>
      <c r="C237">
        <v>-77.90812830134135</v>
      </c>
      <c r="D237">
        <v>704733705.26315784</v>
      </c>
      <c r="E237">
        <v>979245865.04065096</v>
      </c>
      <c r="F237">
        <v>335.19229195623615</v>
      </c>
      <c r="G237">
        <v>2623.0587999999998</v>
      </c>
      <c r="H237" t="s">
        <v>332</v>
      </c>
      <c r="I237">
        <v>520336371.42857134</v>
      </c>
      <c r="J237">
        <v>-1</v>
      </c>
      <c r="K237" t="s">
        <v>298</v>
      </c>
      <c r="L237" t="s">
        <v>267</v>
      </c>
      <c r="M237">
        <v>1233.8</v>
      </c>
      <c r="N237">
        <v>47.459859999999999</v>
      </c>
      <c r="O237">
        <v>37.759340000000002</v>
      </c>
      <c r="P237">
        <v>19.28144</v>
      </c>
      <c r="Q237" t="s">
        <v>298</v>
      </c>
      <c r="R237" t="s">
        <v>298</v>
      </c>
      <c r="S237">
        <v>607910100</v>
      </c>
      <c r="T237" t="s">
        <v>267</v>
      </c>
      <c r="U237">
        <v>1759.6932000000002</v>
      </c>
      <c r="V237">
        <v>4223.1875999999993</v>
      </c>
      <c r="W237" t="s">
        <v>298</v>
      </c>
      <c r="X237">
        <v>788908679.99999988</v>
      </c>
      <c r="Y237" t="s">
        <v>279</v>
      </c>
      <c r="Z237" t="s">
        <v>270</v>
      </c>
      <c r="AA237" t="s">
        <v>271</v>
      </c>
      <c r="AB237" t="s">
        <v>272</v>
      </c>
      <c r="AC237">
        <v>1.992</v>
      </c>
      <c r="AD237">
        <v>0.11615025828979816</v>
      </c>
      <c r="AE237">
        <v>0.11716103228879786</v>
      </c>
    </row>
    <row r="238" spans="1:31" x14ac:dyDescent="0.25">
      <c r="A238" t="s">
        <v>263</v>
      </c>
      <c r="B238" t="s">
        <v>787</v>
      </c>
      <c r="C238">
        <v>-196.71046034398381</v>
      </c>
      <c r="D238">
        <v>1130626.1470588236</v>
      </c>
      <c r="E238">
        <v>949667.00000000023</v>
      </c>
      <c r="F238">
        <v>1683.6726703255504</v>
      </c>
      <c r="G238">
        <v>13209.651000000002</v>
      </c>
      <c r="H238" t="s">
        <v>267</v>
      </c>
      <c r="I238">
        <v>19213.833333333332</v>
      </c>
      <c r="J238">
        <v>-0.91</v>
      </c>
      <c r="K238" t="s">
        <v>788</v>
      </c>
      <c r="L238" t="s">
        <v>267</v>
      </c>
      <c r="M238">
        <v>1600.1999999999998</v>
      </c>
      <c r="N238">
        <v>-11.505789999999999</v>
      </c>
      <c r="O238">
        <v>-10.123189999999999</v>
      </c>
      <c r="P238">
        <v>-7.0874829999999998</v>
      </c>
      <c r="Q238" t="s">
        <v>788</v>
      </c>
      <c r="R238" t="s">
        <v>788</v>
      </c>
      <c r="S238">
        <v>45523010</v>
      </c>
      <c r="T238" t="s">
        <v>267</v>
      </c>
      <c r="U238" t="s">
        <v>267</v>
      </c>
      <c r="V238">
        <v>5514.1845000000012</v>
      </c>
      <c r="W238" t="s">
        <v>788</v>
      </c>
      <c r="X238" t="s">
        <v>267</v>
      </c>
      <c r="Y238" t="s">
        <v>279</v>
      </c>
      <c r="Z238" t="s">
        <v>270</v>
      </c>
      <c r="AA238" t="s">
        <v>271</v>
      </c>
      <c r="AB238" t="s">
        <v>272</v>
      </c>
      <c r="AC238">
        <v>8.39</v>
      </c>
      <c r="AD238">
        <v>0.2730214539070191</v>
      </c>
      <c r="AE238">
        <v>0.30864669524716137</v>
      </c>
    </row>
    <row r="239" spans="1:31" x14ac:dyDescent="0.25">
      <c r="A239" t="s">
        <v>264</v>
      </c>
      <c r="B239" t="s">
        <v>789</v>
      </c>
      <c r="C239">
        <v>-234.97400000000002</v>
      </c>
      <c r="D239">
        <v>13580422000</v>
      </c>
      <c r="E239">
        <v>282740644.23076928</v>
      </c>
      <c r="F239">
        <v>13059.382215170001</v>
      </c>
      <c r="G239">
        <v>108094.5</v>
      </c>
      <c r="H239" t="s">
        <v>277</v>
      </c>
      <c r="I239">
        <v>656792338.09523809</v>
      </c>
      <c r="J239">
        <v>-1</v>
      </c>
      <c r="K239" t="s">
        <v>790</v>
      </c>
      <c r="L239" t="s">
        <v>267</v>
      </c>
      <c r="M239">
        <v>688.5</v>
      </c>
      <c r="N239">
        <v>814.07159999999999</v>
      </c>
      <c r="O239">
        <v>808.97829999999999</v>
      </c>
      <c r="P239">
        <v>6.6472990000000003</v>
      </c>
      <c r="Q239" t="s">
        <v>653</v>
      </c>
      <c r="R239" t="s">
        <v>790</v>
      </c>
      <c r="S239">
        <v>7199684000</v>
      </c>
      <c r="T239" t="s">
        <v>267</v>
      </c>
      <c r="U239" t="s">
        <v>267</v>
      </c>
      <c r="V239">
        <v>4949.9749999999995</v>
      </c>
      <c r="W239" t="s">
        <v>790</v>
      </c>
      <c r="X239" t="s">
        <v>267</v>
      </c>
      <c r="Y239" t="s">
        <v>279</v>
      </c>
      <c r="Z239" t="s">
        <v>333</v>
      </c>
      <c r="AA239" t="s">
        <v>280</v>
      </c>
      <c r="AB239" t="s">
        <v>281</v>
      </c>
      <c r="AC239">
        <v>146.80000000000001</v>
      </c>
      <c r="AD239">
        <v>5.4768023617631036E-2</v>
      </c>
      <c r="AE239">
        <v>5.9544708918013993E-2</v>
      </c>
    </row>
    <row r="240" spans="1:31" x14ac:dyDescent="0.25">
      <c r="A240" t="s">
        <v>265</v>
      </c>
      <c r="B240" t="s">
        <v>791</v>
      </c>
      <c r="C240" t="s">
        <v>267</v>
      </c>
      <c r="D240">
        <v>14778030</v>
      </c>
      <c r="E240" t="s">
        <v>267</v>
      </c>
      <c r="F240">
        <v>38.805666589816717</v>
      </c>
      <c r="G240">
        <v>305.10899999999998</v>
      </c>
      <c r="H240" t="s">
        <v>267</v>
      </c>
      <c r="I240" t="s">
        <v>267</v>
      </c>
      <c r="J240" t="s">
        <v>31</v>
      </c>
      <c r="K240" t="s">
        <v>792</v>
      </c>
      <c r="L240" t="s">
        <v>267</v>
      </c>
      <c r="M240">
        <v>40.6</v>
      </c>
      <c r="N240" t="s">
        <v>267</v>
      </c>
      <c r="O240" t="s">
        <v>267</v>
      </c>
      <c r="P240" t="s">
        <v>267</v>
      </c>
      <c r="Q240" t="s">
        <v>792</v>
      </c>
      <c r="R240" t="s">
        <v>792</v>
      </c>
      <c r="S240" t="s">
        <v>267</v>
      </c>
      <c r="T240" t="s">
        <v>267</v>
      </c>
      <c r="U240" t="s">
        <v>267</v>
      </c>
      <c r="V240" t="s">
        <v>267</v>
      </c>
      <c r="W240" t="s">
        <v>792</v>
      </c>
      <c r="X240" t="s">
        <v>267</v>
      </c>
      <c r="Y240" t="s">
        <v>302</v>
      </c>
      <c r="Z240" t="s">
        <v>270</v>
      </c>
      <c r="AA240" t="s">
        <v>371</v>
      </c>
      <c r="AB240" t="s">
        <v>272</v>
      </c>
      <c r="AC240">
        <v>7.75</v>
      </c>
      <c r="AD240">
        <v>0.12954199316162479</v>
      </c>
      <c r="AE240">
        <v>0.1883161273275793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csopinv</cp:lastModifiedBy>
  <dcterms:created xsi:type="dcterms:W3CDTF">2013-04-03T15:49:21Z</dcterms:created>
  <dcterms:modified xsi:type="dcterms:W3CDTF">2026-06-29T09:45:32Z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487ca1-3ae9-46d9-9f4f-bccbf4ee90d6_Enabled">
    <vt:lpwstr>true</vt:lpwstr>
  </property>
  <property fmtid="{D5CDD505-2E9C-101B-9397-08002B2CF9AE}" pid="3" name="MSIP_Label_ce487ca1-3ae9-46d9-9f4f-bccbf4ee90d6_SetDate">
    <vt:lpwstr>2026-06-29T09:45:03Z</vt:lpwstr>
  </property>
  <property fmtid="{D5CDD505-2E9C-101B-9397-08002B2CF9AE}" pid="4" name="MSIP_Label_ce487ca1-3ae9-46d9-9f4f-bccbf4ee90d6_Method">
    <vt:lpwstr>Standard</vt:lpwstr>
  </property>
  <property fmtid="{D5CDD505-2E9C-101B-9397-08002B2CF9AE}" pid="5" name="MSIP_Label_ce487ca1-3ae9-46d9-9f4f-bccbf4ee90d6_Name">
    <vt:lpwstr>defa4170-0d19-0005-0004-bc88714345d2</vt:lpwstr>
  </property>
  <property fmtid="{D5CDD505-2E9C-101B-9397-08002B2CF9AE}" pid="6" name="MSIP_Label_ce487ca1-3ae9-46d9-9f4f-bccbf4ee90d6_SiteId">
    <vt:lpwstr>912c1411-7216-4f78-a1e1-a38aea5c33fd</vt:lpwstr>
  </property>
  <property fmtid="{D5CDD505-2E9C-101B-9397-08002B2CF9AE}" pid="7" name="MSIP_Label_ce487ca1-3ae9-46d9-9f4f-bccbf4ee90d6_ActionId">
    <vt:lpwstr>7f649da3-75a4-40a3-a73d-ead506b47124</vt:lpwstr>
  </property>
  <property fmtid="{D5CDD505-2E9C-101B-9397-08002B2CF9AE}" pid="8" name="MSIP_Label_ce487ca1-3ae9-46d9-9f4f-bccbf4ee90d6_ContentBits">
    <vt:lpwstr>0</vt:lpwstr>
  </property>
  <property fmtid="{D5CDD505-2E9C-101B-9397-08002B2CF9AE}" pid="9" name="MSIP_Label_ce487ca1-3ae9-46d9-9f4f-bccbf4ee90d6_Tag">
    <vt:lpwstr>10, 3, 0, 1</vt:lpwstr>
  </property>
</Properties>
</file>