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ysonlu\Downloads\"/>
    </mc:Choice>
  </mc:AlternateContent>
  <xr:revisionPtr revIDLastSave="0" documentId="8_{BA3EC52C-F199-4E62-9193-0904964B668C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Rebalance Calculation" sheetId="1" r:id="rId1"/>
  </sheets>
  <definedNames>
    <definedName name="_xlnm.Print_Titles" localSheetId="0">'Rebalance Calculation'!$1:$2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5" i="1"/>
  <c r="C6" i="1"/>
  <c r="C16" i="1" l="1"/>
  <c r="E26" i="1" l="1"/>
</calcChain>
</file>

<file path=xl/sharedStrings.xml><?xml version="1.0" encoding="utf-8"?>
<sst xmlns="http://schemas.openxmlformats.org/spreadsheetml/2006/main" count="56" uniqueCount="44">
  <si>
    <t>CSOP 7709 – SK HYNIX DAILY (2X) LEVERAGED PRODUCT</t>
  </si>
  <si>
    <t>Daily Rebalance Calculation  |  Trade Date: 23-Jun-2026</t>
  </si>
  <si>
    <t>INPUT DATA (T-1 = 22-Jun-2026)</t>
  </si>
  <si>
    <t>#</t>
  </si>
  <si>
    <t>Item</t>
  </si>
  <si>
    <t>Value</t>
  </si>
  <si>
    <t>Unit</t>
  </si>
  <si>
    <t>Source / Note</t>
  </si>
  <si>
    <t>HKD</t>
  </si>
  <si>
    <t>From official NAV announcement 22-Jun-26</t>
  </si>
  <si>
    <t>T-1 Total Units Outstanding</t>
  </si>
  <si>
    <t>Units</t>
  </si>
  <si>
    <t>T-1 AUM (USD)</t>
  </si>
  <si>
    <t>USD</t>
  </si>
  <si>
    <t>USD/HKD FX Rate (T-1)</t>
  </si>
  <si>
    <t>Assumed standard peg; adjust if needed</t>
  </si>
  <si>
    <t>SK Hynix Close Price T-1 (KRW)</t>
  </si>
  <si>
    <t>KRW</t>
  </si>
  <si>
    <t>KRX close 22-Jun-26</t>
  </si>
  <si>
    <t>SK Hynix Close Price T   (KRW)</t>
  </si>
  <si>
    <t>KRX close 23-Jun-26</t>
  </si>
  <si>
    <t>REBALANCE CALCULATION  (Prospectus Formula, p.606)</t>
  </si>
  <si>
    <t>Step</t>
  </si>
  <si>
    <t>Description</t>
  </si>
  <si>
    <t>(a)</t>
  </si>
  <si>
    <t>T-1 NAV (USD)  [= AUM from announcement]</t>
  </si>
  <si>
    <t>(b)</t>
  </si>
  <si>
    <t>Opening Notional Exposure  [= (a) × 2]</t>
  </si>
  <si>
    <t>(c)</t>
  </si>
  <si>
    <t>SK Hynix Daily Return  [(T close − T-1 close) / T-1 close]</t>
  </si>
  <si>
    <t>%</t>
  </si>
  <si>
    <t>(d)</t>
  </si>
  <si>
    <t>P&amp;L on Notional Exposure  [= (b) × (c)]</t>
  </si>
  <si>
    <t>(e)</t>
  </si>
  <si>
    <t>Closing NAV (USD)  [= (a) + (d)]</t>
  </si>
  <si>
    <t>(f)</t>
  </si>
  <si>
    <t>Current Notional Exposure at Close  [= (b) × (1 + (c))]</t>
  </si>
  <si>
    <t>(g)</t>
  </si>
  <si>
    <t>Target Notional Exposure  [= (e) × 2]</t>
  </si>
  <si>
    <t>(h)</t>
  </si>
  <si>
    <t>Note: Calculation is pre-fee / pre-expense as per prospectus (p.606). Swap costs (KOCRD + spread) and management fee (1.6% p.a.) are accrued separately and are NOT included in this rebalance amount.</t>
  </si>
  <si>
    <t xml:space="preserve">REBALANCE AMOUNT (h)  =  </t>
  </si>
  <si>
    <t>T-1 NAV per Unit (USD)</t>
  </si>
  <si>
    <t>REBALANCE AMOUNT  [= (g) − (f)]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</si>
</sst>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%"/>
    <numFmt numFmtId="166" formatCode="&quot;USD &quot;#,##0.00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10"/>
      <color rgb="FF000000"/>
      <name val="Calibri"/>
    </font>
    <font>
      <sz val="8"/>
      <color rgb="FF595959"/>
      <name val="Calibri"/>
    </font>
    <font>
      <sz val="10"/>
      <color rgb="FF000000"/>
      <name val="Calibri"/>
    </font>
    <font>
      <b/>
      <sz val="9"/>
      <color rgb="FF000000"/>
      <name val="Calibri"/>
    </font>
    <font>
      <b/>
      <sz val="10"/>
      <color rgb="FFC00000"/>
      <name val="Calibri"/>
    </font>
    <font>
      <b/>
      <sz val="12"/>
      <color rgb="FFFFFFFF"/>
      <name val="Calibri"/>
    </font>
    <font>
      <b/>
      <sz val="12"/>
      <color rgb="FFC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4" fontId="6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166" fontId="12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8" fillId="6" borderId="1" xfId="0" applyNumberFormat="1" applyFont="1" applyFill="1" applyBorder="1" applyAlignment="1">
      <alignment horizontal="center" vertical="center"/>
    </xf>
    <xf numFmtId="4" fontId="8" fillId="7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4" fontId="10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6"/>
  <sheetViews>
    <sheetView tabSelected="1" workbookViewId="0">
      <pane ySplit="2" topLeftCell="A3" activePane="bottomLeft" state="frozen"/>
      <selection pane="bottomLeft" activeCell="C22" sqref="C22:D22"/>
    </sheetView>
  </sheetViews>
  <sheetFormatPr defaultRowHeight="15" x14ac:dyDescent="0.25"/>
  <cols>
    <col min="1" max="1" width="6" customWidth="1"/>
    <col min="2" max="2" width="42" customWidth="1"/>
    <col min="3" max="4" width="22" customWidth="1"/>
    <col min="5" max="5" width="30" customWidth="1"/>
  </cols>
  <sheetData>
    <row r="1" spans="1:5" ht="27.95" customHeight="1" x14ac:dyDescent="0.25">
      <c r="A1" s="22" t="s">
        <v>0</v>
      </c>
      <c r="B1" s="20"/>
      <c r="C1" s="20"/>
      <c r="D1" s="20"/>
      <c r="E1" s="20"/>
    </row>
    <row r="2" spans="1:5" ht="18" customHeight="1" x14ac:dyDescent="0.25">
      <c r="A2" s="21" t="s">
        <v>1</v>
      </c>
      <c r="B2" s="20"/>
      <c r="C2" s="20"/>
      <c r="D2" s="20"/>
      <c r="E2" s="20"/>
    </row>
    <row r="4" spans="1:5" ht="18" customHeight="1" x14ac:dyDescent="0.25">
      <c r="A4" s="19" t="s">
        <v>2</v>
      </c>
      <c r="B4" s="20"/>
      <c r="C4" s="20"/>
      <c r="D4" s="20"/>
      <c r="E4" s="20"/>
    </row>
    <row r="5" spans="1:5" ht="15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15.95" customHeight="1" x14ac:dyDescent="0.25">
      <c r="A6" s="2">
        <v>1</v>
      </c>
      <c r="B6" s="3" t="s">
        <v>42</v>
      </c>
      <c r="C6" s="4">
        <f>189.08/C9</f>
        <v>24.287732819524727</v>
      </c>
      <c r="D6" s="5" t="s">
        <v>8</v>
      </c>
      <c r="E6" s="6" t="s">
        <v>9</v>
      </c>
    </row>
    <row r="7" spans="1:5" ht="15.95" customHeight="1" x14ac:dyDescent="0.25">
      <c r="A7" s="2">
        <v>2</v>
      </c>
      <c r="B7" s="3" t="s">
        <v>10</v>
      </c>
      <c r="C7" s="7">
        <v>698500000</v>
      </c>
      <c r="D7" s="5" t="s">
        <v>11</v>
      </c>
      <c r="E7" s="6" t="s">
        <v>9</v>
      </c>
    </row>
    <row r="8" spans="1:5" ht="15.95" customHeight="1" x14ac:dyDescent="0.25">
      <c r="A8" s="2">
        <v>3</v>
      </c>
      <c r="B8" s="3" t="s">
        <v>12</v>
      </c>
      <c r="C8" s="4">
        <v>16847645395.01</v>
      </c>
      <c r="D8" s="5" t="s">
        <v>13</v>
      </c>
      <c r="E8" s="6" t="s">
        <v>9</v>
      </c>
    </row>
    <row r="9" spans="1:5" ht="15.95" customHeight="1" x14ac:dyDescent="0.25">
      <c r="A9" s="2">
        <v>4</v>
      </c>
      <c r="B9" s="3" t="s">
        <v>14</v>
      </c>
      <c r="C9" s="8">
        <v>7.7850000000000001</v>
      </c>
      <c r="D9" s="5"/>
      <c r="E9" s="6" t="s">
        <v>15</v>
      </c>
    </row>
    <row r="10" spans="1:5" ht="15.95" customHeight="1" x14ac:dyDescent="0.25">
      <c r="A10" s="2">
        <v>5</v>
      </c>
      <c r="B10" s="3" t="s">
        <v>16</v>
      </c>
      <c r="C10" s="7">
        <v>2919000</v>
      </c>
      <c r="D10" s="5" t="s">
        <v>17</v>
      </c>
      <c r="E10" s="6" t="s">
        <v>18</v>
      </c>
    </row>
    <row r="11" spans="1:5" ht="15.95" customHeight="1" x14ac:dyDescent="0.25">
      <c r="A11" s="2">
        <v>6</v>
      </c>
      <c r="B11" s="3" t="s">
        <v>19</v>
      </c>
      <c r="C11" s="7">
        <v>2555000</v>
      </c>
      <c r="D11" s="5" t="s">
        <v>17</v>
      </c>
      <c r="E11" s="6" t="s">
        <v>20</v>
      </c>
    </row>
    <row r="13" spans="1:5" ht="18" customHeight="1" x14ac:dyDescent="0.25">
      <c r="A13" s="19" t="s">
        <v>21</v>
      </c>
      <c r="B13" s="20"/>
      <c r="C13" s="20"/>
      <c r="D13" s="20"/>
      <c r="E13" s="20"/>
    </row>
    <row r="14" spans="1:5" ht="15.95" customHeight="1" x14ac:dyDescent="0.25">
      <c r="A14" s="1" t="s">
        <v>22</v>
      </c>
      <c r="B14" s="1" t="s">
        <v>23</v>
      </c>
      <c r="C14" s="25" t="s">
        <v>5</v>
      </c>
      <c r="D14" s="25"/>
      <c r="E14" s="1" t="s">
        <v>6</v>
      </c>
    </row>
    <row r="15" spans="1:5" ht="18" customHeight="1" x14ac:dyDescent="0.25">
      <c r="A15" s="9" t="s">
        <v>24</v>
      </c>
      <c r="B15" s="10" t="s">
        <v>25</v>
      </c>
      <c r="C15" s="26">
        <f>C8</f>
        <v>16847645395.01</v>
      </c>
      <c r="D15" s="26"/>
      <c r="E15" s="11" t="s">
        <v>13</v>
      </c>
    </row>
    <row r="16" spans="1:5" ht="18" customHeight="1" x14ac:dyDescent="0.25">
      <c r="A16" s="12" t="s">
        <v>26</v>
      </c>
      <c r="B16" s="13" t="s">
        <v>27</v>
      </c>
      <c r="C16" s="27">
        <f>C15*2</f>
        <v>33695290790.02</v>
      </c>
      <c r="D16" s="27"/>
      <c r="E16" s="14" t="s">
        <v>13</v>
      </c>
    </row>
    <row r="17" spans="1:5" ht="18" customHeight="1" x14ac:dyDescent="0.25">
      <c r="A17" s="9" t="s">
        <v>28</v>
      </c>
      <c r="B17" s="10" t="s">
        <v>29</v>
      </c>
      <c r="C17" s="28">
        <f>(C11-C10)/C10</f>
        <v>-0.12470023980815348</v>
      </c>
      <c r="D17" s="28"/>
      <c r="E17" s="11" t="s">
        <v>30</v>
      </c>
    </row>
    <row r="18" spans="1:5" ht="18" customHeight="1" x14ac:dyDescent="0.25">
      <c r="A18" s="12" t="s">
        <v>31</v>
      </c>
      <c r="B18" s="13" t="s">
        <v>32</v>
      </c>
      <c r="C18" s="27">
        <f>C16*C17</f>
        <v>-4201810841.9209595</v>
      </c>
      <c r="D18" s="27"/>
      <c r="E18" s="14" t="s">
        <v>13</v>
      </c>
    </row>
    <row r="19" spans="1:5" ht="18" customHeight="1" x14ac:dyDescent="0.25">
      <c r="A19" s="9" t="s">
        <v>33</v>
      </c>
      <c r="B19" s="10" t="s">
        <v>34</v>
      </c>
      <c r="C19" s="26">
        <f>C15+C18</f>
        <v>12645834553.089041</v>
      </c>
      <c r="D19" s="26"/>
      <c r="E19" s="11" t="s">
        <v>13</v>
      </c>
    </row>
    <row r="20" spans="1:5" ht="18" customHeight="1" x14ac:dyDescent="0.25">
      <c r="A20" s="12" t="s">
        <v>35</v>
      </c>
      <c r="B20" s="13" t="s">
        <v>36</v>
      </c>
      <c r="C20" s="27">
        <f>C16*(1+C17)</f>
        <v>29493479948.099041</v>
      </c>
      <c r="D20" s="27"/>
      <c r="E20" s="14" t="s">
        <v>13</v>
      </c>
    </row>
    <row r="21" spans="1:5" ht="18" customHeight="1" x14ac:dyDescent="0.25">
      <c r="A21" s="9" t="s">
        <v>37</v>
      </c>
      <c r="B21" s="10" t="s">
        <v>38</v>
      </c>
      <c r="C21" s="26">
        <f>C19*2</f>
        <v>25291669106.178082</v>
      </c>
      <c r="D21" s="26"/>
      <c r="E21" s="11" t="s">
        <v>13</v>
      </c>
    </row>
    <row r="22" spans="1:5" ht="18" customHeight="1" x14ac:dyDescent="0.25">
      <c r="A22" s="15" t="s">
        <v>39</v>
      </c>
      <c r="B22" s="16" t="s">
        <v>43</v>
      </c>
      <c r="C22" s="29">
        <f>C21-C20</f>
        <v>-4201810841.9209595</v>
      </c>
      <c r="D22" s="29"/>
      <c r="E22" s="17" t="s">
        <v>13</v>
      </c>
    </row>
    <row r="24" spans="1:5" ht="27.95" customHeight="1" x14ac:dyDescent="0.25">
      <c r="A24" s="24" t="s">
        <v>40</v>
      </c>
      <c r="B24" s="20"/>
      <c r="C24" s="20"/>
      <c r="D24" s="20"/>
      <c r="E24" s="20"/>
    </row>
    <row r="26" spans="1:5" ht="26.1" customHeight="1" x14ac:dyDescent="0.25">
      <c r="B26" s="23" t="s">
        <v>41</v>
      </c>
      <c r="C26" s="20"/>
      <c r="D26" s="20"/>
      <c r="E26" s="18">
        <f>C22</f>
        <v>-4201810841.9209595</v>
      </c>
    </row>
  </sheetData>
  <mergeCells count="15">
    <mergeCell ref="A1:E1"/>
    <mergeCell ref="A13:E13"/>
    <mergeCell ref="B26:D26"/>
    <mergeCell ref="A24:E24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A4:E4"/>
    <mergeCell ref="A2:E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Rebalance Calculation</vt:lpstr>
      <vt:lpstr>'Rebalance Calculation'!Print_Titles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Jayson Lu</cp:lastModifiedBy>
  <dcterms:created xsi:type="dcterms:W3CDTF">2026-07-02T01:39:49Z</dcterms:created>
  <dcterms:modified xsi:type="dcterms:W3CDTF">2026-07-02T09:31:19Z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487ca1-3ae9-46d9-9f4f-bccbf4ee90d6_Enabled">
    <vt:lpwstr>true</vt:lpwstr>
  </property>
  <property fmtid="{D5CDD505-2E9C-101B-9397-08002B2CF9AE}" pid="3" name="MSIP_Label_ce487ca1-3ae9-46d9-9f4f-bccbf4ee90d6_SetDate">
    <vt:lpwstr>2026-07-02T09:31:13Z</vt:lpwstr>
  </property>
  <property fmtid="{D5CDD505-2E9C-101B-9397-08002B2CF9AE}" pid="4" name="MSIP_Label_ce487ca1-3ae9-46d9-9f4f-bccbf4ee90d6_Method">
    <vt:lpwstr>Standard</vt:lpwstr>
  </property>
  <property fmtid="{D5CDD505-2E9C-101B-9397-08002B2CF9AE}" pid="5" name="MSIP_Label_ce487ca1-3ae9-46d9-9f4f-bccbf4ee90d6_Name">
    <vt:lpwstr>defa4170-0d19-0005-0004-bc88714345d2</vt:lpwstr>
  </property>
  <property fmtid="{D5CDD505-2E9C-101B-9397-08002B2CF9AE}" pid="6" name="MSIP_Label_ce487ca1-3ae9-46d9-9f4f-bccbf4ee90d6_SiteId">
    <vt:lpwstr>912c1411-7216-4f78-a1e1-a38aea5c33fd</vt:lpwstr>
  </property>
  <property fmtid="{D5CDD505-2E9C-101B-9397-08002B2CF9AE}" pid="7" name="MSIP_Label_ce487ca1-3ae9-46d9-9f4f-bccbf4ee90d6_ActionId">
    <vt:lpwstr>6cf963c9-de64-4482-a53f-38bdd384a7ac</vt:lpwstr>
  </property>
  <property fmtid="{D5CDD505-2E9C-101B-9397-08002B2CF9AE}" pid="8" name="MSIP_Label_ce487ca1-3ae9-46d9-9f4f-bccbf4ee90d6_ContentBits">
    <vt:lpwstr>0</vt:lpwstr>
  </property>
  <property fmtid="{D5CDD505-2E9C-101B-9397-08002B2CF9AE}" pid="9" name="MSIP_Label_ce487ca1-3ae9-46d9-9f4f-bccbf4ee90d6_Tag">
    <vt:lpwstr>10, 3, 0, 1</vt:lpwstr>
  </property>
</Properties>
</file>